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IM1_通知メッセ有" sheetId="1" state="visible" r:id="rId3"/>
    <sheet name="SIM1_比較" sheetId="2" state="visible" r:id="rId4"/>
    <sheet name="SIM2_通知メッセ無" sheetId="3" state="visible" r:id="rId5"/>
    <sheet name="SIM2_比較" sheetId="4" state="visible" r:id="rId6"/>
    <sheet name="SIM考え方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<sst xmlns="http://schemas.openxmlformats.org/spreadsheetml/2006/main" count="501" uniqueCount="196">
  <si>
    <t xml:space="preserve">Ver.</t>
  </si>
  <si>
    <r>
      <rPr>
        <b val="true"/>
        <sz val="20"/>
        <color theme="1"/>
        <rFont val="WenQuanYi Zen Hei"/>
        <family val="2"/>
      </rPr>
      <t xml:space="preserve">株式会社チェングロウス御中</t>
    </r>
    <r>
      <rPr>
        <b val="true"/>
        <sz val="20"/>
        <color theme="1"/>
        <rFont val="メイリオ"/>
        <family val="3"/>
        <charset val="128"/>
      </rPr>
      <t xml:space="preserve">_LINEOA</t>
    </r>
    <r>
      <rPr>
        <b val="true"/>
        <sz val="20"/>
        <color theme="1"/>
        <rFont val="WenQuanYi Zen Hei"/>
        <family val="2"/>
      </rPr>
      <t xml:space="preserve">施策提案【</t>
    </r>
    <r>
      <rPr>
        <b val="true"/>
        <sz val="20"/>
        <color theme="1"/>
        <rFont val="メイリオ"/>
        <family val="3"/>
        <charset val="128"/>
      </rPr>
      <t xml:space="preserve">SIM</t>
    </r>
    <r>
      <rPr>
        <b val="true"/>
        <sz val="20"/>
        <color theme="1"/>
        <rFont val="WenQuanYi Zen Hei"/>
        <family val="2"/>
      </rPr>
      <t xml:space="preserve">】（通知メッセージ有）</t>
    </r>
  </si>
  <si>
    <r>
      <rPr>
        <b val="true"/>
        <sz val="11"/>
        <color rgb="FFFF0000"/>
        <rFont val="WenQuanYi Zen Hei"/>
        <family val="2"/>
      </rPr>
      <t xml:space="preserve">※これより→は</t>
    </r>
    <r>
      <rPr>
        <b val="true"/>
        <sz val="11"/>
        <color rgb="FFFF0000"/>
        <rFont val="メイリオ"/>
        <family val="3"/>
        <charset val="128"/>
      </rPr>
      <t xml:space="preserve">PDF</t>
    </r>
    <r>
      <rPr>
        <b val="true"/>
        <sz val="11"/>
        <color rgb="FFFF0000"/>
        <rFont val="WenQuanYi Zen Hei"/>
        <family val="2"/>
      </rPr>
      <t xml:space="preserve">にするときに消すようにする（範囲外に）</t>
    </r>
  </si>
  <si>
    <t xml:space="preserve">■要件定義</t>
  </si>
  <si>
    <t xml:space="preserve">地点</t>
  </si>
  <si>
    <t xml:space="preserve">名称</t>
  </si>
  <si>
    <t xml:space="preserve">成果単価</t>
  </si>
  <si>
    <r>
      <rPr>
        <b val="true"/>
        <sz val="11"/>
        <color theme="1"/>
        <rFont val="WenQuanYi Zen Hei"/>
        <family val="2"/>
      </rPr>
      <t xml:space="preserve">新規</t>
    </r>
    <r>
      <rPr>
        <b val="true"/>
        <sz val="11"/>
        <color theme="1"/>
        <rFont val="メイリオ"/>
        <family val="3"/>
        <charset val="128"/>
      </rPr>
      <t xml:space="preserve">CV</t>
    </r>
  </si>
  <si>
    <r>
      <rPr>
        <b val="true"/>
        <sz val="11"/>
        <color theme="1"/>
        <rFont val="メイリオ"/>
        <family val="3"/>
        <charset val="128"/>
      </rPr>
      <t xml:space="preserve">①_CV</t>
    </r>
    <r>
      <rPr>
        <b val="true"/>
        <sz val="11"/>
        <color theme="1"/>
        <rFont val="WenQuanYi Zen Hei"/>
        <family val="2"/>
      </rPr>
      <t xml:space="preserve">地点</t>
    </r>
  </si>
  <si>
    <r>
      <rPr>
        <b val="true"/>
        <sz val="11"/>
        <color theme="1"/>
        <rFont val="WenQuanYi Zen Hei"/>
        <family val="2"/>
      </rPr>
      <t xml:space="preserve">求人応募（</t>
    </r>
    <r>
      <rPr>
        <b val="true"/>
        <sz val="11"/>
        <color theme="1"/>
        <rFont val="メイリオ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経由）</t>
    </r>
  </si>
  <si>
    <t xml:space="preserve">UU</t>
  </si>
  <si>
    <t xml:space="preserve">想定顧客リスト</t>
  </si>
  <si>
    <r>
      <rPr>
        <sz val="11"/>
        <color theme="1"/>
        <rFont val="メイリオ"/>
        <family val="3"/>
        <charset val="128"/>
      </rPr>
      <t xml:space="preserve">SimilarWeb</t>
    </r>
    <r>
      <rPr>
        <sz val="11"/>
        <color theme="1"/>
        <rFont val="WenQuanYi Zen Hei"/>
        <family val="2"/>
      </rPr>
      <t xml:space="preserve">等を参考に</t>
    </r>
  </si>
  <si>
    <r>
      <rPr>
        <sz val="11"/>
        <color rgb="FFFF0000"/>
        <rFont val="WenQuanYi Zen Hei"/>
        <family val="2"/>
      </rPr>
      <t xml:space="preserve">※メルマガ、他</t>
    </r>
    <r>
      <rPr>
        <sz val="11"/>
        <color rgb="FFFF0000"/>
        <rFont val="メイリオ"/>
        <family val="3"/>
        <charset val="128"/>
      </rPr>
      <t xml:space="preserve">SNS</t>
    </r>
    <r>
      <rPr>
        <sz val="11"/>
        <color rgb="FFFF0000"/>
        <rFont val="WenQuanYi Zen Hei"/>
        <family val="2"/>
      </rPr>
      <t xml:space="preserve">等でのリリースが出来るか</t>
    </r>
  </si>
  <si>
    <r>
      <rPr>
        <b val="true"/>
        <sz val="11"/>
        <color theme="1"/>
        <rFont val="メイリオ"/>
        <family val="3"/>
        <charset val="128"/>
      </rPr>
      <t xml:space="preserve">②_CV</t>
    </r>
    <r>
      <rPr>
        <b val="true"/>
        <sz val="11"/>
        <color theme="1"/>
        <rFont val="WenQuanYi Zen Hei"/>
        <family val="2"/>
      </rPr>
      <t xml:space="preserve">地点</t>
    </r>
  </si>
  <si>
    <t xml:space="preserve">-</t>
  </si>
  <si>
    <r>
      <rPr>
        <b val="true"/>
        <sz val="11"/>
        <color theme="1"/>
        <rFont val="WenQuanYi Zen Hei"/>
        <family val="2"/>
      </rPr>
      <t xml:space="preserve">広告・アフィ</t>
    </r>
    <r>
      <rPr>
        <b val="true"/>
        <sz val="11"/>
        <color theme="1"/>
        <rFont val="メイリオ"/>
        <family val="3"/>
        <charset val="128"/>
      </rPr>
      <t xml:space="preserve">UU</t>
    </r>
  </si>
  <si>
    <t xml:space="preserve">広告比率等を参考に</t>
  </si>
  <si>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プレスリリースの可否</t>
    </r>
  </si>
  <si>
    <r>
      <rPr>
        <b val="true"/>
        <sz val="11"/>
        <color theme="1"/>
        <rFont val="WenQuanYi Zen Hei"/>
        <family val="2"/>
      </rPr>
      <t xml:space="preserve">リピート</t>
    </r>
    <r>
      <rPr>
        <b val="true"/>
        <sz val="11"/>
        <color theme="1"/>
        <rFont val="メイリオ"/>
        <family val="3"/>
        <charset val="128"/>
      </rPr>
      <t xml:space="preserve">CV</t>
    </r>
  </si>
  <si>
    <r>
      <rPr>
        <b val="true"/>
        <sz val="11"/>
        <color theme="1"/>
        <rFont val="メイリオ"/>
        <family val="3"/>
        <charset val="128"/>
      </rPr>
      <t xml:space="preserve">③_CV</t>
    </r>
    <r>
      <rPr>
        <b val="true"/>
        <sz val="11"/>
        <color theme="1"/>
        <rFont val="WenQuanYi Zen Hei"/>
        <family val="2"/>
      </rPr>
      <t xml:space="preserve">地点</t>
    </r>
  </si>
  <si>
    <t xml:space="preserve">サイト応募（広告経由）</t>
  </si>
  <si>
    <t xml:space="preserve">リード（イメージ）</t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</si>
  <si>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聞けてれば→通知メッセ、サンクス</t>
    </r>
    <r>
      <rPr>
        <b val="true"/>
        <sz val="11"/>
        <color theme="1"/>
        <rFont val="メイリオ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誘導</t>
    </r>
  </si>
  <si>
    <r>
      <rPr>
        <b val="true"/>
        <sz val="11"/>
        <color theme="1"/>
        <rFont val="メイリオ"/>
        <family val="3"/>
        <charset val="128"/>
      </rPr>
      <t xml:space="preserve">④_CV</t>
    </r>
    <r>
      <rPr>
        <b val="true"/>
        <sz val="11"/>
        <color theme="1"/>
        <rFont val="WenQuanYi Zen Hei"/>
        <family val="2"/>
      </rPr>
      <t xml:space="preserve">地点</t>
    </r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</si>
  <si>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（別施策）</t>
    </r>
    <r>
      <rPr>
        <b val="true"/>
        <sz val="11"/>
        <color theme="1"/>
        <rFont val="メイリオ"/>
        <family val="3"/>
        <charset val="128"/>
      </rPr>
      <t xml:space="preserve">2</t>
    </r>
  </si>
  <si>
    <t xml:space="preserve">マネタイズ（イメージ）</t>
  </si>
  <si>
    <t xml:space="preserve">↓調整可能です！</t>
  </si>
  <si>
    <t xml:space="preserve">項目</t>
  </si>
  <si>
    <t xml:space="preserve">　※↓現状数値</t>
  </si>
  <si>
    <r>
      <rPr>
        <b val="true"/>
        <sz val="11"/>
        <color theme="0"/>
        <rFont val="メイリオ"/>
        <family val="3"/>
        <charset val="128"/>
      </rPr>
      <t xml:space="preserve">1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4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</si>
  <si>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2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5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</si>
  <si>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3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6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</si>
  <si>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4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7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</si>
  <si>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5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8</t>
    </r>
    <r>
      <rPr>
        <b val="true"/>
        <sz val="11"/>
        <color theme="0"/>
        <rFont val="WenQuanYi Zen Hei"/>
        <family val="2"/>
      </rPr>
      <t xml:space="preserve">月）</t>
    </r>
  </si>
  <si>
    <r>
      <rPr>
        <b val="true"/>
        <sz val="11"/>
        <color theme="0"/>
        <rFont val="メイリオ"/>
        <family val="3"/>
        <charset val="128"/>
      </rPr>
      <t xml:space="preserve">6</t>
    </r>
    <r>
      <rPr>
        <b val="true"/>
        <sz val="11"/>
        <color theme="0"/>
        <rFont val="WenQuanYi Zen Hei"/>
        <family val="2"/>
      </rPr>
      <t xml:space="preserve">か月目（</t>
    </r>
    <r>
      <rPr>
        <b val="true"/>
        <sz val="11"/>
        <color theme="0"/>
        <rFont val="メイリオ"/>
        <family val="3"/>
        <charset val="128"/>
      </rPr>
      <t xml:space="preserve">9</t>
    </r>
    <r>
      <rPr>
        <b val="true"/>
        <sz val="11"/>
        <color theme="0"/>
        <rFont val="WenQuanYi Zen Hei"/>
        <family val="2"/>
      </rPr>
      <t xml:space="preserve">月）</t>
    </r>
  </si>
  <si>
    <t xml:space="preserve">半年合計</t>
  </si>
  <si>
    <t xml:space="preserve">単月平均（６ヶ月）</t>
  </si>
  <si>
    <r>
      <rPr>
        <b val="true"/>
        <sz val="11"/>
        <color rgb="FFFF0000"/>
        <rFont val="メイリオ"/>
        <family val="3"/>
        <charset val="128"/>
      </rPr>
      <t xml:space="preserve">20%</t>
    </r>
    <r>
      <rPr>
        <b val="true"/>
        <sz val="11"/>
        <color rgb="FFFF0000"/>
        <rFont val="WenQuanYi Zen Hei"/>
        <family val="2"/>
      </rPr>
      <t xml:space="preserve">くらいの調整は可能です。</t>
    </r>
  </si>
  <si>
    <r>
      <rPr>
        <b val="true"/>
        <sz val="11"/>
        <color theme="1"/>
        <rFont val="メイリオ"/>
        <family val="3"/>
        <charset val="128"/>
      </rPr>
      <t xml:space="preserve">→DYM</t>
    </r>
    <r>
      <rPr>
        <b val="true"/>
        <sz val="11"/>
        <color theme="1"/>
        <rFont val="WenQuanYi Zen Hei"/>
        <family val="2"/>
      </rPr>
      <t xml:space="preserve">作業用</t>
    </r>
  </si>
  <si>
    <r>
      <rPr>
        <sz val="11"/>
        <color theme="1"/>
        <rFont val="メイリオ"/>
        <family val="3"/>
        <charset val="128"/>
      </rPr>
      <t xml:space="preserve">WEB</t>
    </r>
    <r>
      <rPr>
        <sz val="11"/>
        <color theme="1"/>
        <rFont val="WenQuanYi Zen Hei"/>
        <family val="2"/>
      </rPr>
      <t xml:space="preserve">サイト</t>
    </r>
  </si>
  <si>
    <r>
      <rPr>
        <b val="true"/>
        <sz val="11"/>
        <color theme="1"/>
        <rFont val="メイリオ"/>
        <family val="3"/>
        <charset val="128"/>
      </rPr>
      <t xml:space="preserve">UU</t>
    </r>
    <r>
      <rPr>
        <b val="true"/>
        <sz val="11"/>
        <color theme="1"/>
        <rFont val="WenQuanYi Zen Hei"/>
        <family val="2"/>
      </rPr>
      <t xml:space="preserve">全体</t>
    </r>
  </si>
  <si>
    <r>
      <rPr>
        <b val="true"/>
        <sz val="11"/>
        <color theme="1"/>
        <rFont val="メイリオ"/>
        <family val="3"/>
        <charset val="128"/>
      </rPr>
      <t xml:space="preserve">UU(</t>
    </r>
    <r>
      <rPr>
        <b val="true"/>
        <sz val="11"/>
        <color theme="1"/>
        <rFont val="WenQuanYi Zen Hei"/>
        <family val="2"/>
      </rPr>
      <t xml:space="preserve">うち広告</t>
    </r>
    <r>
      <rPr>
        <b val="true"/>
        <sz val="11"/>
        <color theme="1"/>
        <rFont val="メイリオ"/>
        <family val="3"/>
        <charset val="128"/>
      </rPr>
      <t xml:space="preserve">)</t>
    </r>
  </si>
  <si>
    <t xml:space="preserve">（サイト固定リンク）</t>
  </si>
  <si>
    <r>
      <rPr>
        <sz val="11"/>
        <color theme="1"/>
        <rFont val="メイリオ"/>
        <family val="3"/>
        <charset val="128"/>
      </rPr>
      <t xml:space="preserve">AD</t>
    </r>
    <r>
      <rPr>
        <sz val="11"/>
        <color theme="1"/>
        <rFont val="WenQuanYi Zen Hei"/>
        <family val="2"/>
      </rPr>
      <t xml:space="preserve">以外の</t>
    </r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誘導</t>
    </r>
  </si>
  <si>
    <t xml:space="preserve">■従量計算式↓</t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</si>
  <si>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（別施策） ※想定</t>
    </r>
  </si>
  <si>
    <r>
      <rPr>
        <sz val="11"/>
        <color theme="1"/>
        <rFont val="メイリオ"/>
        <family val="3"/>
        <charset val="128"/>
      </rPr>
      <t xml:space="preserve">AD</t>
    </r>
    <r>
      <rPr>
        <sz val="11"/>
        <color theme="1"/>
        <rFont val="WenQuanYi Zen Hei"/>
        <family val="2"/>
      </rPr>
      <t xml:space="preserve">での</t>
    </r>
    <r>
      <rPr>
        <sz val="11"/>
        <color theme="1"/>
        <rFont val="メイリオ"/>
        <family val="3"/>
        <charset val="128"/>
      </rPr>
      <t xml:space="preserve">LP/HP→LINE</t>
    </r>
  </si>
  <si>
    <t xml:space="preserve">■料金テーブル</t>
  </si>
  <si>
    <t xml:space="preserve">施策</t>
  </si>
  <si>
    <t xml:space="preserve">CPF</t>
  </si>
  <si>
    <t xml:space="preserve">--</t>
  </si>
  <si>
    <t xml:space="preserve">課金対象配信総数</t>
  </si>
  <si>
    <t xml:space="preserve">費用</t>
  </si>
  <si>
    <t xml:space="preserve">単価</t>
  </si>
  <si>
    <t xml:space="preserve">離脱防止</t>
  </si>
  <si>
    <r>
      <rPr>
        <sz val="11"/>
        <color theme="1"/>
        <rFont val="メイリオ"/>
        <family val="3"/>
        <charset val="128"/>
      </rPr>
      <t xml:space="preserve">KaiU</t>
    </r>
    <r>
      <rPr>
        <sz val="11"/>
        <color theme="1"/>
        <rFont val="WenQuanYi Zen Hei"/>
        <family val="2"/>
      </rPr>
      <t xml:space="preserve">表示率</t>
    </r>
  </si>
  <si>
    <r>
      <rPr>
        <b val="true"/>
        <sz val="11"/>
        <color theme="1"/>
        <rFont val="WenQuanYi Zen Hei"/>
        <family val="2"/>
      </rPr>
      <t xml:space="preserve">離脱防止表示率（</t>
    </r>
    <r>
      <rPr>
        <b val="true"/>
        <sz val="11"/>
        <color theme="1"/>
        <rFont val="メイリオ"/>
        <family val="3"/>
        <charset val="128"/>
      </rPr>
      <t xml:space="preserve">AD</t>
    </r>
    <r>
      <rPr>
        <b val="true"/>
        <sz val="11"/>
        <color theme="1"/>
        <rFont val="WenQuanYi Zen Hei"/>
        <family val="2"/>
      </rPr>
      <t xml:space="preserve">）</t>
    </r>
  </si>
  <si>
    <r>
      <rPr>
        <sz val="11"/>
        <color theme="0" tint="-0.35"/>
        <rFont val="WenQuanYi Zen Hei"/>
        <family val="2"/>
      </rPr>
      <t xml:space="preserve">サンクス</t>
    </r>
    <r>
      <rPr>
        <sz val="11"/>
        <color theme="0" tint="-0.35"/>
        <rFont val="メイリオ"/>
        <family val="3"/>
        <charset val="128"/>
      </rPr>
      <t xml:space="preserve">LINE</t>
    </r>
    <r>
      <rPr>
        <sz val="11"/>
        <color theme="0" tint="-0.35"/>
        <rFont val="WenQuanYi Zen Hei"/>
        <family val="2"/>
      </rPr>
      <t xml:space="preserve">誘導</t>
    </r>
  </si>
  <si>
    <r>
      <rPr>
        <b val="true"/>
        <sz val="11"/>
        <color theme="1"/>
        <rFont val="WenQuanYi Zen Hei"/>
        <family val="2"/>
      </rPr>
      <t xml:space="preserve">離脱防止表示率（</t>
    </r>
    <r>
      <rPr>
        <b val="true"/>
        <sz val="11"/>
        <color theme="1"/>
        <rFont val="メイリオ"/>
        <family val="3"/>
        <charset val="128"/>
      </rPr>
      <t xml:space="preserve">SEO</t>
    </r>
    <r>
      <rPr>
        <b val="true"/>
        <sz val="11"/>
        <color theme="1"/>
        <rFont val="WenQuanYi Zen Hei"/>
        <family val="2"/>
      </rPr>
      <t xml:space="preserve">）</t>
    </r>
  </si>
  <si>
    <r>
      <rPr>
        <sz val="11"/>
        <color theme="0" tint="-0.35"/>
        <rFont val="WenQuanYi Zen Hei"/>
        <family val="2"/>
      </rPr>
      <t xml:space="preserve">通知メッセージ</t>
    </r>
    <r>
      <rPr>
        <sz val="11"/>
        <color theme="0" tint="-0.35"/>
        <rFont val="メイリオ"/>
        <family val="3"/>
        <charset val="128"/>
      </rPr>
      <t xml:space="preserve">_CV</t>
    </r>
  </si>
  <si>
    <r>
      <rPr>
        <sz val="11"/>
        <color theme="0" tint="-0.35"/>
        <rFont val="WenQuanYi Zen Hei"/>
        <family val="2"/>
      </rPr>
      <t xml:space="preserve">通知メッセージ</t>
    </r>
    <r>
      <rPr>
        <sz val="11"/>
        <color theme="0" tint="-0.35"/>
        <rFont val="メイリオ"/>
        <family val="3"/>
        <charset val="128"/>
      </rPr>
      <t xml:space="preserve">_</t>
    </r>
    <r>
      <rPr>
        <sz val="11"/>
        <color theme="0" tint="-0.35"/>
        <rFont val="WenQuanYi Zen Hei"/>
        <family val="2"/>
      </rPr>
      <t xml:space="preserve">既存リスト</t>
    </r>
  </si>
  <si>
    <t xml:space="preserve">↓企画投稿</t>
  </si>
  <si>
    <t xml:space="preserve">施策増分
※友だち</t>
  </si>
  <si>
    <r>
      <rPr>
        <sz val="11"/>
        <color theme="1"/>
        <rFont val="メイリオ"/>
        <family val="3"/>
        <charset val="128"/>
      </rPr>
      <t xml:space="preserve">CPF</t>
    </r>
    <r>
      <rPr>
        <sz val="11"/>
        <color theme="1"/>
        <rFont val="WenQuanYi Zen Hei"/>
        <family val="2"/>
      </rPr>
      <t xml:space="preserve">コスト </t>
    </r>
    <r>
      <rPr>
        <sz val="11"/>
        <color theme="1"/>
        <rFont val="メイリオ"/>
        <family val="3"/>
        <charset val="128"/>
      </rPr>
      <t xml:space="preserve">/ CPF</t>
    </r>
    <r>
      <rPr>
        <sz val="11"/>
        <color theme="1"/>
        <rFont val="WenQuanYi Zen Hei"/>
        <family val="2"/>
      </rPr>
      <t xml:space="preserve">の単価設定 ※ブロック率が上がりやすい</t>
    </r>
  </si>
  <si>
    <t xml:space="preserve">開封率</t>
  </si>
  <si>
    <r>
      <rPr>
        <sz val="11"/>
        <color theme="1"/>
        <rFont val="WenQuanYi Zen Hei"/>
        <family val="2"/>
      </rPr>
      <t xml:space="preserve">離脱防止：</t>
    </r>
    <r>
      <rPr>
        <sz val="11"/>
        <color theme="1"/>
        <rFont val="メイリオ"/>
        <family val="3"/>
        <charset val="128"/>
      </rPr>
      <t xml:space="preserve">UU×</t>
    </r>
    <r>
      <rPr>
        <sz val="11"/>
        <color theme="1"/>
        <rFont val="WenQuanYi Zen Hei"/>
        <family val="2"/>
      </rPr>
      <t xml:space="preserve">表示</t>
    </r>
    <r>
      <rPr>
        <sz val="11"/>
        <color theme="1"/>
        <rFont val="メイリオ"/>
        <family val="3"/>
        <charset val="128"/>
      </rPr>
      <t xml:space="preserve">40%×</t>
    </r>
    <r>
      <rPr>
        <sz val="11"/>
        <color theme="1"/>
        <rFont val="WenQuanYi Zen Hei"/>
        <family val="2"/>
      </rPr>
      <t xml:space="preserve">クリック</t>
    </r>
    <r>
      <rPr>
        <sz val="11"/>
        <color theme="1"/>
        <rFont val="メイリオ"/>
        <family val="3"/>
        <charset val="128"/>
      </rPr>
      <t xml:space="preserve">12.5%×</t>
    </r>
    <r>
      <rPr>
        <sz val="11"/>
        <color theme="1"/>
        <rFont val="WenQuanYi Zen Hei"/>
        <family val="2"/>
      </rPr>
      <t xml:space="preserve">追加</t>
    </r>
    <r>
      <rPr>
        <sz val="11"/>
        <color theme="1"/>
        <rFont val="メイリオ"/>
        <family val="3"/>
        <charset val="128"/>
      </rPr>
      <t xml:space="preserve">12.5%×</t>
    </r>
    <r>
      <rPr>
        <sz val="11"/>
        <color theme="1"/>
        <rFont val="WenQuanYi Zen Hei"/>
        <family val="2"/>
      </rPr>
      <t xml:space="preserve">立ち上げ係数</t>
    </r>
  </si>
  <si>
    <t xml:space="preserve">クリック率</t>
  </si>
  <si>
    <r>
      <rPr>
        <sz val="11"/>
        <color theme="1"/>
        <rFont val="メイリオ"/>
        <family val="3"/>
        <charset val="128"/>
      </rPr>
      <t xml:space="preserve">4‐6</t>
    </r>
    <r>
      <rPr>
        <sz val="11"/>
        <color theme="1"/>
        <rFont val="WenQuanYi Zen Hei"/>
        <family val="2"/>
      </rPr>
      <t xml:space="preserve">か月後係数</t>
    </r>
  </si>
  <si>
    <r>
      <rPr>
        <sz val="11"/>
        <color theme="1"/>
        <rFont val="WenQuanYi Zen Hei"/>
        <family val="2"/>
      </rPr>
      <t xml:space="preserve">サンクス</t>
    </r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誘導</t>
    </r>
  </si>
  <si>
    <r>
      <rPr>
        <sz val="11"/>
        <color theme="1"/>
        <rFont val="WenQuanYi Zen Hei"/>
        <family val="2"/>
      </rPr>
      <t xml:space="preserve">完了画面：サイト応募</t>
    </r>
    <r>
      <rPr>
        <sz val="11"/>
        <color theme="1"/>
        <rFont val="メイリオ"/>
        <family val="3"/>
        <charset val="128"/>
      </rPr>
      <t xml:space="preserve">×</t>
    </r>
    <r>
      <rPr>
        <sz val="11"/>
        <color theme="1"/>
        <rFont val="WenQuanYi Zen Hei"/>
        <family val="2"/>
      </rPr>
      <t xml:space="preserve">遷移</t>
    </r>
    <r>
      <rPr>
        <sz val="11"/>
        <color theme="1"/>
        <rFont val="メイリオ"/>
        <family val="3"/>
        <charset val="128"/>
      </rPr>
      <t xml:space="preserve">80%×</t>
    </r>
    <r>
      <rPr>
        <sz val="11"/>
        <color theme="1"/>
        <rFont val="WenQuanYi Zen Hei"/>
        <family val="2"/>
      </rPr>
      <t xml:space="preserve">追加</t>
    </r>
    <r>
      <rPr>
        <sz val="11"/>
        <color theme="1"/>
        <rFont val="メイリオ"/>
        <family val="3"/>
        <charset val="128"/>
      </rPr>
      <t xml:space="preserve">45%×</t>
    </r>
    <r>
      <rPr>
        <sz val="11"/>
        <color theme="1"/>
        <rFont val="WenQuanYi Zen Hei"/>
        <family val="2"/>
      </rPr>
      <t xml:space="preserve">立ち上げ係数</t>
    </r>
  </si>
  <si>
    <r>
      <rPr>
        <b val="true"/>
        <sz val="11"/>
        <color theme="1"/>
        <rFont val="メイリオ"/>
        <family val="3"/>
        <charset val="128"/>
      </rPr>
      <t xml:space="preserve">audience</t>
    </r>
    <r>
      <rPr>
        <b val="true"/>
        <sz val="11"/>
        <color theme="1"/>
        <rFont val="WenQuanYi Zen Hei"/>
        <family val="2"/>
      </rPr>
      <t xml:space="preserve">ターゲ率</t>
    </r>
  </si>
  <si>
    <t xml:space="preserve">通知メッセージ</t>
  </si>
  <si>
    <r>
      <rPr>
        <sz val="11"/>
        <color theme="1"/>
        <rFont val="WenQuanYi Zen Hei"/>
        <family val="2"/>
      </rPr>
      <t xml:space="preserve">通知メッセ：完了画面で追加しなかった応募者</t>
    </r>
    <r>
      <rPr>
        <sz val="11"/>
        <color theme="1"/>
        <rFont val="メイリオ"/>
        <family val="3"/>
        <charset val="128"/>
      </rPr>
      <t xml:space="preserve">×</t>
    </r>
    <r>
      <rPr>
        <sz val="11"/>
        <color theme="1"/>
        <rFont val="WenQuanYi Zen Hei"/>
        <family val="2"/>
      </rPr>
      <t xml:space="preserve">情報一致</t>
    </r>
    <r>
      <rPr>
        <sz val="11"/>
        <color theme="1"/>
        <rFont val="メイリオ"/>
        <family val="3"/>
        <charset val="128"/>
      </rPr>
      <t xml:space="preserve">70%×</t>
    </r>
    <r>
      <rPr>
        <sz val="11"/>
        <color theme="1"/>
        <rFont val="WenQuanYi Zen Hei"/>
        <family val="2"/>
      </rPr>
      <t xml:space="preserve">追加</t>
    </r>
    <r>
      <rPr>
        <sz val="11"/>
        <color theme="1"/>
        <rFont val="メイリオ"/>
        <family val="3"/>
        <charset val="128"/>
      </rPr>
      <t xml:space="preserve">30%</t>
    </r>
  </si>
  <si>
    <t xml:space="preserve">↓ステップ配信</t>
  </si>
  <si>
    <r>
      <rPr>
        <sz val="11"/>
        <color theme="1"/>
        <rFont val="WenQuanYi Zen Hei"/>
        <family val="2"/>
      </rPr>
      <t xml:space="preserve">友だち数</t>
    </r>
    <r>
      <rPr>
        <sz val="11"/>
        <color theme="1"/>
        <rFont val="メイリオ"/>
        <family val="3"/>
        <charset val="128"/>
      </rPr>
      <t xml:space="preserve">_</t>
    </r>
    <r>
      <rPr>
        <sz val="11"/>
        <color theme="1"/>
        <rFont val="WenQuanYi Zen Hei"/>
        <family val="2"/>
      </rPr>
      <t xml:space="preserve">増加数</t>
    </r>
  </si>
  <si>
    <r>
      <rPr>
        <sz val="11"/>
        <color theme="2" tint="-0.75"/>
        <rFont val="WenQuanYi Zen Hei"/>
        <family val="2"/>
      </rPr>
      <t xml:space="preserve">＋サイト内「</t>
    </r>
    <r>
      <rPr>
        <sz val="11"/>
        <color theme="2" tint="-0.75"/>
        <rFont val="メイリオ"/>
        <family val="3"/>
        <charset val="128"/>
      </rPr>
      <t xml:space="preserve">LINE</t>
    </r>
    <r>
      <rPr>
        <sz val="11"/>
        <color theme="2" tint="-0.75"/>
        <rFont val="WenQuanYi Zen Hei"/>
        <family val="2"/>
      </rPr>
      <t xml:space="preserve">で登録」：</t>
    </r>
    <r>
      <rPr>
        <sz val="11"/>
        <color theme="2" tint="-0.75"/>
        <rFont val="メイリオ"/>
        <family val="3"/>
        <charset val="128"/>
      </rPr>
      <t xml:space="preserve">UU×0.5%×</t>
    </r>
    <r>
      <rPr>
        <sz val="11"/>
        <color theme="2" tint="-0.75"/>
        <rFont val="WenQuanYi Zen Hei"/>
        <family val="2"/>
      </rPr>
      <t xml:space="preserve">立ち上げ係数</t>
    </r>
  </si>
  <si>
    <t xml:space="preserve">ブロック率</t>
  </si>
  <si>
    <r>
      <rPr>
        <sz val="11"/>
        <color theme="1"/>
        <rFont val="WenQuanYi Zen Hei"/>
        <family val="2"/>
      </rPr>
      <t xml:space="preserve">ブロック率：</t>
    </r>
    <r>
      <rPr>
        <sz val="11"/>
        <color theme="1"/>
        <rFont val="メイリオ"/>
        <family val="3"/>
        <charset val="128"/>
      </rPr>
      <t xml:space="preserve">40%</t>
    </r>
    <r>
      <rPr>
        <sz val="11"/>
        <color theme="1"/>
        <rFont val="WenQuanYi Zen Hei"/>
        <family val="2"/>
      </rPr>
      <t xml:space="preserve">前後から出し分け配信で徐々に低下（目標</t>
    </r>
    <r>
      <rPr>
        <sz val="11"/>
        <color theme="1"/>
        <rFont val="メイリオ"/>
        <family val="3"/>
        <charset val="128"/>
      </rPr>
      <t xml:space="preserve">30%</t>
    </r>
    <r>
      <rPr>
        <sz val="11"/>
        <color theme="1"/>
        <rFont val="WenQuanYi Zen Hei"/>
        <family val="2"/>
      </rPr>
      <t xml:space="preserve">以内）</t>
    </r>
  </si>
  <si>
    <t xml:space="preserve">友だち数</t>
  </si>
  <si>
    <t xml:space="preserve">ターゲット数</t>
  </si>
  <si>
    <t xml:space="preserve">※ターゲット数の増加分が通常の増加分を超えないように調整する</t>
  </si>
  <si>
    <t xml:space="preserve">企画投稿数</t>
  </si>
  <si>
    <r>
      <rPr>
        <sz val="11"/>
        <color theme="1"/>
        <rFont val="WenQuanYi Zen Hei"/>
        <family val="2"/>
      </rPr>
      <t xml:space="preserve">←基本本数が</t>
    </r>
    <r>
      <rPr>
        <sz val="11"/>
        <color theme="1"/>
        <rFont val="メイリオ"/>
        <family val="3"/>
        <charset val="128"/>
      </rPr>
      <t xml:space="preserve">4</t>
    </r>
    <r>
      <rPr>
        <sz val="11"/>
        <color theme="1"/>
        <rFont val="WenQuanYi Zen Hei"/>
        <family val="2"/>
      </rPr>
      <t xml:space="preserve">本として設計する（ユーザー数と固定費で調整）</t>
    </r>
  </si>
  <si>
    <r>
      <rPr>
        <sz val="11"/>
        <color theme="1"/>
        <rFont val="メイリオ"/>
        <family val="3"/>
        <charset val="128"/>
      </rPr>
      <t xml:space="preserve">CPF</t>
    </r>
    <r>
      <rPr>
        <sz val="11"/>
        <color theme="1"/>
        <rFont val="WenQuanYi Zen Hei"/>
        <family val="2"/>
      </rPr>
      <t xml:space="preserve">の単価設定</t>
    </r>
  </si>
  <si>
    <t xml:space="preserve">企画投稿からの流入</t>
  </si>
  <si>
    <t xml:space="preserve">ステップ配信本数</t>
  </si>
  <si>
    <r>
      <rPr>
        <sz val="11"/>
        <color theme="1"/>
        <rFont val="WenQuanYi Zen Hei"/>
        <family val="2"/>
      </rPr>
      <t xml:space="preserve">←基本本数が</t>
    </r>
    <r>
      <rPr>
        <sz val="11"/>
        <color theme="1"/>
        <rFont val="メイリオ"/>
        <family val="3"/>
        <charset val="128"/>
      </rPr>
      <t xml:space="preserve">4</t>
    </r>
    <r>
      <rPr>
        <sz val="11"/>
        <color theme="1"/>
        <rFont val="WenQuanYi Zen Hei"/>
        <family val="2"/>
      </rPr>
      <t xml:space="preserve">本として設計する</t>
    </r>
  </si>
  <si>
    <t xml:space="preserve">特典の強さ</t>
  </si>
  <si>
    <t xml:space="preserve">ステップ配信からの流入</t>
  </si>
  <si>
    <t xml:space="preserve">クリエイティブ強さ</t>
  </si>
  <si>
    <t xml:space="preserve">配信数</t>
  </si>
  <si>
    <t xml:space="preserve">知名度強さ</t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</si>
  <si>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Click</t>
    </r>
    <r>
      <rPr>
        <b val="true"/>
        <sz val="11"/>
        <color theme="1"/>
        <rFont val="WenQuanYi Zen Hei"/>
        <family val="2"/>
      </rPr>
      <t xml:space="preserve">数</t>
    </r>
  </si>
  <si>
    <t xml:space="preserve">動線の強さ</t>
  </si>
  <si>
    <r>
      <rPr>
        <sz val="11"/>
        <color theme="1"/>
        <rFont val="WenQuanYi Zen Hei"/>
        <family val="2"/>
      </rPr>
      <t xml:space="preserve">新規</t>
    </r>
    <r>
      <rPr>
        <sz val="11"/>
        <color theme="1"/>
        <rFont val="メイリオ"/>
        <family val="3"/>
        <charset val="128"/>
      </rPr>
      <t xml:space="preserve">CV</t>
    </r>
  </si>
  <si>
    <r>
      <rPr>
        <sz val="11"/>
        <color theme="1"/>
        <rFont val="WenQuanYi Zen Hei"/>
        <family val="2"/>
      </rPr>
      <t xml:space="preserve">新規向け</t>
    </r>
    <r>
      <rPr>
        <sz val="11"/>
        <color theme="1"/>
        <rFont val="メイリオ"/>
        <family val="3"/>
        <charset val="128"/>
      </rPr>
      <t xml:space="preserve">_</t>
    </r>
  </si>
  <si>
    <t xml:space="preserve">想定の係数（反応率）</t>
  </si>
  <si>
    <r>
      <rPr>
        <sz val="11"/>
        <color theme="1"/>
        <rFont val="WenQuanYi Zen Hei"/>
        <family val="2"/>
      </rPr>
      <t xml:space="preserve">リピート</t>
    </r>
    <r>
      <rPr>
        <sz val="11"/>
        <color theme="1"/>
        <rFont val="メイリオ"/>
        <family val="3"/>
        <charset val="128"/>
      </rPr>
      <t xml:space="preserve">CV</t>
    </r>
  </si>
  <si>
    <r>
      <rPr>
        <sz val="11"/>
        <color theme="1"/>
        <rFont val="WenQuanYi Zen Hei"/>
        <family val="2"/>
      </rPr>
      <t xml:space="preserve">既存向け</t>
    </r>
    <r>
      <rPr>
        <sz val="11"/>
        <color theme="1"/>
        <rFont val="メイリオ"/>
        <family val="3"/>
        <charset val="128"/>
      </rPr>
      <t xml:space="preserve">_</t>
    </r>
    <r>
      <rPr>
        <sz val="11"/>
        <color theme="1"/>
        <rFont val="WenQuanYi Zen Hei"/>
        <family val="2"/>
      </rPr>
      <t xml:space="preserve">休眠顧客向け</t>
    </r>
  </si>
  <si>
    <t xml:space="preserve">※①＞②で作成</t>
  </si>
  <si>
    <t xml:space="preserve">※③＞④で作成</t>
  </si>
  <si>
    <r>
      <rPr>
        <b val="true"/>
        <sz val="11"/>
        <color theme="1"/>
        <rFont val="WenQuanYi Zen Hei"/>
        <family val="2"/>
      </rPr>
      <t xml:space="preserve">合計</t>
    </r>
    <r>
      <rPr>
        <b val="true"/>
        <sz val="11"/>
        <color theme="1"/>
        <rFont val="メイリオ"/>
        <family val="3"/>
        <charset val="128"/>
      </rPr>
      <t xml:space="preserve">CV</t>
    </r>
  </si>
  <si>
    <t xml:space="preserve">CVR</t>
  </si>
  <si>
    <r>
      <rPr>
        <sz val="11"/>
        <color theme="1"/>
        <rFont val="メイリオ"/>
        <family val="3"/>
        <charset val="128"/>
      </rPr>
      <t xml:space="preserve">CV/</t>
    </r>
    <r>
      <rPr>
        <sz val="11"/>
        <color theme="1"/>
        <rFont val="WenQuanYi Zen Hei"/>
        <family val="2"/>
      </rPr>
      <t xml:space="preserve">流入数で計算、</t>
    </r>
    <r>
      <rPr>
        <sz val="11"/>
        <color theme="1"/>
        <rFont val="メイリオ"/>
        <family val="3"/>
        <charset val="128"/>
      </rPr>
      <t xml:space="preserve">0.3%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メイリオ"/>
        <family val="3"/>
        <charset val="128"/>
      </rPr>
      <t xml:space="preserve">1%</t>
    </r>
    <r>
      <rPr>
        <sz val="11"/>
        <color theme="1"/>
        <rFont val="WenQuanYi Zen Hei"/>
        <family val="2"/>
      </rPr>
      <t xml:space="preserve">とかで推移。</t>
    </r>
  </si>
  <si>
    <t xml:space="preserve">■成果報酬運営</t>
  </si>
  <si>
    <t xml:space="preserve">現状数値</t>
  </si>
  <si>
    <t xml:space="preserve">初期</t>
  </si>
  <si>
    <t xml:space="preserve">従量課金</t>
  </si>
  <si>
    <r>
      <rPr>
        <sz val="11"/>
        <color theme="1"/>
        <rFont val="WenQuanYi Zen Hei"/>
        <family val="2"/>
      </rPr>
      <t xml:space="preserve">コスト想定</t>
    </r>
    <r>
      <rPr>
        <sz val="11"/>
        <color theme="1"/>
        <rFont val="メイリオ"/>
        <family val="3"/>
        <charset val="128"/>
      </rPr>
      <t xml:space="preserve">(</t>
    </r>
    <r>
      <rPr>
        <sz val="11"/>
        <color theme="1"/>
        <rFont val="WenQuanYi Zen Hei"/>
        <family val="2"/>
      </rPr>
      <t xml:space="preserve">固定費</t>
    </r>
    <r>
      <rPr>
        <sz val="11"/>
        <color theme="1"/>
        <rFont val="メイリオ"/>
        <family val="3"/>
        <charset val="128"/>
      </rPr>
      <t xml:space="preserve">)</t>
    </r>
  </si>
  <si>
    <t xml:space="preserve">友だち獲得単価</t>
  </si>
  <si>
    <r>
      <rPr>
        <sz val="11"/>
        <color theme="1"/>
        <rFont val="メイリオ"/>
        <family val="3"/>
        <charset val="128"/>
      </rPr>
      <t xml:space="preserve">CPC</t>
    </r>
    <r>
      <rPr>
        <sz val="11"/>
        <color theme="1"/>
        <rFont val="WenQuanYi Zen Hei"/>
        <family val="2"/>
      </rPr>
      <t xml:space="preserve">想定</t>
    </r>
  </si>
  <si>
    <r>
      <rPr>
        <sz val="11"/>
        <color theme="1"/>
        <rFont val="メイリオ"/>
        <family val="3"/>
        <charset val="128"/>
      </rPr>
      <t xml:space="preserve">CVR</t>
    </r>
    <r>
      <rPr>
        <sz val="11"/>
        <color theme="1"/>
        <rFont val="WenQuanYi Zen Hei"/>
        <family val="2"/>
      </rPr>
      <t xml:space="preserve">想定</t>
    </r>
  </si>
  <si>
    <r>
      <rPr>
        <b val="true"/>
        <sz val="11"/>
        <color theme="1"/>
        <rFont val="メイリオ"/>
        <family val="3"/>
        <charset val="128"/>
      </rPr>
      <t xml:space="preserve">CPA</t>
    </r>
    <r>
      <rPr>
        <b val="true"/>
        <sz val="11"/>
        <color theme="1"/>
        <rFont val="WenQuanYi Zen Hei"/>
        <family val="2"/>
      </rPr>
      <t xml:space="preserve">想定</t>
    </r>
  </si>
  <si>
    <r>
      <rPr>
        <b val="true"/>
        <sz val="11"/>
        <color theme="1"/>
        <rFont val="WenQuanYi Zen Hei"/>
        <family val="2"/>
      </rPr>
      <t xml:space="preserve">成果報酬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費用発生</t>
    </r>
  </si>
  <si>
    <t xml:space="preserve">総計コスト</t>
  </si>
  <si>
    <t xml:space="preserve">■コンサル運営</t>
  </si>
  <si>
    <t xml:space="preserve">コスト備考</t>
  </si>
  <si>
    <t xml:space="preserve">※コンサル</t>
  </si>
  <si>
    <r>
      <rPr>
        <sz val="11"/>
        <color theme="1"/>
        <rFont val="メイリオ"/>
        <family val="3"/>
        <charset val="128"/>
      </rPr>
      <t xml:space="preserve">UU</t>
    </r>
    <r>
      <rPr>
        <sz val="11"/>
        <color theme="1"/>
        <rFont val="WenQuanYi Zen Hei"/>
        <family val="2"/>
      </rPr>
      <t xml:space="preserve">にかかわらず、</t>
    </r>
    <r>
      <rPr>
        <sz val="11"/>
        <color theme="1"/>
        <rFont val="メイリオ"/>
        <family val="3"/>
        <charset val="128"/>
      </rPr>
      <t xml:space="preserve">10000</t>
    </r>
    <r>
      <rPr>
        <sz val="11"/>
        <color theme="1"/>
        <rFont val="WenQuanYi Zen Hei"/>
        <family val="2"/>
      </rPr>
      <t xml:space="preserve">円</t>
    </r>
    <r>
      <rPr>
        <sz val="11"/>
        <color theme="1"/>
        <rFont val="メイリオ"/>
        <family val="3"/>
        <charset val="128"/>
      </rPr>
      <t xml:space="preserve">/</t>
    </r>
    <r>
      <rPr>
        <sz val="11"/>
        <color theme="1"/>
        <rFont val="WenQuanYi Zen Hei"/>
        <family val="2"/>
      </rPr>
      <t xml:space="preserve">月にて設定</t>
    </r>
  </si>
  <si>
    <t xml:space="preserve">サンクス誘導</t>
  </si>
  <si>
    <r>
      <rPr>
        <sz val="11"/>
        <color theme="1"/>
        <rFont val="WenQuanYi Zen Hei"/>
        <family val="2"/>
      </rPr>
      <t xml:space="preserve">サンクス</t>
    </r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誘導ツール：初期</t>
    </r>
    <r>
      <rPr>
        <sz val="11"/>
        <color theme="1"/>
        <rFont val="メイリオ"/>
        <family val="3"/>
        <charset val="128"/>
      </rPr>
      <t xml:space="preserve">10</t>
    </r>
    <r>
      <rPr>
        <sz val="11"/>
        <color theme="1"/>
        <rFont val="WenQuanYi Zen Hei"/>
        <family val="2"/>
      </rPr>
      <t xml:space="preserve">万・月</t>
    </r>
    <r>
      <rPr>
        <sz val="11"/>
        <color theme="1"/>
        <rFont val="メイリオ"/>
        <family val="3"/>
        <charset val="128"/>
      </rPr>
      <t xml:space="preserve">5</t>
    </r>
    <r>
      <rPr>
        <sz val="11"/>
        <color theme="1"/>
        <rFont val="WenQuanYi Zen Hei"/>
        <family val="2"/>
      </rPr>
      <t xml:space="preserve">万（</t>
    </r>
    <r>
      <rPr>
        <sz val="11"/>
        <color theme="1"/>
        <rFont val="メイリオ"/>
        <family val="3"/>
        <charset val="128"/>
      </rPr>
      <t xml:space="preserve">FMT</t>
    </r>
    <r>
      <rPr>
        <sz val="11"/>
        <color theme="1"/>
        <rFont val="WenQuanYi Zen Hei"/>
        <family val="2"/>
      </rPr>
      <t xml:space="preserve">の目安）</t>
    </r>
  </si>
  <si>
    <t xml:space="preserve">アカウント費</t>
  </si>
  <si>
    <r>
      <rPr>
        <sz val="11"/>
        <color theme="1"/>
        <rFont val="WenQuanYi Zen Hei"/>
        <family val="2"/>
      </rPr>
      <t xml:space="preserve">アカウント費用（</t>
    </r>
    <r>
      <rPr>
        <sz val="11"/>
        <color theme="1"/>
        <rFont val="メイリオ"/>
        <family val="3"/>
        <charset val="128"/>
      </rPr>
      <t xml:space="preserve">15000</t>
    </r>
    <r>
      <rPr>
        <sz val="11"/>
        <color theme="1"/>
        <rFont val="WenQuanYi Zen Hei"/>
        <family val="2"/>
      </rPr>
      <t xml:space="preserve">円</t>
    </r>
    <r>
      <rPr>
        <sz val="11"/>
        <color theme="1"/>
        <rFont val="メイリオ"/>
        <family val="3"/>
        <charset val="128"/>
      </rPr>
      <t xml:space="preserve">or5000</t>
    </r>
    <r>
      <rPr>
        <sz val="11"/>
        <color theme="1"/>
        <rFont val="WenQuanYi Zen Hei"/>
        <family val="2"/>
      </rPr>
      <t xml:space="preserve">円）＋従量課金　※</t>
    </r>
    <r>
      <rPr>
        <sz val="11"/>
        <color theme="1"/>
        <rFont val="メイリオ"/>
        <family val="3"/>
        <charset val="128"/>
      </rPr>
      <t xml:space="preserve">5000</t>
    </r>
    <r>
      <rPr>
        <sz val="11"/>
        <color theme="1"/>
        <rFont val="WenQuanYi Zen Hei"/>
        <family val="2"/>
      </rPr>
      <t xml:space="preserve">通を超える場合</t>
    </r>
    <r>
      <rPr>
        <sz val="11"/>
        <color theme="1"/>
        <rFont val="メイリオ"/>
        <family val="3"/>
        <charset val="128"/>
      </rPr>
      <t xml:space="preserve">15000</t>
    </r>
    <r>
      <rPr>
        <sz val="11"/>
        <color theme="1"/>
        <rFont val="WenQuanYi Zen Hei"/>
        <family val="2"/>
      </rPr>
      <t xml:space="preserve">円～の設定にする ※重量課金は要確認</t>
    </r>
  </si>
  <si>
    <t xml:space="preserve">プラン単価</t>
  </si>
  <si>
    <t xml:space="preserve">初期構築費</t>
  </si>
  <si>
    <r>
      <rPr>
        <sz val="11"/>
        <color theme="1"/>
        <rFont val="メイリオ"/>
        <family val="3"/>
        <charset val="128"/>
      </rPr>
      <t xml:space="preserve">LINE</t>
    </r>
    <r>
      <rPr>
        <sz val="11"/>
        <color theme="1"/>
        <rFont val="WenQuanYi Zen Hei"/>
        <family val="2"/>
      </rPr>
      <t xml:space="preserve">運用コンサル（初期</t>
    </r>
    <r>
      <rPr>
        <sz val="11"/>
        <color theme="1"/>
        <rFont val="メイリオ"/>
        <family val="3"/>
        <charset val="128"/>
      </rPr>
      <t xml:space="preserve">20</t>
    </r>
    <r>
      <rPr>
        <sz val="11"/>
        <color theme="1"/>
        <rFont val="WenQuanYi Zen Hei"/>
        <family val="2"/>
      </rPr>
      <t xml:space="preserve">万・月</t>
    </r>
    <r>
      <rPr>
        <sz val="11"/>
        <color theme="1"/>
        <rFont val="メイリオ"/>
        <family val="3"/>
        <charset val="128"/>
      </rPr>
      <t xml:space="preserve">20</t>
    </r>
    <r>
      <rPr>
        <sz val="11"/>
        <color theme="1"/>
        <rFont val="WenQuanYi Zen Hei"/>
        <family val="2"/>
      </rPr>
      <t xml:space="preserve">万）</t>
    </r>
  </si>
  <si>
    <t xml:space="preserve">←上限通数拡大の際に使用する。</t>
  </si>
  <si>
    <t xml:space="preserve">コンサル費②</t>
  </si>
  <si>
    <t xml:space="preserve">通知メッセージ初期費用（有のみ）</t>
  </si>
  <si>
    <t xml:space="preserve">機能拡張</t>
  </si>
  <si>
    <r>
      <rPr>
        <sz val="11"/>
        <color theme="1"/>
        <rFont val="WenQuanYi Zen Hei"/>
        <family val="2"/>
      </rPr>
      <t xml:space="preserve">通知メッセージ：ツール費月</t>
    </r>
    <r>
      <rPr>
        <sz val="11"/>
        <color theme="1"/>
        <rFont val="メイリオ"/>
        <family val="3"/>
        <charset val="128"/>
      </rPr>
      <t xml:space="preserve">8</t>
    </r>
    <r>
      <rPr>
        <sz val="11"/>
        <color theme="1"/>
        <rFont val="WenQuanYi Zen Hei"/>
        <family val="2"/>
      </rPr>
      <t xml:space="preserve">万＋通数</t>
    </r>
    <r>
      <rPr>
        <sz val="11"/>
        <color theme="1"/>
        <rFont val="メイリオ"/>
        <family val="3"/>
        <charset val="128"/>
      </rPr>
      <t xml:space="preserve">×7</t>
    </r>
    <r>
      <rPr>
        <sz val="11"/>
        <color theme="1"/>
        <rFont val="WenQuanYi Zen Hei"/>
        <family val="2"/>
      </rPr>
      <t xml:space="preserve">円（有のみ）</t>
    </r>
  </si>
  <si>
    <r>
      <rPr>
        <sz val="11"/>
        <color theme="1"/>
        <rFont val="メイリオ"/>
        <family val="3"/>
        <charset val="128"/>
      </rPr>
      <t xml:space="preserve">API</t>
    </r>
    <r>
      <rPr>
        <sz val="11"/>
        <color theme="1"/>
        <rFont val="WenQuanYi Zen Hei"/>
        <family val="2"/>
      </rPr>
      <t xml:space="preserve">ツール費</t>
    </r>
  </si>
  <si>
    <t xml:space="preserve">コスト総計</t>
  </si>
  <si>
    <t xml:space="preserve">追加通数</t>
  </si>
  <si>
    <t xml:space="preserve">想定単価</t>
  </si>
  <si>
    <t xml:space="preserve">→通数減らすように係数：</t>
  </si>
  <si>
    <t xml:space="preserve">比較項目</t>
  </si>
  <si>
    <r>
      <rPr>
        <b val="true"/>
        <sz val="11"/>
        <color theme="1"/>
        <rFont val="メイリオ"/>
        <family val="3"/>
        <charset val="128"/>
      </rPr>
      <t xml:space="preserve">DYM</t>
    </r>
    <r>
      <rPr>
        <b val="true"/>
        <sz val="11"/>
        <color theme="1"/>
        <rFont val="WenQuanYi Zen Hei"/>
        <family val="2"/>
      </rPr>
      <t xml:space="preserve">実装前</t>
    </r>
  </si>
  <si>
    <r>
      <rPr>
        <b val="true"/>
        <sz val="11"/>
        <color theme="1"/>
        <rFont val="メイリオ"/>
        <family val="3"/>
        <charset val="128"/>
      </rPr>
      <t xml:space="preserve">DYM</t>
    </r>
    <r>
      <rPr>
        <b val="true"/>
        <sz val="11"/>
        <color theme="1"/>
        <rFont val="WenQuanYi Zen Hei"/>
        <family val="2"/>
      </rPr>
      <t xml:space="preserve">実装後（③か月）</t>
    </r>
  </si>
  <si>
    <r>
      <rPr>
        <b val="true"/>
        <sz val="11"/>
        <color theme="1"/>
        <rFont val="メイリオ"/>
        <family val="3"/>
        <charset val="128"/>
      </rPr>
      <t xml:space="preserve">DYM</t>
    </r>
    <r>
      <rPr>
        <b val="true"/>
        <sz val="11"/>
        <color theme="1"/>
        <rFont val="WenQuanYi Zen Hei"/>
        <family val="2"/>
      </rPr>
      <t xml:space="preserve">実装後（⑥か月）</t>
    </r>
  </si>
  <si>
    <t xml:space="preserve">コスト想定 ※月額（成果報酬プラン）</t>
  </si>
  <si>
    <t xml:space="preserve">コスト想定 ※月額（固定プラン）</t>
  </si>
  <si>
    <t xml:space="preserve">友だち数想定</t>
  </si>
  <si>
    <t xml:space="preserve">ブロック率想定</t>
  </si>
  <si>
    <t xml:space="preserve">友だち数（アクティブ）想定</t>
  </si>
  <si>
    <t xml:space="preserve">メッセ通数</t>
  </si>
  <si>
    <r>
      <rPr>
        <b val="true"/>
        <sz val="11"/>
        <color theme="1"/>
        <rFont val="WenQuanYi Zen Hei"/>
        <family val="2"/>
      </rPr>
      <t xml:space="preserve">サイト流入数（</t>
    </r>
    <r>
      <rPr>
        <b val="true"/>
        <sz val="11"/>
        <color theme="1"/>
        <rFont val="メイリオ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から）</t>
    </r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</si>
  <si>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CPC</t>
    </r>
    <r>
      <rPr>
        <b val="true"/>
        <sz val="11"/>
        <color theme="1"/>
        <rFont val="WenQuanYi Zen Hei"/>
        <family val="2"/>
      </rPr>
      <t xml:space="preserve">（</t>
    </r>
    <r>
      <rPr>
        <b val="true"/>
        <sz val="11"/>
        <color theme="1"/>
        <rFont val="メイリオ"/>
        <family val="3"/>
        <charset val="128"/>
      </rPr>
      <t xml:space="preserve">LINEOA</t>
    </r>
    <r>
      <rPr>
        <b val="true"/>
        <sz val="11"/>
        <color theme="1"/>
        <rFont val="WenQuanYi Zen Hei"/>
        <family val="2"/>
      </rPr>
      <t xml:space="preserve">施策）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成果報酬プラン</t>
    </r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</si>
  <si>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CPC</t>
    </r>
    <r>
      <rPr>
        <b val="true"/>
        <sz val="11"/>
        <color theme="1"/>
        <rFont val="WenQuanYi Zen Hei"/>
        <family val="2"/>
      </rPr>
      <t xml:space="preserve">（</t>
    </r>
    <r>
      <rPr>
        <b val="true"/>
        <sz val="11"/>
        <color theme="1"/>
        <rFont val="メイリオ"/>
        <family val="3"/>
        <charset val="128"/>
      </rPr>
      <t xml:space="preserve">LINEOA</t>
    </r>
    <r>
      <rPr>
        <b val="true"/>
        <sz val="11"/>
        <color theme="1"/>
        <rFont val="WenQuanYi Zen Hei"/>
        <family val="2"/>
      </rPr>
      <t xml:space="preserve">施策）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固定運用プラン</t>
    </r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</si>
  <si>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数（もともと）</t>
    </r>
  </si>
  <si>
    <r>
      <rPr>
        <b val="true"/>
        <sz val="11"/>
        <color theme="1"/>
        <rFont val="メイリオ"/>
        <family val="3"/>
        <charset val="128"/>
      </rPr>
      <t xml:space="preserve">CV</t>
    </r>
    <r>
      <rPr>
        <b val="true"/>
        <sz val="11"/>
        <color theme="1"/>
        <rFont val="WenQuanYi Zen Hei"/>
        <family val="2"/>
      </rPr>
      <t xml:space="preserve">数（</t>
    </r>
    <r>
      <rPr>
        <b val="true"/>
        <sz val="11"/>
        <color theme="1"/>
        <rFont val="メイリオ"/>
        <family val="3"/>
        <charset val="128"/>
      </rPr>
      <t xml:space="preserve">+LINEOA</t>
    </r>
    <r>
      <rPr>
        <b val="true"/>
        <sz val="11"/>
        <color theme="1"/>
        <rFont val="WenQuanYi Zen Hei"/>
        <family val="2"/>
      </rPr>
      <t xml:space="preserve">施策）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</si>
  <si>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内訳①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新規</t>
    </r>
    <r>
      <rPr>
        <b val="true"/>
        <sz val="11"/>
        <color theme="1"/>
        <rFont val="メイリオ"/>
        <family val="3"/>
        <charset val="128"/>
      </rPr>
      <t xml:space="preserve">CV1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</si>
  <si>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内訳②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新規</t>
    </r>
    <r>
      <rPr>
        <b val="true"/>
        <sz val="11"/>
        <color theme="1"/>
        <rFont val="メイリオ"/>
        <family val="3"/>
        <charset val="128"/>
      </rPr>
      <t xml:space="preserve">CV2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</si>
  <si>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内訳③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リピ</t>
    </r>
    <r>
      <rPr>
        <b val="true"/>
        <sz val="11"/>
        <color theme="1"/>
        <rFont val="メイリオ"/>
        <family val="3"/>
        <charset val="128"/>
      </rPr>
      <t xml:space="preserve">CV3</t>
    </r>
  </si>
  <si>
    <r>
      <rPr>
        <b val="true"/>
        <sz val="11"/>
        <color theme="1"/>
        <rFont val="メイリオ"/>
        <family val="3"/>
        <charset val="128"/>
      </rPr>
      <t xml:space="preserve">OA</t>
    </r>
    <r>
      <rPr>
        <b val="true"/>
        <sz val="11"/>
        <color theme="1"/>
        <rFont val="WenQuanYi Zen Hei"/>
        <family val="2"/>
      </rPr>
      <t xml:space="preserve">施策</t>
    </r>
    <r>
      <rPr>
        <b val="true"/>
        <sz val="11"/>
        <color theme="1"/>
        <rFont val="メイリオ"/>
        <family val="3"/>
        <charset val="128"/>
      </rPr>
      <t xml:space="preserve">CV_</t>
    </r>
    <r>
      <rPr>
        <b val="true"/>
        <sz val="11"/>
        <color theme="1"/>
        <rFont val="WenQuanYi Zen Hei"/>
        <family val="2"/>
      </rPr>
      <t xml:space="preserve">内訳④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リピ</t>
    </r>
    <r>
      <rPr>
        <b val="true"/>
        <sz val="11"/>
        <color theme="1"/>
        <rFont val="メイリオ"/>
        <family val="3"/>
        <charset val="128"/>
      </rPr>
      <t xml:space="preserve">CV4</t>
    </r>
  </si>
  <si>
    <r>
      <rPr>
        <b val="true"/>
        <sz val="11"/>
        <color theme="1"/>
        <rFont val="WenQuanYi Zen Hei"/>
        <family val="2"/>
      </rPr>
      <t xml:space="preserve">成果報酬プラン</t>
    </r>
    <r>
      <rPr>
        <b val="true"/>
        <sz val="11"/>
        <color theme="1"/>
        <rFont val="メイリオ"/>
        <family val="3"/>
        <charset val="128"/>
      </rPr>
      <t xml:space="preserve">_CPA</t>
    </r>
    <r>
      <rPr>
        <b val="true"/>
        <sz val="11"/>
        <color theme="1"/>
        <rFont val="WenQuanYi Zen Hei"/>
        <family val="2"/>
      </rPr>
      <t xml:space="preserve">（単純計算）</t>
    </r>
  </si>
  <si>
    <r>
      <rPr>
        <b val="true"/>
        <sz val="11"/>
        <color theme="1"/>
        <rFont val="WenQuanYi Zen Hei"/>
        <family val="2"/>
      </rPr>
      <t xml:space="preserve">固定費プラン</t>
    </r>
    <r>
      <rPr>
        <b val="true"/>
        <sz val="11"/>
        <color theme="1"/>
        <rFont val="メイリオ"/>
        <family val="3"/>
        <charset val="128"/>
      </rPr>
      <t xml:space="preserve">_CPA</t>
    </r>
    <r>
      <rPr>
        <b val="true"/>
        <sz val="11"/>
        <color theme="1"/>
        <rFont val="WenQuanYi Zen Hei"/>
        <family val="2"/>
      </rPr>
      <t xml:space="preserve">（単純計算）</t>
    </r>
  </si>
  <si>
    <r>
      <rPr>
        <b val="true"/>
        <sz val="11"/>
        <color theme="1"/>
        <rFont val="WenQuanYi Zen Hei"/>
        <family val="2"/>
      </rPr>
      <t xml:space="preserve">備考</t>
    </r>
    <r>
      <rPr>
        <b val="true"/>
        <sz val="11"/>
        <color theme="1"/>
        <rFont val="メイリオ"/>
        <family val="3"/>
        <charset val="128"/>
      </rPr>
      <t xml:space="preserve">_</t>
    </r>
    <r>
      <rPr>
        <b val="true"/>
        <sz val="11"/>
        <color theme="1"/>
        <rFont val="WenQuanYi Zen Hei"/>
        <family val="2"/>
      </rPr>
      <t xml:space="preserve">合計コスト</t>
    </r>
    <r>
      <rPr>
        <b val="true"/>
        <sz val="11"/>
        <color theme="1"/>
        <rFont val="メイリオ"/>
        <family val="3"/>
        <charset val="128"/>
      </rPr>
      <t xml:space="preserve">(</t>
    </r>
    <r>
      <rPr>
        <b val="true"/>
        <sz val="11"/>
        <color theme="1"/>
        <rFont val="WenQuanYi Zen Hei"/>
        <family val="2"/>
      </rPr>
      <t xml:space="preserve">従量課金</t>
    </r>
    <r>
      <rPr>
        <b val="true"/>
        <sz val="11"/>
        <color theme="1"/>
        <rFont val="メイリオ"/>
        <family val="3"/>
        <charset val="128"/>
      </rPr>
      <t xml:space="preserve">) ※</t>
    </r>
    <r>
      <rPr>
        <b val="true"/>
        <sz val="11"/>
        <color theme="1"/>
        <rFont val="WenQuanYi Zen Hei"/>
        <family val="2"/>
      </rPr>
      <t xml:space="preserve">アカウント費用</t>
    </r>
  </si>
  <si>
    <t xml:space="preserve">従量課金対象単価</t>
  </si>
  <si>
    <t xml:space="preserve">備考単価</t>
  </si>
  <si>
    <t xml:space="preserve">階層別</t>
  </si>
  <si>
    <t xml:space="preserve">母数</t>
  </si>
  <si>
    <t xml:space="preserve">誘導率</t>
  </si>
  <si>
    <r>
      <rPr>
        <b val="true"/>
        <sz val="11"/>
        <color theme="1"/>
        <rFont val="WenQuanYi Zen Hei"/>
        <family val="2"/>
      </rPr>
      <t xml:space="preserve">想定</t>
    </r>
    <r>
      <rPr>
        <b val="true"/>
        <sz val="11"/>
        <color theme="1"/>
        <rFont val="メイリオ"/>
        <family val="3"/>
        <charset val="128"/>
      </rPr>
      <t xml:space="preserve">CVR</t>
    </r>
  </si>
  <si>
    <r>
      <rPr>
        <b val="true"/>
        <sz val="20"/>
        <color theme="1"/>
        <rFont val="WenQuanYi Zen Hei"/>
        <family val="2"/>
      </rPr>
      <t xml:space="preserve">株式会社チェングロウス御中</t>
    </r>
    <r>
      <rPr>
        <b val="true"/>
        <sz val="20"/>
        <color theme="1"/>
        <rFont val="メイリオ"/>
        <family val="3"/>
        <charset val="128"/>
      </rPr>
      <t xml:space="preserve">_LINEOA</t>
    </r>
    <r>
      <rPr>
        <b val="true"/>
        <sz val="20"/>
        <color theme="1"/>
        <rFont val="WenQuanYi Zen Hei"/>
        <family val="2"/>
      </rPr>
      <t xml:space="preserve">施策提案【</t>
    </r>
    <r>
      <rPr>
        <b val="true"/>
        <sz val="20"/>
        <color theme="1"/>
        <rFont val="メイリオ"/>
        <family val="3"/>
        <charset val="128"/>
      </rPr>
      <t xml:space="preserve">SIM</t>
    </r>
    <r>
      <rPr>
        <b val="true"/>
        <sz val="20"/>
        <color theme="1"/>
        <rFont val="WenQuanYi Zen Hei"/>
        <family val="2"/>
      </rPr>
      <t xml:space="preserve">】（通知メッセージ無）</t>
    </r>
  </si>
  <si>
    <r>
      <rPr>
        <b val="true"/>
        <sz val="11"/>
        <color rgb="FFFF0000"/>
        <rFont val="WenQuanYi Zen Hei"/>
        <family val="2"/>
      </rPr>
      <t xml:space="preserve">友だち数</t>
    </r>
    <r>
      <rPr>
        <b val="true"/>
        <sz val="11"/>
        <color rgb="FFFF0000"/>
        <rFont val="游ゴシック"/>
        <family val="3"/>
        <charset val="128"/>
      </rPr>
      <t xml:space="preserve">_</t>
    </r>
    <r>
      <rPr>
        <b val="true"/>
        <sz val="11"/>
        <color rgb="FFFF0000"/>
        <rFont val="WenQuanYi Zen Hei"/>
        <family val="2"/>
      </rPr>
      <t xml:space="preserve">増加施策</t>
    </r>
  </si>
  <si>
    <t xml:space="preserve">離脱防止 ※</t>
  </si>
  <si>
    <t xml:space="preserve">掲載率</t>
  </si>
  <si>
    <t xml:space="preserve">※サイト構成、要望により変動</t>
  </si>
  <si>
    <t xml:space="preserve">追加率</t>
  </si>
  <si>
    <r>
      <rPr>
        <b val="true"/>
        <sz val="11"/>
        <color theme="1"/>
        <rFont val="WenQuanYi Zen Hei"/>
        <family val="2"/>
      </rPr>
      <t xml:space="preserve">サイト→</t>
    </r>
    <r>
      <rPr>
        <b val="true"/>
        <sz val="11"/>
        <color theme="1"/>
        <rFont val="游ゴシック"/>
        <family val="3"/>
        <charset val="128"/>
      </rPr>
      <t xml:space="preserve">LINE</t>
    </r>
    <r>
      <rPr>
        <b val="true"/>
        <sz val="11"/>
        <color theme="1"/>
        <rFont val="WenQuanYi Zen Hei"/>
        <family val="2"/>
      </rPr>
      <t xml:space="preserve">の導線の改善 ※</t>
    </r>
  </si>
  <si>
    <t xml:space="preserve">サンクスページ誘導 ※</t>
  </si>
  <si>
    <r>
      <rPr>
        <sz val="11"/>
        <color theme="1"/>
        <rFont val="WenQuanYi Zen Hei"/>
        <family val="2"/>
      </rPr>
      <t xml:space="preserve">ただ</t>
    </r>
    <r>
      <rPr>
        <sz val="11"/>
        <color theme="1"/>
        <rFont val="游ゴシック"/>
        <family val="2"/>
        <charset val="128"/>
      </rPr>
      <t xml:space="preserve">CV</t>
    </r>
    <r>
      <rPr>
        <sz val="11"/>
        <color theme="1"/>
        <rFont val="WenQuanYi Zen Hei"/>
        <family val="2"/>
      </rPr>
      <t xml:space="preserve">が増えるわけではない</t>
    </r>
  </si>
  <si>
    <t xml:space="preserve">掲載数</t>
  </si>
  <si>
    <t xml:space="preserve">※カウントしない</t>
  </si>
  <si>
    <t xml:space="preserve">通知メッセの改善 ※</t>
  </si>
  <si>
    <t xml:space="preserve">配信効率改善施策</t>
  </si>
  <si>
    <t xml:space="preserve">※具体的なセグメントの仕方、企画により変動</t>
  </si>
  <si>
    <t xml:space="preserve">課金</t>
  </si>
  <si>
    <r>
      <rPr>
        <b val="true"/>
        <sz val="11"/>
        <color theme="1"/>
        <rFont val="游ゴシック"/>
        <family val="3"/>
        <charset val="128"/>
      </rPr>
      <t xml:space="preserve">&gt; </t>
    </r>
    <r>
      <rPr>
        <b val="true"/>
        <sz val="11"/>
        <color theme="1"/>
        <rFont val="WenQuanYi Zen Hei"/>
        <family val="2"/>
      </rPr>
      <t xml:space="preserve">通常メッセ</t>
    </r>
  </si>
  <si>
    <r>
      <rPr>
        <sz val="11"/>
        <color theme="1"/>
        <rFont val="WenQuanYi Zen Hei"/>
        <family val="2"/>
      </rPr>
      <t xml:space="preserve">企画投稿（セグメント</t>
    </r>
    <r>
      <rPr>
        <sz val="11"/>
        <color theme="1"/>
        <rFont val="游ゴシック"/>
        <family val="2"/>
        <charset val="128"/>
      </rPr>
      <t xml:space="preserve">or</t>
    </r>
    <r>
      <rPr>
        <sz val="11"/>
        <color theme="1"/>
        <rFont val="WenQuanYi Zen Hei"/>
        <family val="2"/>
      </rPr>
      <t xml:space="preserve">一斉配信）</t>
    </r>
  </si>
  <si>
    <t xml:space="preserve">追いメッセージ（ステップ、シナリオ）</t>
  </si>
  <si>
    <r>
      <rPr>
        <sz val="11"/>
        <color theme="1"/>
        <rFont val="游ゴシック"/>
        <family val="2"/>
        <charset val="128"/>
      </rPr>
      <t xml:space="preserve">VOOM</t>
    </r>
    <r>
      <rPr>
        <sz val="11"/>
        <color theme="1"/>
        <rFont val="WenQuanYi Zen Hei"/>
        <family val="2"/>
      </rPr>
      <t xml:space="preserve">投稿　※同時進行の場合が多い</t>
    </r>
  </si>
  <si>
    <r>
      <rPr>
        <sz val="11"/>
        <color theme="1"/>
        <rFont val="游ゴシック"/>
        <family val="2"/>
        <charset val="128"/>
      </rPr>
      <t xml:space="preserve">CV</t>
    </r>
    <r>
      <rPr>
        <sz val="11"/>
        <color theme="1"/>
        <rFont val="WenQuanYi Zen Hei"/>
        <family val="2"/>
      </rPr>
      <t xml:space="preserve">率</t>
    </r>
  </si>
  <si>
    <r>
      <rPr>
        <sz val="11"/>
        <color theme="1"/>
        <rFont val="WenQuanYi Zen Hei"/>
        <family val="2"/>
      </rPr>
      <t xml:space="preserve">通知メッセージ（</t>
    </r>
    <r>
      <rPr>
        <sz val="11"/>
        <color theme="1"/>
        <rFont val="游ゴシック"/>
        <family val="2"/>
        <charset val="128"/>
      </rPr>
      <t xml:space="preserve">1</t>
    </r>
    <r>
      <rPr>
        <sz val="11"/>
        <color theme="1"/>
        <rFont val="WenQuanYi Zen Hei"/>
        <family val="2"/>
      </rPr>
      <t xml:space="preserve">通</t>
    </r>
    <r>
      <rPr>
        <sz val="11"/>
        <color theme="1"/>
        <rFont val="游ゴシック"/>
        <family val="2"/>
        <charset val="128"/>
      </rPr>
      <t xml:space="preserve">7</t>
    </r>
    <r>
      <rPr>
        <sz val="11"/>
        <color theme="1"/>
        <rFont val="WenQuanYi Zen Hei"/>
        <family val="2"/>
      </rPr>
      <t xml:space="preserve">円くらいの想定）　※機能導入が必要　※ツール費：月</t>
    </r>
    <r>
      <rPr>
        <sz val="11"/>
        <color theme="1"/>
        <rFont val="游ゴシック"/>
        <family val="2"/>
        <charset val="128"/>
      </rPr>
      <t xml:space="preserve">8</t>
    </r>
    <r>
      <rPr>
        <sz val="11"/>
        <color theme="1"/>
        <rFont val="WenQuanYi Zen Hei"/>
        <family val="2"/>
      </rPr>
      <t xml:space="preserve">万～</t>
    </r>
  </si>
  <si>
    <r>
      <rPr>
        <b val="true"/>
        <sz val="11"/>
        <color theme="1"/>
        <rFont val="游ゴシック"/>
        <family val="3"/>
        <charset val="128"/>
      </rPr>
      <t xml:space="preserve">&gt; </t>
    </r>
    <r>
      <rPr>
        <b val="true"/>
        <sz val="11"/>
        <color theme="1"/>
        <rFont val="WenQuanYi Zen Hei"/>
        <family val="2"/>
      </rPr>
      <t xml:space="preserve">追いメッセ（ステップ、シナリオ）</t>
    </r>
  </si>
  <si>
    <t xml:space="preserve">非課金</t>
  </si>
  <si>
    <t xml:space="preserve">自動の即時応答</t>
  </si>
  <si>
    <t xml:space="preserve">個別チャット対応</t>
  </si>
  <si>
    <t xml:space="preserve">あいさつメッセージ</t>
  </si>
  <si>
    <t xml:space="preserve">（リッチメニュー）</t>
  </si>
  <si>
    <r>
      <rPr>
        <b val="true"/>
        <sz val="11"/>
        <color theme="1"/>
        <rFont val="游ゴシック"/>
        <family val="3"/>
        <charset val="128"/>
      </rPr>
      <t xml:space="preserve">&gt; </t>
    </r>
    <r>
      <rPr>
        <b val="true"/>
        <sz val="11"/>
        <color theme="1"/>
        <rFont val="WenQuanYi Zen Hei"/>
        <family val="2"/>
      </rPr>
      <t xml:space="preserve">その他（リッチメニュー）</t>
    </r>
  </si>
  <si>
    <r>
      <rPr>
        <b val="true"/>
        <sz val="11"/>
        <color theme="1"/>
        <rFont val="游ゴシック"/>
        <family val="3"/>
        <charset val="128"/>
      </rPr>
      <t xml:space="preserve">&gt;</t>
    </r>
    <r>
      <rPr>
        <b val="true"/>
        <sz val="11"/>
        <color theme="1"/>
        <rFont val="WenQuanYi Zen Hei"/>
        <family val="2"/>
      </rPr>
      <t xml:space="preserve">挨拶メッセ</t>
    </r>
  </si>
  <si>
    <r>
      <rPr>
        <b val="true"/>
        <sz val="11"/>
        <color theme="1"/>
        <rFont val="游ゴシック"/>
        <family val="3"/>
        <charset val="128"/>
      </rPr>
      <t xml:space="preserve">&gt;</t>
    </r>
    <r>
      <rPr>
        <b val="true"/>
        <sz val="11"/>
        <color theme="1"/>
        <rFont val="WenQuanYi Zen Hei"/>
        <family val="2"/>
      </rPr>
      <t xml:space="preserve">挨拶メッセ（アンケート回答率）</t>
    </r>
  </si>
  <si>
    <t xml:space="preserve">回答率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</si>
</sst>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/d/yyyy"/>
    <numFmt numFmtId="166" formatCode="\$#,##0_);[RED]&quot;($&quot;#,##0\)"/>
    <numFmt numFmtId="167" formatCode="\¥#,##0;[RED]&quot;¥-&quot;#,##0"/>
    <numFmt numFmtId="168" formatCode="#,##0_);[RED]\(#,##0\)"/>
    <numFmt numFmtId="169" formatCode="General"/>
    <numFmt numFmtId="170" formatCode="#,##0"/>
    <numFmt numFmtId="171" formatCode="0%"/>
    <numFmt numFmtId="172" formatCode="0.00%"/>
    <numFmt numFmtId="173" formatCode="0.0%"/>
  </numFmts>
  <fonts count="34">
    <font>
      <sz val="11"/>
      <color theme="1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メイリオ"/>
      <family val="3"/>
      <charset val="128"/>
    </font>
    <font>
      <b val="true"/>
      <sz val="11"/>
      <color theme="1"/>
      <name val="メイリオ"/>
      <family val="3"/>
      <charset val="128"/>
    </font>
    <font>
      <b val="true"/>
      <sz val="20"/>
      <color theme="1"/>
      <name val="WenQuanYi Zen Hei"/>
      <family val="2"/>
    </font>
    <font>
      <b val="true"/>
      <sz val="20"/>
      <color theme="1"/>
      <name val="メイリオ"/>
      <family val="3"/>
      <charset val="128"/>
    </font>
    <font>
      <b val="true"/>
      <sz val="11"/>
      <color rgb="FFFF0000"/>
      <name val="メイリオ"/>
      <family val="3"/>
      <charset val="128"/>
    </font>
    <font>
      <b val="true"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 val="true"/>
      <sz val="11"/>
      <color rgb="FFFF0000"/>
      <name val="WenQuanYi Zen Hei"/>
      <family val="2"/>
    </font>
    <font>
      <b val="true"/>
      <sz val="11"/>
      <color theme="1"/>
      <name val="WenQuanYi Zen Hei"/>
      <family val="2"/>
    </font>
    <font>
      <sz val="11"/>
      <color theme="1"/>
      <name val="WenQuanYi Zen Hei"/>
      <family val="2"/>
    </font>
    <font>
      <sz val="11"/>
      <color rgb="FFFF0000"/>
      <name val="WenQuanYi Zen Hei"/>
      <family val="2"/>
    </font>
    <font>
      <sz val="11"/>
      <color rgb="FFFF0000"/>
      <name val="メイリオ"/>
      <family val="3"/>
      <charset val="128"/>
    </font>
    <font>
      <b val="true"/>
      <sz val="11"/>
      <color theme="0"/>
      <name val="WenQuanYi Zen Hei"/>
      <family val="2"/>
    </font>
    <font>
      <b val="true"/>
      <sz val="11"/>
      <color theme="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1"/>
      <color theme="0" tint="-0.35"/>
      <name val="メイリオ"/>
      <family val="3"/>
      <charset val="128"/>
    </font>
    <font>
      <sz val="12"/>
      <name val="Arial"/>
      <family val="2"/>
      <charset val="1"/>
    </font>
    <font>
      <sz val="11"/>
      <color theme="0" tint="-0.35"/>
      <name val="WenQuanYi Zen Hei"/>
      <family val="2"/>
    </font>
    <font>
      <sz val="11"/>
      <color theme="2" tint="-0.75"/>
      <name val="WenQuanYi Zen Hei"/>
      <family val="2"/>
    </font>
    <font>
      <sz val="11"/>
      <color theme="2" tint="-0.75"/>
      <name val="メイリオ"/>
      <family val="3"/>
      <charset val="128"/>
    </font>
    <font>
      <sz val="12"/>
      <color rgb="FFFF0000"/>
      <name val="メイリオ"/>
      <family val="3"/>
      <charset val="128"/>
    </font>
    <font>
      <b val="true"/>
      <sz val="12"/>
      <color rgb="FF000000"/>
      <name val="メイリオ"/>
      <family val="3"/>
      <charset val="128"/>
    </font>
    <font>
      <sz val="11"/>
      <color theme="0" tint="-0.25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color theme="2" tint="-0.5"/>
      <name val="メイリオ"/>
      <family val="3"/>
      <charset val="128"/>
    </font>
    <font>
      <sz val="10"/>
      <color theme="1"/>
      <name val="WenQuanYi Zen Hei"/>
      <family val="2"/>
    </font>
    <font>
      <b val="true"/>
      <sz val="10"/>
      <color theme="1"/>
      <name val="WenQuanYi Zen Hei"/>
      <family val="2"/>
    </font>
    <font>
      <sz val="9"/>
      <color theme="1"/>
      <name val="メイリオ"/>
      <family val="3"/>
      <charset val="128"/>
    </font>
    <font>
      <b val="true"/>
      <sz val="11"/>
      <color rgb="FFFF0000"/>
      <name val="游ゴシック"/>
      <family val="3"/>
      <charset val="128"/>
    </font>
    <font>
      <b val="true"/>
      <sz val="11"/>
      <color theme="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theme="0" tint="-0.05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E8E8E8"/>
      </patternFill>
    </fill>
    <fill>
      <patternFill patternType="solid">
        <fgColor theme="4" tint="-0.5"/>
        <bgColor rgb="FF0E2841"/>
      </patternFill>
    </fill>
    <fill>
      <patternFill patternType="solid">
        <fgColor theme="3"/>
        <bgColor rgb="FF0B3041"/>
      </patternFill>
    </fill>
    <fill>
      <patternFill patternType="solid">
        <fgColor rgb="FFFF0000"/>
        <bgColor rgb="FF993300"/>
      </patternFill>
    </fill>
    <fill>
      <patternFill patternType="solid">
        <fgColor theme="0" tint="-0.15"/>
        <bgColor rgb="FFD1D1D1"/>
      </patternFill>
    </fill>
    <fill>
      <patternFill patternType="solid">
        <fgColor rgb="FFE8E8E8"/>
        <bgColor rgb="FFDCEAF7"/>
      </patternFill>
    </fill>
    <fill>
      <patternFill patternType="solid">
        <fgColor theme="3" tint="0.8999"/>
        <bgColor rgb="FFE8E8E8"/>
      </patternFill>
    </fill>
    <fill>
      <patternFill patternType="solid">
        <fgColor theme="0" tint="-0.25"/>
        <bgColor rgb="FFD1D1D1"/>
      </patternFill>
    </fill>
    <fill>
      <patternFill patternType="solid">
        <fgColor theme="2" tint="-0.1"/>
        <bgColor rgb="FFD9D9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8" fillId="9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70" fontId="18" fillId="0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4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8" fontId="18" fillId="0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3" fontId="4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3" fontId="5" fillId="4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8" fillId="9" borderId="1" xfId="19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2" fontId="18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9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0" fontId="24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8" fontId="4" fillId="9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9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70" fontId="25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9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8" fillId="0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7" fontId="4" fillId="4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5" fillId="9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1" xfId="21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8" fontId="4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8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7" fillId="7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2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" fillId="0" borderId="1" xfId="1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1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[0]" xfId="20"/>
    <cellStyle name="Excel Built-in Comma [0]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47474"/>
      <rgbColor rgb="FF9999FF"/>
      <rgbColor rgb="FF993366"/>
      <rgbColor rgb="FFF2F2F2"/>
      <rgbColor rgb="FFDCEAF7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D9D9"/>
      <rgbColor rgb="FFFFFF99"/>
      <rgbColor rgb="FF99CCFF"/>
      <rgbColor rgb="FFFF99CC"/>
      <rgbColor rgb="FFCC99FF"/>
      <rgbColor rgb="FFFBE3D6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B3041"/>
      <rgbColor rgb="FF339966"/>
      <rgbColor rgb="FF0E2841"/>
      <rgbColor rgb="FF333300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76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9" defaultRowHeight="18.7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29.25"/>
    <col collapsed="false" customWidth="true" hidden="false" outlineLevel="0" max="12" min="3" style="1" width="20"/>
    <col collapsed="false" customWidth="true" hidden="false" outlineLevel="0" max="13" min="13" style="1" width="2.63"/>
    <col collapsed="false" customWidth="true" hidden="false" outlineLevel="0" max="14" min="14" style="2" width="44.5"/>
    <col collapsed="false" customWidth="true" hidden="false" outlineLevel="0" max="17" min="15" style="1" width="24.13"/>
    <col collapsed="false" customWidth="true" hidden="false" outlineLevel="0" max="18" min="18" style="1" width="2.88"/>
    <col collapsed="false" customWidth="true" hidden="false" outlineLevel="0" max="19" min="19" style="1" width="12.13"/>
    <col collapsed="false" customWidth="true" hidden="false" outlineLevel="0" max="20" min="20" style="1" width="2.63"/>
    <col collapsed="false" customWidth="true" hidden="false" outlineLevel="0" max="21" min="21" style="1" width="12.13"/>
    <col collapsed="false" customWidth="true" hidden="false" outlineLevel="0" max="22" min="22" style="1" width="2.88"/>
    <col collapsed="false" customWidth="true" hidden="false" outlineLevel="0" max="23" min="23" style="1" width="12.13"/>
    <col collapsed="false" customWidth="true" hidden="false" outlineLevel="0" max="24" min="24" style="1" width="2.63"/>
    <col collapsed="false" customWidth="true" hidden="false" outlineLevel="0" max="25" min="25" style="1" width="12.13"/>
    <col collapsed="false" customWidth="false" hidden="false" outlineLevel="0" max="16384" min="26" style="1" width="9"/>
  </cols>
  <sheetData>
    <row r="2" customFormat="false" ht="18.75" hidden="false" customHeight="false" outlineLevel="0" collapsed="false">
      <c r="A2" s="3" t="s">
        <v>0</v>
      </c>
      <c r="B2" s="4" t="n">
        <v>46269</v>
      </c>
    </row>
    <row r="4" customFormat="false" ht="45.75" hidden="false" customHeight="true" outlineLevel="0" collapsed="false">
      <c r="A4" s="5" t="s">
        <v>1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="8" customFormat="true" ht="22.5" hidden="false" customHeight="true" outlineLevel="0" collapsed="false">
      <c r="A5" s="7"/>
      <c r="B5" s="7"/>
      <c r="C5" s="7"/>
      <c r="D5" s="7"/>
      <c r="N5" s="9" t="s">
        <v>2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customFormat="false" ht="18.75" hidden="false" customHeight="false" outlineLevel="0" collapsed="false"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customFormat="false" ht="19.5" hidden="false" customHeight="true" outlineLevel="0" collapsed="false">
      <c r="A7" s="10" t="s">
        <v>3</v>
      </c>
      <c r="B7" s="11" t="s">
        <v>4</v>
      </c>
      <c r="C7" s="11" t="s">
        <v>5</v>
      </c>
      <c r="D7" s="11" t="s">
        <v>6</v>
      </c>
    </row>
    <row r="8" customFormat="false" ht="19.5" hidden="false" customHeight="true" outlineLevel="0" collapsed="false">
      <c r="A8" s="12" t="s">
        <v>7</v>
      </c>
      <c r="B8" s="13" t="s">
        <v>8</v>
      </c>
      <c r="C8" s="14" t="s">
        <v>9</v>
      </c>
      <c r="D8" s="15" t="n">
        <v>0</v>
      </c>
      <c r="G8" s="16" t="s">
        <v>10</v>
      </c>
      <c r="H8" s="17" t="n">
        <v>6100</v>
      </c>
      <c r="I8" s="18"/>
      <c r="J8" s="19" t="s">
        <v>11</v>
      </c>
      <c r="K8" s="20" t="n">
        <v>0</v>
      </c>
      <c r="N8" s="2" t="s">
        <v>12</v>
      </c>
      <c r="O8" s="21" t="s">
        <v>13</v>
      </c>
    </row>
    <row r="9" customFormat="false" ht="19.5" hidden="false" customHeight="true" outlineLevel="0" collapsed="false">
      <c r="A9" s="12"/>
      <c r="B9" s="13" t="s">
        <v>14</v>
      </c>
      <c r="C9" s="13" t="s">
        <v>15</v>
      </c>
      <c r="D9" s="15" t="n">
        <v>0</v>
      </c>
      <c r="G9" s="22" t="s">
        <v>16</v>
      </c>
      <c r="H9" s="23" t="n">
        <v>5000</v>
      </c>
      <c r="I9" s="24"/>
      <c r="J9" s="10"/>
      <c r="K9" s="25"/>
      <c r="N9" s="26" t="s">
        <v>17</v>
      </c>
      <c r="O9" s="27" t="s">
        <v>18</v>
      </c>
      <c r="P9" s="28" t="b">
        <f aca="false">FALSE()</f>
        <v>0</v>
      </c>
    </row>
    <row r="10" customFormat="false" ht="18.75" hidden="false" customHeight="false" outlineLevel="0" collapsed="false">
      <c r="A10" s="12" t="s">
        <v>19</v>
      </c>
      <c r="B10" s="13" t="s">
        <v>20</v>
      </c>
      <c r="C10" s="13" t="s">
        <v>15</v>
      </c>
      <c r="D10" s="15" t="n">
        <v>0</v>
      </c>
      <c r="G10" s="22" t="s">
        <v>21</v>
      </c>
      <c r="H10" s="23" t="n">
        <v>45</v>
      </c>
      <c r="I10" s="29" t="s">
        <v>22</v>
      </c>
      <c r="J10" s="10"/>
      <c r="K10" s="25"/>
      <c r="N10" s="30" t="s">
        <v>23</v>
      </c>
    </row>
    <row r="11" customFormat="false" ht="19.5" hidden="false" customHeight="true" outlineLevel="0" collapsed="false">
      <c r="A11" s="12"/>
      <c r="B11" s="13" t="s">
        <v>24</v>
      </c>
      <c r="C11" s="13" t="s">
        <v>15</v>
      </c>
      <c r="D11" s="15" t="n">
        <v>0</v>
      </c>
      <c r="G11" s="31" t="s">
        <v>25</v>
      </c>
      <c r="H11" s="32" t="n">
        <v>0</v>
      </c>
      <c r="I11" s="33" t="s">
        <v>26</v>
      </c>
      <c r="J11" s="34"/>
      <c r="K11" s="35"/>
    </row>
    <row r="12" customFormat="false" ht="18.75" hidden="false" customHeight="false" outlineLevel="0" collapsed="false">
      <c r="O12" s="9" t="s">
        <v>27</v>
      </c>
      <c r="P12" s="6"/>
      <c r="Q12" s="6"/>
      <c r="S12" s="6"/>
      <c r="T12" s="6"/>
      <c r="U12" s="6"/>
      <c r="V12" s="6"/>
    </row>
    <row r="13" customFormat="false" ht="18.75" hidden="false" customHeight="false" outlineLevel="0" collapsed="false">
      <c r="A13" s="36" t="s">
        <v>28</v>
      </c>
      <c r="B13" s="36"/>
      <c r="C13" s="37"/>
      <c r="D13" s="38" t="s">
        <v>29</v>
      </c>
      <c r="E13" s="39" t="s">
        <v>30</v>
      </c>
      <c r="F13" s="39" t="s">
        <v>31</v>
      </c>
      <c r="G13" s="39" t="s">
        <v>32</v>
      </c>
      <c r="H13" s="39" t="s">
        <v>33</v>
      </c>
      <c r="I13" s="39" t="s">
        <v>34</v>
      </c>
      <c r="J13" s="39" t="s">
        <v>35</v>
      </c>
      <c r="K13" s="40" t="s">
        <v>36</v>
      </c>
      <c r="L13" s="41" t="s">
        <v>37</v>
      </c>
      <c r="N13" s="42" t="s">
        <v>38</v>
      </c>
      <c r="O13" s="43" t="s">
        <v>39</v>
      </c>
      <c r="P13" s="44"/>
      <c r="Q13" s="44"/>
      <c r="S13" s="44"/>
      <c r="T13" s="44"/>
      <c r="U13" s="44"/>
      <c r="V13" s="44"/>
    </row>
    <row r="14" customFormat="false" ht="19.5" hidden="false" customHeight="true" outlineLevel="0" collapsed="false">
      <c r="A14" s="45" t="s">
        <v>40</v>
      </c>
      <c r="B14" s="46" t="s">
        <v>41</v>
      </c>
      <c r="C14" s="47"/>
      <c r="D14" s="48" t="n">
        <f aca="false">+H8</f>
        <v>6100</v>
      </c>
      <c r="E14" s="49" t="n">
        <v>6207</v>
      </c>
      <c r="F14" s="49" t="n">
        <v>6112</v>
      </c>
      <c r="G14" s="49" t="n">
        <v>6066</v>
      </c>
      <c r="H14" s="49" t="n">
        <v>6179</v>
      </c>
      <c r="I14" s="49" t="n">
        <v>6005</v>
      </c>
      <c r="J14" s="49" t="n">
        <v>6243</v>
      </c>
      <c r="K14" s="50"/>
      <c r="L14" s="51"/>
    </row>
    <row r="15" customFormat="false" ht="19.5" hidden="false" customHeight="true" outlineLevel="0" collapsed="false">
      <c r="A15" s="45"/>
      <c r="B15" s="46" t="s">
        <v>42</v>
      </c>
      <c r="C15" s="47"/>
      <c r="D15" s="48" t="n">
        <f aca="false">+H9</f>
        <v>5000</v>
      </c>
      <c r="E15" s="49" t="n">
        <v>5088</v>
      </c>
      <c r="F15" s="49" t="n">
        <v>5010</v>
      </c>
      <c r="G15" s="49" t="n">
        <v>4972</v>
      </c>
      <c r="H15" s="49" t="n">
        <v>5065</v>
      </c>
      <c r="I15" s="49" t="n">
        <v>4922</v>
      </c>
      <c r="J15" s="49" t="n">
        <v>5118</v>
      </c>
      <c r="K15" s="50"/>
      <c r="L15" s="51"/>
      <c r="N15" s="52" t="s">
        <v>43</v>
      </c>
      <c r="O15" s="53" t="s">
        <v>44</v>
      </c>
      <c r="P15" s="54" t="n">
        <v>0.005</v>
      </c>
      <c r="S15" s="10" t="s">
        <v>45</v>
      </c>
    </row>
    <row r="16" customFormat="false" ht="19.5" hidden="false" customHeight="true" outlineLevel="0" collapsed="false">
      <c r="A16" s="45"/>
      <c r="B16" s="46" t="s">
        <v>46</v>
      </c>
      <c r="C16" s="47"/>
      <c r="D16" s="48" t="n">
        <f aca="false">H10</f>
        <v>45</v>
      </c>
      <c r="E16" s="49" t="n">
        <v>40</v>
      </c>
      <c r="F16" s="49" t="n">
        <v>41</v>
      </c>
      <c r="G16" s="49" t="n">
        <v>43</v>
      </c>
      <c r="H16" s="49" t="n">
        <v>45</v>
      </c>
      <c r="I16" s="49" t="n">
        <v>44</v>
      </c>
      <c r="J16" s="49" t="n">
        <v>47</v>
      </c>
      <c r="K16" s="50"/>
      <c r="L16" s="51"/>
      <c r="N16" s="52" t="s">
        <v>43</v>
      </c>
      <c r="O16" s="53" t="s">
        <v>47</v>
      </c>
      <c r="P16" s="54" t="n">
        <v>0.0025</v>
      </c>
      <c r="S16" s="55" t="s">
        <v>48</v>
      </c>
    </row>
    <row r="17" customFormat="false" ht="18.75" hidden="false" customHeight="false" outlineLevel="0" collapsed="false">
      <c r="A17" s="56" t="s">
        <v>49</v>
      </c>
      <c r="B17" s="57" t="s">
        <v>50</v>
      </c>
      <c r="C17" s="58"/>
      <c r="D17" s="59" t="b">
        <f aca="false">FALSE()</f>
        <v>0</v>
      </c>
      <c r="E17" s="60" t="b">
        <f aca="false">FALSE()</f>
        <v>0</v>
      </c>
      <c r="F17" s="60" t="b">
        <f aca="false">FALSE()</f>
        <v>0</v>
      </c>
      <c r="G17" s="60" t="b">
        <f aca="false">FALSE()</f>
        <v>0</v>
      </c>
      <c r="H17" s="60" t="b">
        <f aca="false">FALSE()</f>
        <v>0</v>
      </c>
      <c r="I17" s="60" t="b">
        <f aca="false">FALSE()</f>
        <v>0</v>
      </c>
      <c r="J17" s="60" t="b">
        <f aca="false">FALSE()</f>
        <v>0</v>
      </c>
      <c r="K17" s="61" t="s">
        <v>51</v>
      </c>
      <c r="L17" s="62" t="s">
        <v>51</v>
      </c>
      <c r="S17" s="55" t="s">
        <v>52</v>
      </c>
      <c r="W17" s="55" t="s">
        <v>53</v>
      </c>
      <c r="Z17" s="21" t="s">
        <v>54</v>
      </c>
    </row>
    <row r="18" customFormat="false" ht="18.75" hidden="false" customHeight="false" outlineLevel="0" collapsed="false">
      <c r="A18" s="56"/>
      <c r="B18" s="63" t="s">
        <v>55</v>
      </c>
      <c r="C18" s="58"/>
      <c r="D18" s="59" t="b">
        <f aca="false">FALSE()</f>
        <v>0</v>
      </c>
      <c r="E18" s="60" t="b">
        <f aca="false">TRUE()</f>
        <v>1</v>
      </c>
      <c r="F18" s="60" t="b">
        <f aca="false">TRUE()</f>
        <v>1</v>
      </c>
      <c r="G18" s="60" t="b">
        <f aca="false">TRUE()</f>
        <v>1</v>
      </c>
      <c r="H18" s="60" t="b">
        <f aca="false">TRUE()</f>
        <v>1</v>
      </c>
      <c r="I18" s="60" t="b">
        <f aca="false">TRUE()</f>
        <v>1</v>
      </c>
      <c r="J18" s="60" t="b">
        <f aca="false">TRUE()</f>
        <v>1</v>
      </c>
      <c r="K18" s="61" t="s">
        <v>51</v>
      </c>
      <c r="L18" s="62" t="s">
        <v>51</v>
      </c>
      <c r="N18" s="2" t="s">
        <v>56</v>
      </c>
      <c r="O18" s="29" t="s">
        <v>57</v>
      </c>
      <c r="P18" s="64" t="n">
        <v>0.65</v>
      </c>
      <c r="S18" s="1" t="n">
        <v>0</v>
      </c>
      <c r="T18" s="1" t="s">
        <v>15</v>
      </c>
      <c r="U18" s="65" t="n">
        <v>200000</v>
      </c>
      <c r="W18" s="1" t="n">
        <v>0</v>
      </c>
      <c r="X18" s="1" t="s">
        <v>15</v>
      </c>
      <c r="Y18" s="65" t="n">
        <v>600000</v>
      </c>
      <c r="Z18" s="21" t="n">
        <v>3</v>
      </c>
    </row>
    <row r="19" customFormat="false" ht="18.75" hidden="false" customHeight="false" outlineLevel="0" collapsed="false">
      <c r="A19" s="56"/>
      <c r="B19" s="63" t="s">
        <v>58</v>
      </c>
      <c r="C19" s="58"/>
      <c r="D19" s="59" t="b">
        <f aca="false">FALSE()</f>
        <v>0</v>
      </c>
      <c r="E19" s="60" t="b">
        <f aca="false">TRUE()</f>
        <v>1</v>
      </c>
      <c r="F19" s="60" t="b">
        <f aca="false">TRUE()</f>
        <v>1</v>
      </c>
      <c r="G19" s="60" t="b">
        <f aca="false">TRUE()</f>
        <v>1</v>
      </c>
      <c r="H19" s="60" t="b">
        <f aca="false">TRUE()</f>
        <v>1</v>
      </c>
      <c r="I19" s="60" t="b">
        <f aca="false">TRUE()</f>
        <v>1</v>
      </c>
      <c r="J19" s="60" t="b">
        <f aca="false">TRUE()</f>
        <v>1</v>
      </c>
      <c r="K19" s="61"/>
      <c r="L19" s="62"/>
      <c r="N19" s="2" t="s">
        <v>56</v>
      </c>
      <c r="O19" s="29" t="s">
        <v>59</v>
      </c>
      <c r="P19" s="64" t="n">
        <v>0.55</v>
      </c>
      <c r="S19" s="65" t="n">
        <v>200000</v>
      </c>
      <c r="T19" s="1" t="s">
        <v>15</v>
      </c>
      <c r="U19" s="65" t="n">
        <v>15000000</v>
      </c>
      <c r="W19" s="65" t="n">
        <v>600000</v>
      </c>
      <c r="X19" s="1" t="s">
        <v>15</v>
      </c>
      <c r="Y19" s="65" t="n">
        <f aca="false">+U19*2.5</f>
        <v>37500000</v>
      </c>
      <c r="Z19" s="21" t="n">
        <v>2.5</v>
      </c>
    </row>
    <row r="20" customFormat="false" ht="18.75" hidden="false" customHeight="false" outlineLevel="0" collapsed="false">
      <c r="A20" s="56"/>
      <c r="B20" s="63" t="s">
        <v>60</v>
      </c>
      <c r="C20" s="58"/>
      <c r="D20" s="59" t="b">
        <f aca="false">FALSE()</f>
        <v>0</v>
      </c>
      <c r="E20" s="60" t="b">
        <f aca="false">TRUE()</f>
        <v>1</v>
      </c>
      <c r="F20" s="60" t="b">
        <f aca="false">TRUE()</f>
        <v>1</v>
      </c>
      <c r="G20" s="60" t="b">
        <f aca="false">TRUE()</f>
        <v>1</v>
      </c>
      <c r="H20" s="60" t="b">
        <f aca="false">TRUE()</f>
        <v>1</v>
      </c>
      <c r="I20" s="60" t="b">
        <f aca="false">TRUE()</f>
        <v>1</v>
      </c>
      <c r="J20" s="60" t="b">
        <f aca="false">TRUE()</f>
        <v>1</v>
      </c>
      <c r="K20" s="61"/>
      <c r="L20" s="62"/>
      <c r="S20" s="65"/>
      <c r="U20" s="65"/>
      <c r="W20" s="65"/>
      <c r="Y20" s="65"/>
      <c r="Z20" s="21"/>
    </row>
    <row r="21" customFormat="false" ht="18.75" hidden="false" customHeight="false" outlineLevel="0" collapsed="false">
      <c r="A21" s="56"/>
      <c r="B21" s="63" t="s">
        <v>61</v>
      </c>
      <c r="C21" s="58"/>
      <c r="D21" s="59" t="b">
        <f aca="false">FALSE()</f>
        <v>0</v>
      </c>
      <c r="E21" s="60" t="b">
        <f aca="false">FALSE()</f>
        <v>0</v>
      </c>
      <c r="F21" s="60" t="b">
        <f aca="false">FALSE()</f>
        <v>0</v>
      </c>
      <c r="G21" s="60" t="b">
        <f aca="false">FALSE()</f>
        <v>0</v>
      </c>
      <c r="H21" s="60" t="b">
        <f aca="false">FALSE()</f>
        <v>0</v>
      </c>
      <c r="I21" s="60" t="b">
        <f aca="false">FALSE()</f>
        <v>0</v>
      </c>
      <c r="J21" s="60" t="b">
        <f aca="false">FALSE()</f>
        <v>0</v>
      </c>
      <c r="K21" s="61" t="s">
        <v>51</v>
      </c>
      <c r="L21" s="62" t="s">
        <v>51</v>
      </c>
      <c r="O21" s="66" t="s">
        <v>62</v>
      </c>
      <c r="P21" s="67"/>
      <c r="S21" s="65"/>
      <c r="U21" s="65"/>
      <c r="W21" s="65"/>
      <c r="Y21" s="65"/>
      <c r="Z21" s="21"/>
    </row>
    <row r="22" customFormat="false" ht="18.75" hidden="false" customHeight="true" outlineLevel="0" collapsed="false">
      <c r="A22" s="68" t="s">
        <v>63</v>
      </c>
      <c r="B22" s="69" t="s">
        <v>50</v>
      </c>
      <c r="C22" s="53"/>
      <c r="D22" s="70" t="s">
        <v>51</v>
      </c>
      <c r="E22" s="71" t="n">
        <f aca="false">IF(E17=FALSE(),0,IF(E65=0,0,IFERROR(E65/P30,"D63を記入してください")))</f>
        <v>0</v>
      </c>
      <c r="F22" s="71" t="n">
        <f aca="false">E22*1.01</f>
        <v>0</v>
      </c>
      <c r="G22" s="71" t="n">
        <f aca="false">F22*1.01</f>
        <v>0</v>
      </c>
      <c r="H22" s="71" t="n">
        <f aca="false">G22*1.01</f>
        <v>0</v>
      </c>
      <c r="I22" s="71" t="n">
        <f aca="false">H22*1.01</f>
        <v>0</v>
      </c>
      <c r="J22" s="71" t="n">
        <f aca="false">I22*1.01</f>
        <v>0</v>
      </c>
      <c r="K22" s="50"/>
      <c r="L22" s="51"/>
      <c r="N22" s="2" t="s">
        <v>64</v>
      </c>
      <c r="O22" s="11" t="s">
        <v>65</v>
      </c>
      <c r="P22" s="72" t="n">
        <v>0.78</v>
      </c>
      <c r="S22" s="65"/>
      <c r="U22" s="65"/>
      <c r="W22" s="65"/>
      <c r="Y22" s="65"/>
      <c r="Z22" s="21"/>
    </row>
    <row r="23" customFormat="false" ht="19.5" hidden="false" customHeight="true" outlineLevel="0" collapsed="false">
      <c r="A23" s="68"/>
      <c r="B23" s="73" t="s">
        <v>55</v>
      </c>
      <c r="C23" s="53"/>
      <c r="D23" s="70" t="s">
        <v>51</v>
      </c>
      <c r="E23" s="74" t="n">
        <f aca="false">IF(E18=FALSE(),0,E14*0.4*0.125*0.125*0.62)</f>
        <v>24.052125</v>
      </c>
      <c r="F23" s="74" t="n">
        <f aca="false">IF(F18=FALSE(),0,F14*0.4*0.125*0.125*0.81)</f>
        <v>30.942</v>
      </c>
      <c r="G23" s="71" t="n">
        <f aca="false">IF(G18=FALSE(),0,G14*0.4*0.125*0.125*0.93)</f>
        <v>35.258625</v>
      </c>
      <c r="H23" s="71" t="n">
        <f aca="false">IF(H18=FALSE(),0,H14*0.4*0.125*0.125*1)</f>
        <v>38.61875</v>
      </c>
      <c r="I23" s="71" t="n">
        <f aca="false">IF(I18=FALSE(),0,I14*0.4*0.125*0.125*1.03)</f>
        <v>38.6571875</v>
      </c>
      <c r="J23" s="71" t="n">
        <f aca="false">IF(J18=FALSE(),0,J14*0.4*0.125*0.125*1.05)</f>
        <v>40.9696875</v>
      </c>
      <c r="K23" s="50"/>
      <c r="L23" s="51"/>
      <c r="N23" s="52" t="s">
        <v>66</v>
      </c>
      <c r="O23" s="11" t="s">
        <v>67</v>
      </c>
      <c r="P23" s="72" t="n">
        <v>0.1</v>
      </c>
      <c r="Q23" s="1" t="s">
        <v>68</v>
      </c>
      <c r="S23" s="65"/>
      <c r="U23" s="65"/>
      <c r="W23" s="65"/>
      <c r="Y23" s="65"/>
      <c r="Z23" s="21"/>
    </row>
    <row r="24" customFormat="false" ht="19.5" hidden="false" customHeight="true" outlineLevel="0" collapsed="false">
      <c r="A24" s="68"/>
      <c r="B24" s="73" t="s">
        <v>69</v>
      </c>
      <c r="C24" s="53"/>
      <c r="D24" s="70" t="s">
        <v>51</v>
      </c>
      <c r="E24" s="74" t="n">
        <f aca="false">IF(E19=FALSE(),0,E16*0.8*0.45*0.62)</f>
        <v>8.928</v>
      </c>
      <c r="F24" s="71" t="n">
        <f aca="false">IF(F19=FALSE(),0,F16*0.8*0.45*0.81)</f>
        <v>11.9556</v>
      </c>
      <c r="G24" s="71" t="n">
        <f aca="false">IF(G19=FALSE(),0,G16*0.8*0.45*0.93)</f>
        <v>14.3964</v>
      </c>
      <c r="H24" s="71" t="n">
        <f aca="false">IF(H19=FALSE(),0,H16*0.8*0.45*1)</f>
        <v>16.2</v>
      </c>
      <c r="I24" s="71" t="n">
        <f aca="false">IF(I19=FALSE(),0,I16*0.8*0.45*1.03)</f>
        <v>16.3152</v>
      </c>
      <c r="J24" s="71" t="n">
        <f aca="false">IF(J19=FALSE(),0,J16*0.8*0.45*1.05)</f>
        <v>17.766</v>
      </c>
      <c r="K24" s="50"/>
      <c r="L24" s="51"/>
      <c r="N24" s="52" t="s">
        <v>70</v>
      </c>
      <c r="O24" s="24" t="s">
        <v>71</v>
      </c>
      <c r="P24" s="75" t="n">
        <v>0.8</v>
      </c>
      <c r="Q24" s="76" t="n">
        <v>0.8</v>
      </c>
      <c r="S24" s="65"/>
      <c r="U24" s="65"/>
      <c r="W24" s="65"/>
      <c r="Y24" s="65"/>
      <c r="Z24" s="21"/>
    </row>
    <row r="25" customFormat="false" ht="19.5" hidden="false" customHeight="true" outlineLevel="0" collapsed="false">
      <c r="A25" s="68"/>
      <c r="B25" s="73" t="s">
        <v>72</v>
      </c>
      <c r="C25" s="53"/>
      <c r="D25" s="70" t="s">
        <v>51</v>
      </c>
      <c r="E25" s="74" t="n">
        <f aca="false">IF(E20=FALSE(),0,E16*(1-0.8*0.45*0.62)*0.7*0.3)</f>
        <v>6.52512</v>
      </c>
      <c r="F25" s="74" t="n">
        <f aca="false">IF(F20=FALSE(),0,F16*(1-0.8*0.45*0.81)*0.7*0.3)</f>
        <v>6.099324</v>
      </c>
      <c r="G25" s="74" t="n">
        <f aca="false">IF(G20=FALSE(),0,G16*(1-0.8*0.45*0.93)*0.7*0.3)</f>
        <v>6.006756</v>
      </c>
      <c r="H25" s="74" t="n">
        <f aca="false">IF(H20=FALSE(),0,H16*(1-0.8*0.45*1)*0.7*0.3)</f>
        <v>6.048</v>
      </c>
      <c r="I25" s="74" t="n">
        <f aca="false">IF(I20=FALSE(),0,I16*(1-0.8*0.45*1.03)*0.7*0.3)</f>
        <v>5.813808</v>
      </c>
      <c r="J25" s="74" t="n">
        <f aca="false">IF(J20=FALSE(),0,J16*(1-0.8*0.45*1.05)*0.7*0.3)</f>
        <v>6.13914</v>
      </c>
      <c r="K25" s="50"/>
      <c r="L25" s="51"/>
      <c r="N25" s="52" t="s">
        <v>73</v>
      </c>
      <c r="O25" s="66" t="s">
        <v>74</v>
      </c>
      <c r="P25" s="67"/>
      <c r="S25" s="65"/>
      <c r="U25" s="65"/>
      <c r="W25" s="65"/>
      <c r="Y25" s="65"/>
      <c r="Z25" s="21"/>
    </row>
    <row r="26" customFormat="false" ht="19.5" hidden="false" customHeight="true" outlineLevel="0" collapsed="false">
      <c r="A26" s="56" t="s">
        <v>75</v>
      </c>
      <c r="B26" s="56"/>
      <c r="C26" s="44"/>
      <c r="D26" s="70" t="s">
        <v>51</v>
      </c>
      <c r="E26" s="74" t="n">
        <f aca="false">SUM(E22:E25)+E14*0.005*0.62</f>
        <v>58.746945</v>
      </c>
      <c r="F26" s="74" t="n">
        <f aca="false">SUM(F22:F25)+F14*0.005*0.81</f>
        <v>73.750524</v>
      </c>
      <c r="G26" s="74" t="n">
        <f aca="false">SUM(G22:G25)+G14*0.005*0.93</f>
        <v>83.868681</v>
      </c>
      <c r="H26" s="74" t="n">
        <f aca="false">SUM(H22:H25)+H14*0.005*1</f>
        <v>91.76175</v>
      </c>
      <c r="I26" s="74" t="n">
        <f aca="false">SUM(I22:I25)+I14*0.005*1.03</f>
        <v>91.7119455</v>
      </c>
      <c r="J26" s="74" t="n">
        <f aca="false">SUM(J22:J25)+J14*0.005*1.05</f>
        <v>97.6505775</v>
      </c>
      <c r="K26" s="50"/>
      <c r="L26" s="51"/>
      <c r="N26" s="77" t="s">
        <v>76</v>
      </c>
      <c r="O26" s="11" t="s">
        <v>65</v>
      </c>
      <c r="P26" s="72" t="n">
        <v>0.725</v>
      </c>
      <c r="S26" s="65"/>
      <c r="U26" s="65"/>
      <c r="W26" s="65"/>
      <c r="Y26" s="65"/>
      <c r="Z26" s="21"/>
    </row>
    <row r="27" customFormat="false" ht="19.5" hidden="false" customHeight="true" outlineLevel="0" collapsed="false">
      <c r="A27" s="56" t="s">
        <v>77</v>
      </c>
      <c r="B27" s="56"/>
      <c r="C27" s="44"/>
      <c r="D27" s="78" t="n">
        <v>0</v>
      </c>
      <c r="E27" s="79" t="n">
        <v>0.406</v>
      </c>
      <c r="F27" s="79" t="n">
        <v>0.391</v>
      </c>
      <c r="G27" s="79" t="n">
        <v>0.378</v>
      </c>
      <c r="H27" s="79" t="n">
        <v>0.362</v>
      </c>
      <c r="I27" s="79" t="n">
        <v>0.359</v>
      </c>
      <c r="J27" s="79" t="n">
        <v>0.344</v>
      </c>
      <c r="K27" s="50"/>
      <c r="L27" s="51"/>
      <c r="N27" s="52" t="s">
        <v>78</v>
      </c>
      <c r="O27" s="11" t="s">
        <v>67</v>
      </c>
      <c r="P27" s="72" t="n">
        <v>0.12</v>
      </c>
      <c r="Q27" s="1" t="s">
        <v>68</v>
      </c>
      <c r="S27" s="65"/>
      <c r="U27" s="65"/>
      <c r="W27" s="65"/>
      <c r="Y27" s="65"/>
      <c r="Z27" s="21"/>
    </row>
    <row r="28" customFormat="false" ht="19.5" hidden="false" customHeight="true" outlineLevel="0" collapsed="false">
      <c r="A28" s="80" t="s">
        <v>79</v>
      </c>
      <c r="B28" s="80"/>
      <c r="C28" s="81"/>
      <c r="D28" s="82" t="n">
        <v>0</v>
      </c>
      <c r="E28" s="83" t="n">
        <f aca="false">+D28+E26</f>
        <v>58.746945</v>
      </c>
      <c r="F28" s="83" t="n">
        <f aca="false">+E28+F26</f>
        <v>132.497469</v>
      </c>
      <c r="G28" s="83" t="n">
        <f aca="false">+F28+G26</f>
        <v>216.36615</v>
      </c>
      <c r="H28" s="83" t="n">
        <f aca="false">+G28+H26</f>
        <v>308.1279</v>
      </c>
      <c r="I28" s="83" t="n">
        <f aca="false">+H28+I26</f>
        <v>399.8398455</v>
      </c>
      <c r="J28" s="83" t="n">
        <f aca="false">+I28+J26</f>
        <v>497.490423</v>
      </c>
      <c r="K28" s="84"/>
      <c r="L28" s="51"/>
      <c r="O28" s="24" t="s">
        <v>71</v>
      </c>
      <c r="P28" s="75" t="n">
        <v>0.2</v>
      </c>
      <c r="Q28" s="76" t="n">
        <v>0.8</v>
      </c>
      <c r="S28" s="65"/>
      <c r="U28" s="65"/>
      <c r="W28" s="65"/>
      <c r="Y28" s="65"/>
      <c r="Z28" s="21"/>
    </row>
    <row r="29" customFormat="false" ht="19.5" hidden="false" customHeight="true" outlineLevel="0" collapsed="false">
      <c r="A29" s="85" t="s">
        <v>80</v>
      </c>
      <c r="B29" s="85"/>
      <c r="C29" s="86"/>
      <c r="D29" s="87" t="n">
        <v>0</v>
      </c>
      <c r="E29" s="88" t="n">
        <f aca="false">+E28*(1-E27)</f>
        <v>34.89568533</v>
      </c>
      <c r="F29" s="88" t="n">
        <f aca="false">+F28*(1-F27)</f>
        <v>80.690958621</v>
      </c>
      <c r="G29" s="88" t="n">
        <f aca="false">+G28*(1-G27)</f>
        <v>134.5797453</v>
      </c>
      <c r="H29" s="88" t="n">
        <f aca="false">+H28*(1-H27)</f>
        <v>196.5856002</v>
      </c>
      <c r="I29" s="88" t="n">
        <f aca="false">+I28*(1-I27)</f>
        <v>256.2973409655</v>
      </c>
      <c r="J29" s="88" t="n">
        <f aca="false">+J28*(1-J27)</f>
        <v>326.353717488</v>
      </c>
      <c r="K29" s="84"/>
      <c r="L29" s="51"/>
      <c r="N29" s="52" t="s">
        <v>81</v>
      </c>
      <c r="S29" s="65"/>
      <c r="U29" s="65"/>
      <c r="W29" s="65"/>
      <c r="Y29" s="65"/>
      <c r="Z29" s="21"/>
    </row>
    <row r="30" customFormat="false" ht="19.5" hidden="false" customHeight="true" outlineLevel="0" collapsed="false">
      <c r="A30" s="89" t="s">
        <v>82</v>
      </c>
      <c r="B30" s="89"/>
      <c r="C30" s="43"/>
      <c r="D30" s="90" t="n">
        <v>0</v>
      </c>
      <c r="E30" s="91" t="n">
        <v>4</v>
      </c>
      <c r="F30" s="91" t="n">
        <v>4</v>
      </c>
      <c r="G30" s="91" t="n">
        <v>4</v>
      </c>
      <c r="H30" s="91" t="n">
        <v>4</v>
      </c>
      <c r="I30" s="91" t="n">
        <v>4</v>
      </c>
      <c r="J30" s="91" t="n">
        <v>4</v>
      </c>
      <c r="K30" s="50"/>
      <c r="L30" s="51"/>
      <c r="N30" s="52" t="s">
        <v>83</v>
      </c>
      <c r="O30" s="53" t="s">
        <v>84</v>
      </c>
      <c r="P30" s="92"/>
      <c r="S30" s="65"/>
      <c r="U30" s="65"/>
      <c r="W30" s="65"/>
      <c r="Y30" s="65"/>
      <c r="Z30" s="21"/>
    </row>
    <row r="31" customFormat="false" ht="19.5" hidden="false" customHeight="true" outlineLevel="0" collapsed="false">
      <c r="A31" s="56" t="s">
        <v>85</v>
      </c>
      <c r="B31" s="56"/>
      <c r="C31" s="44"/>
      <c r="D31" s="87" t="n">
        <f aca="false">+D30*D29*0.41*0.07</f>
        <v>0</v>
      </c>
      <c r="E31" s="71" t="n">
        <f aca="false">+E29*E30*$P$24*$P$22*$P$23*$P$36</f>
        <v>12.7522569137566</v>
      </c>
      <c r="F31" s="71" t="n">
        <f aca="false">+F29*F30*$P$24*$P$22*$P$23*$P$36</f>
        <v>29.4876522762447</v>
      </c>
      <c r="G31" s="71" t="n">
        <f aca="false">+G29*G30*$P$24*$P$22*$P$23*$P$36</f>
        <v>49.180735991395</v>
      </c>
      <c r="H31" s="71" t="n">
        <f aca="false">+H29*H30*$P$24*$P$22*$P$23*$P$36*$Q$24</f>
        <v>57.4720927378431</v>
      </c>
      <c r="I31" s="71" t="n">
        <f aca="false">+I29*I30*$P$24*$P$22*$P$23*$P$36*$Q$24</f>
        <v>74.9289090017073</v>
      </c>
      <c r="J31" s="71" t="n">
        <f aca="false">+J29*J30*$P$24*$P$22*$P$23*$P$36*$Q$24</f>
        <v>95.4099949219485</v>
      </c>
      <c r="K31" s="50"/>
      <c r="L31" s="51"/>
      <c r="S31" s="65"/>
      <c r="U31" s="65"/>
      <c r="W31" s="65"/>
      <c r="Y31" s="65"/>
      <c r="Z31" s="21"/>
    </row>
    <row r="32" customFormat="false" ht="19.5" hidden="false" customHeight="true" outlineLevel="0" collapsed="false">
      <c r="A32" s="89" t="s">
        <v>86</v>
      </c>
      <c r="B32" s="89"/>
      <c r="C32" s="43"/>
      <c r="D32" s="90" t="n">
        <v>0</v>
      </c>
      <c r="E32" s="91" t="n">
        <v>10</v>
      </c>
      <c r="F32" s="91" t="n">
        <v>10</v>
      </c>
      <c r="G32" s="91" t="n">
        <v>10</v>
      </c>
      <c r="H32" s="91" t="n">
        <v>10</v>
      </c>
      <c r="I32" s="91" t="n">
        <v>10</v>
      </c>
      <c r="J32" s="91" t="n">
        <v>10</v>
      </c>
      <c r="K32" s="50"/>
      <c r="L32" s="51"/>
      <c r="N32" s="52" t="s">
        <v>87</v>
      </c>
      <c r="O32" s="11" t="s">
        <v>88</v>
      </c>
      <c r="P32" s="93" t="b">
        <f aca="false">TRUE()</f>
        <v>1</v>
      </c>
      <c r="Q32" s="94" t="n">
        <f aca="false">+IF(P32=TRUE(),1.1,0.95)</f>
        <v>1.1</v>
      </c>
      <c r="S32" s="65"/>
      <c r="U32" s="65"/>
      <c r="W32" s="65"/>
      <c r="Z32" s="21"/>
    </row>
    <row r="33" customFormat="false" ht="19.5" hidden="false" customHeight="true" outlineLevel="0" collapsed="false">
      <c r="A33" s="56" t="s">
        <v>89</v>
      </c>
      <c r="B33" s="56"/>
      <c r="C33" s="44"/>
      <c r="D33" s="70" t="n">
        <v>0</v>
      </c>
      <c r="E33" s="71" t="n">
        <f aca="false">+E29*E32*$P$26*$P$27*$P$28*$P$36</f>
        <v>8.88979448314763</v>
      </c>
      <c r="F33" s="71" t="n">
        <f aca="false">+F29*F32*$P$26*$P$27*$P$28*$P$36</f>
        <v>20.5562960579591</v>
      </c>
      <c r="G33" s="71" t="n">
        <f aca="false">+G29*G32*$P$26*$P$27*$P$28*$P$36</f>
        <v>34.284647686309</v>
      </c>
      <c r="H33" s="71" t="n">
        <f aca="false">+H29*H32*$P$26*$P$27*$P$28*$P$36*$Q$28</f>
        <v>40.0646800335926</v>
      </c>
      <c r="I33" s="71" t="n">
        <f aca="false">+I29*I32*$P$26*$P$27*$P$28*$P$36*$Q$28</f>
        <v>52.2340952175364</v>
      </c>
      <c r="J33" s="71" t="n">
        <f aca="false">+J29*J32*$P$26*$P$27*$P$28*$P$36*$Q$28</f>
        <v>66.511775306166</v>
      </c>
      <c r="K33" s="50"/>
      <c r="L33" s="51"/>
      <c r="O33" s="11" t="s">
        <v>90</v>
      </c>
      <c r="P33" s="93" t="b">
        <f aca="false">TRUE()</f>
        <v>1</v>
      </c>
      <c r="Q33" s="94" t="n">
        <f aca="false">+IF(P33=TRUE(),1.1,0.95)</f>
        <v>1.1</v>
      </c>
    </row>
    <row r="34" customFormat="false" ht="19.5" hidden="false" customHeight="true" outlineLevel="0" collapsed="false">
      <c r="A34" s="85" t="s">
        <v>91</v>
      </c>
      <c r="B34" s="85"/>
      <c r="C34" s="86"/>
      <c r="D34" s="87" t="n">
        <f aca="false">+D29*D30</f>
        <v>0</v>
      </c>
      <c r="E34" s="74" t="n">
        <f aca="false">+E29*E30*$P$24+E29*E32*$P$28</f>
        <v>181.457563716</v>
      </c>
      <c r="F34" s="74" t="n">
        <f aca="false">+F29*F30*$P$24+F29*F32*$P$28</f>
        <v>419.5929848292</v>
      </c>
      <c r="G34" s="74" t="n">
        <f aca="false">+G29*G30*$P$24+G29*G32*$P$28</f>
        <v>699.81467556</v>
      </c>
      <c r="H34" s="74" t="n">
        <f aca="false">+H29*H30*$P$24*$Q$24+H29*H32*$P$28*$Q$28</f>
        <v>817.796096832</v>
      </c>
      <c r="I34" s="74" t="n">
        <f aca="false">+I29*I30*$P$24*$Q$24+I29*I32*$P$28*$Q$28</f>
        <v>1066.19693841648</v>
      </c>
      <c r="J34" s="74" t="n">
        <f aca="false">+J29*J30*$P$24*$Q$24+J29*J32*$P$28*$Q$28</f>
        <v>1357.63146475008</v>
      </c>
      <c r="K34" s="50"/>
      <c r="L34" s="51"/>
      <c r="O34" s="11" t="s">
        <v>92</v>
      </c>
      <c r="P34" s="93" t="b">
        <f aca="false">TRUE()</f>
        <v>1</v>
      </c>
      <c r="Q34" s="94" t="n">
        <f aca="false">+IF(P34=TRUE(),1.1,0.95)</f>
        <v>1.1</v>
      </c>
    </row>
    <row r="35" customFormat="false" ht="19.5" hidden="false" customHeight="true" outlineLevel="0" collapsed="false">
      <c r="A35" s="85" t="s">
        <v>93</v>
      </c>
      <c r="B35" s="85"/>
      <c r="C35" s="86"/>
      <c r="D35" s="95" t="n">
        <f aca="false">+D31*1.02</f>
        <v>0</v>
      </c>
      <c r="E35" s="88" t="n">
        <f aca="false">+E31+E33+1.05*(E31+E33)</f>
        <v>44.3662053636537</v>
      </c>
      <c r="F35" s="88" t="n">
        <f aca="false">+F31+F33+1.05*(F31+F33)</f>
        <v>102.590094085118</v>
      </c>
      <c r="G35" s="88" t="n">
        <f aca="false">+G31+G33+1.05*(G31+G33)</f>
        <v>171.104036539293</v>
      </c>
      <c r="H35" s="88" t="n">
        <f aca="false">+H31+H33+1.05*(H31+H33)</f>
        <v>199.950384181443</v>
      </c>
      <c r="I35" s="88" t="n">
        <f aca="false">+I31+I33+1.05*(I31+I33)</f>
        <v>260.68415864945</v>
      </c>
      <c r="J35" s="88" t="n">
        <f aca="false">+J31+J33+1.05*(J31+J33)</f>
        <v>331.939628967635</v>
      </c>
      <c r="K35" s="50"/>
      <c r="L35" s="51"/>
      <c r="O35" s="11" t="s">
        <v>94</v>
      </c>
      <c r="P35" s="93" t="b">
        <f aca="false">TRUE()</f>
        <v>1</v>
      </c>
      <c r="Q35" s="94" t="n">
        <f aca="false">+IF(P35=TRUE(),1.1,0.95)</f>
        <v>1.1</v>
      </c>
    </row>
    <row r="36" customFormat="false" ht="18.75" hidden="false" customHeight="false" outlineLevel="0" collapsed="false">
      <c r="A36" s="96" t="s">
        <v>95</v>
      </c>
      <c r="B36" s="69" t="str">
        <f aca="false">+C8</f>
        <v>求人応募（LINE経由）</v>
      </c>
      <c r="C36" s="69"/>
      <c r="D36" s="50" t="n">
        <v>0</v>
      </c>
      <c r="E36" s="97" t="n">
        <v>0</v>
      </c>
      <c r="F36" s="97" t="n">
        <v>1</v>
      </c>
      <c r="G36" s="97" t="n">
        <v>1</v>
      </c>
      <c r="H36" s="97" t="n">
        <v>2</v>
      </c>
      <c r="I36" s="97" t="n">
        <v>2</v>
      </c>
      <c r="J36" s="97" t="n">
        <v>3</v>
      </c>
      <c r="K36" s="98" t="n">
        <f aca="false">SUM(E36:J36)</f>
        <v>9</v>
      </c>
      <c r="L36" s="51"/>
      <c r="N36" s="52" t="s">
        <v>96</v>
      </c>
      <c r="O36" s="11" t="s">
        <v>97</v>
      </c>
      <c r="P36" s="99" t="n">
        <f aca="false">1*(Q32*Q33*Q34*Q35)</f>
        <v>1.4641</v>
      </c>
      <c r="Q36" s="94"/>
    </row>
    <row r="37" customFormat="false" ht="18.75" hidden="false" customHeight="false" outlineLevel="0" collapsed="false">
      <c r="A37" s="96"/>
      <c r="B37" s="69" t="str">
        <f aca="false">+C9</f>
        <v>-</v>
      </c>
      <c r="C37" s="69"/>
      <c r="D37" s="50" t="n">
        <v>0</v>
      </c>
      <c r="E37" s="97" t="n">
        <v>0</v>
      </c>
      <c r="F37" s="97" t="n">
        <v>0</v>
      </c>
      <c r="G37" s="97" t="n">
        <v>0</v>
      </c>
      <c r="H37" s="97" t="n">
        <v>0</v>
      </c>
      <c r="I37" s="97" t="n">
        <v>0</v>
      </c>
      <c r="J37" s="97" t="n">
        <v>0</v>
      </c>
      <c r="K37" s="98" t="n">
        <f aca="false">SUM(E37:J37)</f>
        <v>0</v>
      </c>
      <c r="L37" s="51"/>
      <c r="N37" s="52" t="s">
        <v>96</v>
      </c>
    </row>
    <row r="38" customFormat="false" ht="18.75" hidden="false" customHeight="false" outlineLevel="0" collapsed="false">
      <c r="A38" s="96" t="s">
        <v>98</v>
      </c>
      <c r="B38" s="69" t="str">
        <f aca="false">+C10</f>
        <v>-</v>
      </c>
      <c r="C38" s="69"/>
      <c r="D38" s="50" t="n">
        <v>0</v>
      </c>
      <c r="E38" s="97" t="n">
        <v>0</v>
      </c>
      <c r="F38" s="97" t="n">
        <v>0</v>
      </c>
      <c r="G38" s="97" t="n">
        <v>0</v>
      </c>
      <c r="H38" s="97" t="n">
        <v>0</v>
      </c>
      <c r="I38" s="97" t="n">
        <v>0</v>
      </c>
      <c r="J38" s="97" t="n">
        <v>0</v>
      </c>
      <c r="K38" s="98" t="n">
        <f aca="false">SUM(E38:J38)</f>
        <v>0</v>
      </c>
      <c r="L38" s="51"/>
      <c r="N38" s="52" t="s">
        <v>99</v>
      </c>
      <c r="O38" s="100" t="s">
        <v>100</v>
      </c>
    </row>
    <row r="39" customFormat="false" ht="18.75" hidden="false" customHeight="false" outlineLevel="0" collapsed="false">
      <c r="A39" s="96"/>
      <c r="B39" s="69" t="str">
        <f aca="false">+C11</f>
        <v>-</v>
      </c>
      <c r="C39" s="69"/>
      <c r="D39" s="50" t="n">
        <v>0</v>
      </c>
      <c r="E39" s="97" t="n">
        <v>0</v>
      </c>
      <c r="F39" s="97" t="n">
        <v>0</v>
      </c>
      <c r="G39" s="97" t="n">
        <v>0</v>
      </c>
      <c r="H39" s="97" t="n">
        <v>0</v>
      </c>
      <c r="I39" s="97" t="n">
        <v>0</v>
      </c>
      <c r="J39" s="97" t="n">
        <v>0</v>
      </c>
      <c r="K39" s="98" t="n">
        <f aca="false">SUM(E39:J39)</f>
        <v>0</v>
      </c>
      <c r="L39" s="51"/>
      <c r="N39" s="52" t="s">
        <v>99</v>
      </c>
      <c r="O39" s="100" t="s">
        <v>101</v>
      </c>
    </row>
    <row r="40" customFormat="false" ht="18.75" hidden="false" customHeight="false" outlineLevel="0" collapsed="false">
      <c r="A40" s="12" t="s">
        <v>102</v>
      </c>
      <c r="B40" s="12"/>
      <c r="C40" s="101"/>
      <c r="D40" s="50" t="n">
        <f aca="false">+SUM(D36:D39)</f>
        <v>0</v>
      </c>
      <c r="E40" s="102" t="n">
        <f aca="false">+SUM(E36:E39)</f>
        <v>0</v>
      </c>
      <c r="F40" s="102" t="n">
        <f aca="false">+SUM(F36:F39)</f>
        <v>1</v>
      </c>
      <c r="G40" s="102" t="n">
        <f aca="false">+SUM(G36:G39)</f>
        <v>1</v>
      </c>
      <c r="H40" s="102" t="n">
        <f aca="false">+SUM(H36:H39)</f>
        <v>2</v>
      </c>
      <c r="I40" s="102" t="n">
        <f aca="false">+SUM(I36:I39)</f>
        <v>2</v>
      </c>
      <c r="J40" s="102" t="n">
        <f aca="false">+SUM(J36:J39)</f>
        <v>3</v>
      </c>
      <c r="K40" s="98" t="n">
        <f aca="false">SUM(E40:J40)</f>
        <v>9</v>
      </c>
      <c r="L40" s="51"/>
      <c r="O40" s="53"/>
    </row>
    <row r="41" customFormat="false" ht="18.75" hidden="false" customHeight="false" outlineLevel="0" collapsed="false">
      <c r="B41" s="1" t="s">
        <v>103</v>
      </c>
      <c r="D41" s="103" t="n">
        <f aca="false">+IFERROR(D40/D35,0)</f>
        <v>0</v>
      </c>
      <c r="E41" s="103" t="n">
        <f aca="false">+IFERROR(E40/E35,0)</f>
        <v>0</v>
      </c>
      <c r="F41" s="103" t="n">
        <f aca="false">+IFERROR(F40/F35,0)</f>
        <v>0.0097475298070232</v>
      </c>
      <c r="G41" s="103" t="n">
        <f aca="false">+IFERROR(G40/G35,0)</f>
        <v>0.00584439748018659</v>
      </c>
      <c r="H41" s="103" t="n">
        <f aca="false">+IFERROR(H40/H35,0)</f>
        <v>0.0100024814065129</v>
      </c>
      <c r="I41" s="103" t="n">
        <f aca="false">+IFERROR(I40/I35,0)</f>
        <v>0.00767211943511099</v>
      </c>
      <c r="J41" s="103" t="n">
        <f aca="false">+IFERROR(J40/J35,0)</f>
        <v>0.00903778801383342</v>
      </c>
      <c r="N41" s="2" t="s">
        <v>104</v>
      </c>
    </row>
    <row r="42" customFormat="false" ht="18.75" hidden="false" customHeight="false" outlineLevel="0" collapsed="false">
      <c r="B42" s="10"/>
      <c r="D42" s="103"/>
      <c r="E42" s="104"/>
      <c r="F42" s="104"/>
      <c r="G42" s="104"/>
      <c r="H42" s="104"/>
      <c r="I42" s="104"/>
      <c r="J42" s="104"/>
    </row>
    <row r="43" customFormat="false" ht="18.75" hidden="false" customHeight="false" outlineLevel="0" collapsed="false">
      <c r="A43" s="10" t="s">
        <v>105</v>
      </c>
      <c r="C43" s="55" t="s">
        <v>106</v>
      </c>
      <c r="D43" s="55" t="s">
        <v>107</v>
      </c>
    </row>
    <row r="44" customFormat="false" ht="18.75" hidden="false" customHeight="false" outlineLevel="0" collapsed="false">
      <c r="A44" s="56" t="s">
        <v>108</v>
      </c>
      <c r="B44" s="56"/>
      <c r="C44" s="105"/>
      <c r="D44" s="106" t="s">
        <v>51</v>
      </c>
      <c r="E44" s="107" t="n">
        <f aca="false">+E75*E76</f>
        <v>0</v>
      </c>
      <c r="F44" s="107" t="n">
        <f aca="false">+F75*F76</f>
        <v>0</v>
      </c>
      <c r="G44" s="107" t="n">
        <f aca="false">+G75*G76</f>
        <v>0</v>
      </c>
      <c r="H44" s="107" t="n">
        <f aca="false">+H75*H76</f>
        <v>0</v>
      </c>
      <c r="I44" s="107" t="n">
        <f aca="false">+I75*I76</f>
        <v>0</v>
      </c>
      <c r="J44" s="107" t="n">
        <f aca="false">+J75*J76</f>
        <v>0</v>
      </c>
      <c r="K44" s="50"/>
      <c r="L44" s="51"/>
    </row>
    <row r="45" customFormat="false" ht="18.75" hidden="false" customHeight="false" outlineLevel="0" collapsed="false">
      <c r="A45" s="56" t="s">
        <v>109</v>
      </c>
      <c r="B45" s="56"/>
      <c r="C45" s="108" t="n">
        <f aca="false">+SUM(C65:C72)</f>
        <v>0</v>
      </c>
      <c r="D45" s="109" t="n">
        <f aca="false">+SUM(D65:D72)</f>
        <v>445000</v>
      </c>
      <c r="E45" s="110" t="n">
        <f aca="false">SUM(E65:E69)+SUM(E71:E72)</f>
        <v>365217</v>
      </c>
      <c r="F45" s="110" t="n">
        <f aca="false">SUM(F65:F69)+SUM(F71:F72)</f>
        <v>365203</v>
      </c>
      <c r="G45" s="110" t="n">
        <f aca="false">SUM(G65:G69)+SUM(G71:G72)</f>
        <v>365203</v>
      </c>
      <c r="H45" s="110" t="n">
        <f aca="false">SUM(H65:H69)+SUM(H71:H72)</f>
        <v>365203</v>
      </c>
      <c r="I45" s="110" t="n">
        <f aca="false">SUM(I65:I69)+SUM(I71:I72)</f>
        <v>365196</v>
      </c>
      <c r="J45" s="110" t="n">
        <f aca="false">SUM(J65:J69)+SUM(J71:J72)</f>
        <v>365203</v>
      </c>
      <c r="K45" s="50"/>
      <c r="L45" s="51"/>
    </row>
    <row r="46" customFormat="false" ht="18.75" hidden="false" customHeight="false" outlineLevel="0" collapsed="false">
      <c r="A46" s="56" t="s">
        <v>110</v>
      </c>
      <c r="B46" s="56"/>
      <c r="C46" s="105"/>
      <c r="D46" s="106" t="s">
        <v>51</v>
      </c>
      <c r="E46" s="111" t="n">
        <f aca="false">+SUM(E65:E67)/(E28-D28)</f>
        <v>1361.77293985245</v>
      </c>
      <c r="F46" s="111" t="n">
        <f aca="false">+SUM(F65:F67)/(F28-E28)</f>
        <v>1084.73805555605</v>
      </c>
      <c r="G46" s="111" t="n">
        <f aca="false">+SUM(G65:G67)/(G28-F28)</f>
        <v>953.872161170628</v>
      </c>
      <c r="H46" s="111" t="n">
        <f aca="false">+SUM(H65:H67)/(H28-G28)</f>
        <v>871.822954553504</v>
      </c>
      <c r="I46" s="111" t="n">
        <f aca="false">+SUM(I65:I67)/(I28-H28)</f>
        <v>872.296401126939</v>
      </c>
      <c r="J46" s="111" t="n">
        <f aca="false">+SUM(J65:J67)/(J28-I28)</f>
        <v>819.247587143046</v>
      </c>
      <c r="K46" s="50"/>
      <c r="L46" s="51"/>
    </row>
    <row r="47" customFormat="false" ht="18.75" hidden="false" customHeight="false" outlineLevel="0" collapsed="false">
      <c r="A47" s="45" t="s">
        <v>111</v>
      </c>
      <c r="B47" s="45"/>
      <c r="C47" s="105"/>
      <c r="D47" s="106" t="s">
        <v>51</v>
      </c>
      <c r="E47" s="111" t="n">
        <f aca="false">+E51/E35</f>
        <v>8231.8737202438</v>
      </c>
      <c r="F47" s="111" t="n">
        <f aca="false">+F51/F35</f>
        <v>3559.82712811429</v>
      </c>
      <c r="G47" s="111" t="n">
        <f aca="false">+G51/G35</f>
        <v>2134.39149295658</v>
      </c>
      <c r="H47" s="111" t="n">
        <f aca="false">+H51/H35</f>
        <v>1826.46810855137</v>
      </c>
      <c r="I47" s="111" t="n">
        <f aca="false">+I51/I35</f>
        <v>1400.9136646124</v>
      </c>
      <c r="J47" s="111" t="n">
        <f aca="false">+J51/J35</f>
        <v>1100.209098672</v>
      </c>
      <c r="K47" s="50"/>
      <c r="L47" s="51"/>
    </row>
    <row r="48" customFormat="false" ht="18.75" hidden="false" customHeight="false" outlineLevel="0" collapsed="false">
      <c r="A48" s="45" t="s">
        <v>112</v>
      </c>
      <c r="B48" s="45"/>
      <c r="C48" s="105"/>
      <c r="D48" s="106" t="s">
        <v>51</v>
      </c>
      <c r="E48" s="112" t="n">
        <f aca="false">+SUM(E36:E39)/E35</f>
        <v>0</v>
      </c>
      <c r="F48" s="112" t="n">
        <f aca="false">+SUM(F36:F39)/F35</f>
        <v>0.0097475298070232</v>
      </c>
      <c r="G48" s="112" t="n">
        <f aca="false">+SUM(G36:G39)/G35</f>
        <v>0.00584439748018659</v>
      </c>
      <c r="H48" s="112" t="n">
        <f aca="false">+SUM(H36:H39)/H35</f>
        <v>0.0100024814065129</v>
      </c>
      <c r="I48" s="112" t="n">
        <f aca="false">+SUM(I36:I39)/I35</f>
        <v>0.00767211943511099</v>
      </c>
      <c r="J48" s="112" t="n">
        <f aca="false">+SUM(J36:J39)/J35</f>
        <v>0.00903778801383342</v>
      </c>
      <c r="K48" s="50"/>
      <c r="L48" s="51"/>
    </row>
    <row r="49" customFormat="false" ht="18.75" hidden="false" customHeight="false" outlineLevel="0" collapsed="false">
      <c r="A49" s="113" t="s">
        <v>113</v>
      </c>
      <c r="B49" s="113"/>
      <c r="C49" s="114"/>
      <c r="D49" s="106" t="s">
        <v>51</v>
      </c>
      <c r="E49" s="111" t="n">
        <f aca="false">+IFERROR(E51/SUM(E36:E39),0)</f>
        <v>0</v>
      </c>
      <c r="F49" s="111" t="n">
        <f aca="false">+IFERROR(F51/SUM(F36:F39),0)</f>
        <v>365203</v>
      </c>
      <c r="G49" s="111" t="n">
        <f aca="false">+IFERROR(G51/SUM(G36:G39),0)</f>
        <v>365203</v>
      </c>
      <c r="H49" s="111" t="n">
        <f aca="false">+IFERROR(H51/SUM(H36:H39),0)</f>
        <v>182601.5</v>
      </c>
      <c r="I49" s="111" t="n">
        <f aca="false">+IFERROR(I51/SUM(I36:I39),0)</f>
        <v>182598</v>
      </c>
      <c r="J49" s="111" t="n">
        <f aca="false">+IFERROR(J51/SUM(J36:J39),0)</f>
        <v>121734.333333333</v>
      </c>
      <c r="K49" s="50"/>
      <c r="L49" s="51"/>
    </row>
    <row r="50" customFormat="false" ht="18.75" hidden="false" customHeight="false" outlineLevel="0" collapsed="false">
      <c r="A50" s="12" t="s">
        <v>114</v>
      </c>
      <c r="B50" s="12"/>
      <c r="C50" s="114"/>
      <c r="D50" s="115" t="s">
        <v>51</v>
      </c>
      <c r="E50" s="116" t="n">
        <f aca="false">+E36*$D$8+E38*$D$10</f>
        <v>0</v>
      </c>
      <c r="F50" s="116" t="n">
        <f aca="false">+F36*$D$8+F38*$D$10</f>
        <v>0</v>
      </c>
      <c r="G50" s="116" t="n">
        <f aca="false">+G36*$D$8+G38*$D$10</f>
        <v>0</v>
      </c>
      <c r="H50" s="116" t="n">
        <f aca="false">+H36*$D$8+H38*$D$10</f>
        <v>0</v>
      </c>
      <c r="I50" s="116" t="n">
        <f aca="false">+I36*$D$8+I38*$D$10</f>
        <v>0</v>
      </c>
      <c r="J50" s="116" t="n">
        <f aca="false">+J36*$D$8+J38*$D$10</f>
        <v>0</v>
      </c>
      <c r="K50" s="50"/>
      <c r="L50" s="51"/>
    </row>
    <row r="51" customFormat="false" ht="18.75" hidden="false" customHeight="false" outlineLevel="0" collapsed="false">
      <c r="A51" s="41" t="s">
        <v>115</v>
      </c>
      <c r="B51" s="41"/>
      <c r="C51" s="117" t="n">
        <f aca="false">+C45</f>
        <v>0</v>
      </c>
      <c r="D51" s="118" t="n">
        <f aca="false">+D45</f>
        <v>445000</v>
      </c>
      <c r="E51" s="118" t="n">
        <f aca="false">SUM(E45,E50)+E44</f>
        <v>365217</v>
      </c>
      <c r="F51" s="118" t="n">
        <f aca="false">SUM(F45,F50)+F44</f>
        <v>365203</v>
      </c>
      <c r="G51" s="118" t="n">
        <f aca="false">SUM(G45,G50)+G44</f>
        <v>365203</v>
      </c>
      <c r="H51" s="118" t="n">
        <f aca="false">SUM(H45,H50)+H44</f>
        <v>365203</v>
      </c>
      <c r="I51" s="118" t="n">
        <f aca="false">SUM(I45,I50)+I44</f>
        <v>365196</v>
      </c>
      <c r="J51" s="118" t="n">
        <f aca="false">SUM(J45,J50)+J44</f>
        <v>365203</v>
      </c>
      <c r="K51" s="50"/>
      <c r="L51" s="51"/>
    </row>
    <row r="52" customFormat="false" ht="18.75" hidden="false" customHeight="false" outlineLevel="0" collapsed="false">
      <c r="A52" s="24"/>
      <c r="B52" s="24"/>
      <c r="C52" s="24"/>
      <c r="D52" s="119"/>
      <c r="E52" s="119"/>
      <c r="F52" s="119"/>
      <c r="G52" s="119"/>
      <c r="H52" s="119"/>
      <c r="I52" s="119"/>
      <c r="J52" s="119"/>
    </row>
    <row r="53" customFormat="false" ht="18.75" hidden="true" customHeight="false" outlineLevel="0" collapsed="false">
      <c r="A53" s="10" t="s">
        <v>116</v>
      </c>
    </row>
    <row r="54" customFormat="false" ht="18.75" hidden="true" customHeight="false" outlineLevel="0" collapsed="false">
      <c r="A54" s="56" t="s">
        <v>108</v>
      </c>
      <c r="B54" s="56"/>
      <c r="C54" s="120"/>
      <c r="D54" s="111" t="n">
        <f aca="false">+D75*D76</f>
        <v>0</v>
      </c>
      <c r="E54" s="111" t="n">
        <f aca="false">+E75*E76</f>
        <v>0</v>
      </c>
      <c r="F54" s="111" t="n">
        <f aca="false">+F75*F76</f>
        <v>0</v>
      </c>
      <c r="G54" s="111" t="n">
        <f aca="false">+G75*G76</f>
        <v>0</v>
      </c>
      <c r="H54" s="111" t="n">
        <f aca="false">+H75*H76</f>
        <v>0</v>
      </c>
      <c r="I54" s="111" t="n">
        <f aca="false">+I75*I76</f>
        <v>0</v>
      </c>
      <c r="J54" s="111" t="n">
        <f aca="false">+J75*J76</f>
        <v>0</v>
      </c>
      <c r="K54" s="50"/>
      <c r="L54" s="51"/>
    </row>
    <row r="55" customFormat="false" ht="18.75" hidden="true" customHeight="false" outlineLevel="0" collapsed="false">
      <c r="A55" s="56" t="s">
        <v>109</v>
      </c>
      <c r="B55" s="56"/>
      <c r="C55" s="120"/>
      <c r="D55" s="110" t="n">
        <f aca="false">+SUM(D65:D72)</f>
        <v>445000</v>
      </c>
      <c r="E55" s="110" t="n">
        <f aca="false">SUM(E65:E72)+E54</f>
        <v>365217</v>
      </c>
      <c r="F55" s="110" t="n">
        <f aca="false">SUM(F65:F72)+F54</f>
        <v>365203</v>
      </c>
      <c r="G55" s="110" t="n">
        <f aca="false">SUM(G65:G72)+G54</f>
        <v>365203</v>
      </c>
      <c r="H55" s="110" t="n">
        <f aca="false">SUM(H65:H72)+H54</f>
        <v>365203</v>
      </c>
      <c r="I55" s="110" t="n">
        <f aca="false">SUM(I65:I72)+I54</f>
        <v>365196</v>
      </c>
      <c r="J55" s="110" t="n">
        <f aca="false">SUM(J65:J72)+J54</f>
        <v>365203</v>
      </c>
      <c r="K55" s="50"/>
      <c r="L55" s="51"/>
    </row>
    <row r="56" customFormat="false" ht="18.75" hidden="true" customHeight="false" outlineLevel="0" collapsed="false">
      <c r="A56" s="56" t="s">
        <v>110</v>
      </c>
      <c r="B56" s="56"/>
      <c r="C56" s="120"/>
      <c r="D56" s="111" t="s">
        <v>51</v>
      </c>
      <c r="E56" s="111" t="n">
        <f aca="false">+SUM(E65:E67)/(E28-D28)</f>
        <v>1361.77293985245</v>
      </c>
      <c r="F56" s="111" t="n">
        <f aca="false">+SUM(F65:F67)/(F28-E28)</f>
        <v>1084.73805555605</v>
      </c>
      <c r="G56" s="111" t="n">
        <f aca="false">+SUM(G65:G67)/(G28-F28)</f>
        <v>953.872161170628</v>
      </c>
      <c r="H56" s="111" t="n">
        <f aca="false">+SUM(H65:H67)/(H28-G28)</f>
        <v>871.822954553504</v>
      </c>
      <c r="I56" s="111" t="n">
        <f aca="false">+SUM(I65:I67)/(I28-H28)</f>
        <v>872.296401126939</v>
      </c>
      <c r="J56" s="111" t="n">
        <f aca="false">+SUM(J65:J67)/(J28-I28)</f>
        <v>819.247587143046</v>
      </c>
      <c r="K56" s="50"/>
      <c r="L56" s="51"/>
    </row>
    <row r="57" customFormat="false" ht="18.75" hidden="true" customHeight="false" outlineLevel="0" collapsed="false">
      <c r="A57" s="45" t="s">
        <v>111</v>
      </c>
      <c r="B57" s="45"/>
      <c r="C57" s="120"/>
      <c r="D57" s="111" t="s">
        <v>51</v>
      </c>
      <c r="E57" s="111" t="n">
        <f aca="false">+E61/E35</f>
        <v>8231.8737202438</v>
      </c>
      <c r="F57" s="111" t="n">
        <f aca="false">+F61/F35</f>
        <v>3559.82712811429</v>
      </c>
      <c r="G57" s="111" t="n">
        <f aca="false">+G61/G35</f>
        <v>2134.39149295658</v>
      </c>
      <c r="H57" s="111" t="n">
        <f aca="false">+H61/H35</f>
        <v>1826.46810855137</v>
      </c>
      <c r="I57" s="111" t="n">
        <f aca="false">+I61/I35</f>
        <v>1400.9136646124</v>
      </c>
      <c r="J57" s="111" t="n">
        <f aca="false">+J61/J35</f>
        <v>1100.209098672</v>
      </c>
      <c r="K57" s="50"/>
      <c r="L57" s="51"/>
    </row>
    <row r="58" customFormat="false" ht="18.75" hidden="true" customHeight="false" outlineLevel="0" collapsed="false">
      <c r="A58" s="45" t="s">
        <v>112</v>
      </c>
      <c r="B58" s="45"/>
      <c r="C58" s="120"/>
      <c r="D58" s="111" t="s">
        <v>51</v>
      </c>
      <c r="E58" s="112" t="n">
        <f aca="false">+SUM(E36:E39)/E35</f>
        <v>0</v>
      </c>
      <c r="F58" s="112" t="n">
        <f aca="false">+SUM(F36:F39)/F35</f>
        <v>0.0097475298070232</v>
      </c>
      <c r="G58" s="112" t="n">
        <f aca="false">+SUM(G36:G39)/G35</f>
        <v>0.00584439748018659</v>
      </c>
      <c r="H58" s="112" t="n">
        <f aca="false">+SUM(H36:H39)/H35</f>
        <v>0.0100024814065129</v>
      </c>
      <c r="I58" s="112" t="n">
        <f aca="false">+SUM(I36:I39)/I35</f>
        <v>0.00767211943511099</v>
      </c>
      <c r="J58" s="112" t="n">
        <f aca="false">+SUM(J36:J39)/J35</f>
        <v>0.00903778801383342</v>
      </c>
      <c r="K58" s="50"/>
      <c r="L58" s="51"/>
    </row>
    <row r="59" customFormat="false" ht="18.75" hidden="true" customHeight="false" outlineLevel="0" collapsed="false">
      <c r="A59" s="113" t="s">
        <v>113</v>
      </c>
      <c r="B59" s="113"/>
      <c r="C59" s="101"/>
      <c r="D59" s="111"/>
      <c r="E59" s="111" t="n">
        <f aca="false">+IFERROR(E55/E40,0)</f>
        <v>0</v>
      </c>
      <c r="F59" s="111" t="n">
        <f aca="false">+IFERROR(F55/F40,0)</f>
        <v>365203</v>
      </c>
      <c r="G59" s="111" t="n">
        <f aca="false">+IFERROR(G55/G40,0)</f>
        <v>365203</v>
      </c>
      <c r="H59" s="111" t="n">
        <f aca="false">+IFERROR(H55/H40,0)</f>
        <v>182601.5</v>
      </c>
      <c r="I59" s="111" t="n">
        <f aca="false">+IFERROR(I55/I40,0)</f>
        <v>182598</v>
      </c>
      <c r="J59" s="111" t="n">
        <f aca="false">+IFERROR(J55/J40,0)</f>
        <v>121734.333333333</v>
      </c>
      <c r="K59" s="50"/>
      <c r="L59" s="51"/>
    </row>
    <row r="60" customFormat="false" ht="18.75" hidden="true" customHeight="false" outlineLevel="0" collapsed="false">
      <c r="A60" s="12" t="s">
        <v>114</v>
      </c>
      <c r="B60" s="12"/>
      <c r="C60" s="101"/>
      <c r="D60" s="111"/>
      <c r="E60" s="111"/>
      <c r="F60" s="111"/>
      <c r="G60" s="111"/>
      <c r="H60" s="111"/>
      <c r="I60" s="111"/>
      <c r="J60" s="111"/>
      <c r="K60" s="50"/>
      <c r="L60" s="51"/>
    </row>
    <row r="61" customFormat="false" ht="18.75" hidden="true" customHeight="false" outlineLevel="0" collapsed="false">
      <c r="A61" s="41" t="s">
        <v>115</v>
      </c>
      <c r="B61" s="41"/>
      <c r="C61" s="121"/>
      <c r="D61" s="118" t="n">
        <f aca="false">+D55</f>
        <v>445000</v>
      </c>
      <c r="E61" s="118" t="n">
        <f aca="false">+SUM(E65:E72)+E54</f>
        <v>365217</v>
      </c>
      <c r="F61" s="118" t="n">
        <f aca="false">+SUM(F65:F72)+F54</f>
        <v>365203</v>
      </c>
      <c r="G61" s="118" t="n">
        <f aca="false">+SUM(G65:G72)+G54</f>
        <v>365203</v>
      </c>
      <c r="H61" s="118" t="n">
        <f aca="false">+SUM(H65:H72)+H54</f>
        <v>365203</v>
      </c>
      <c r="I61" s="118" t="n">
        <f aca="false">+SUM(I65:I72)+I54</f>
        <v>365196</v>
      </c>
      <c r="J61" s="118" t="n">
        <f aca="false">+SUM(J65:J72)+J54</f>
        <v>365203</v>
      </c>
      <c r="K61" s="50"/>
      <c r="L61" s="51"/>
    </row>
    <row r="62" customFormat="false" ht="18.75" hidden="true" customHeight="false" outlineLevel="0" collapsed="false"/>
    <row r="64" customFormat="false" ht="18.75" hidden="false" customHeight="false" outlineLevel="0" collapsed="false">
      <c r="C64" s="55" t="s">
        <v>106</v>
      </c>
      <c r="D64" s="55" t="s">
        <v>107</v>
      </c>
    </row>
    <row r="65" customFormat="false" ht="18.75" hidden="false" customHeight="false" outlineLevel="0" collapsed="false">
      <c r="A65" s="122" t="s">
        <v>117</v>
      </c>
      <c r="B65" s="73" t="s">
        <v>108</v>
      </c>
      <c r="C65" s="123" t="n">
        <v>0</v>
      </c>
      <c r="D65" s="124" t="n">
        <v>0</v>
      </c>
      <c r="E65" s="111" t="n">
        <f aca="false">MAX(0,15000+(E34-30000)*2.75)</f>
        <v>0</v>
      </c>
      <c r="F65" s="111" t="n">
        <f aca="false">MAX(0,15000+(F34-30000)*2.75)</f>
        <v>0</v>
      </c>
      <c r="G65" s="111" t="n">
        <f aca="false">MAX(0,15000+(G34-30000)*2.75)</f>
        <v>0</v>
      </c>
      <c r="H65" s="111" t="n">
        <f aca="false">MAX(0,15000+(H34-30000)*2.75)</f>
        <v>0</v>
      </c>
      <c r="I65" s="111" t="n">
        <f aca="false">MAX(0,15000+(I34-30000)*2.75)</f>
        <v>0</v>
      </c>
      <c r="J65" s="111" t="n">
        <f aca="false">MAX(0,15000+(J34-30000)*2.75)</f>
        <v>0</v>
      </c>
    </row>
    <row r="66" customFormat="false" ht="18.75" hidden="false" customHeight="false" outlineLevel="0" collapsed="false">
      <c r="A66" s="125" t="s">
        <v>118</v>
      </c>
      <c r="B66" s="73" t="s">
        <v>55</v>
      </c>
      <c r="C66" s="123" t="n">
        <v>0</v>
      </c>
      <c r="D66" s="124" t="n">
        <v>15000</v>
      </c>
      <c r="E66" s="111" t="n">
        <v>30000</v>
      </c>
      <c r="F66" s="111" t="n">
        <v>30000</v>
      </c>
      <c r="G66" s="111" t="n">
        <v>30000</v>
      </c>
      <c r="H66" s="111" t="n">
        <v>30000</v>
      </c>
      <c r="I66" s="111" t="n">
        <v>30000</v>
      </c>
      <c r="J66" s="111" t="n">
        <v>30000</v>
      </c>
      <c r="N66" s="2" t="s">
        <v>119</v>
      </c>
    </row>
    <row r="67" customFormat="false" ht="18.75" hidden="false" customHeight="false" outlineLevel="0" collapsed="false">
      <c r="B67" s="73" t="s">
        <v>120</v>
      </c>
      <c r="C67" s="123" t="n">
        <v>0</v>
      </c>
      <c r="D67" s="124" t="n">
        <v>100000</v>
      </c>
      <c r="E67" s="111" t="n">
        <v>50000</v>
      </c>
      <c r="F67" s="111" t="n">
        <v>50000</v>
      </c>
      <c r="G67" s="111" t="n">
        <v>50000</v>
      </c>
      <c r="H67" s="111" t="n">
        <v>50000</v>
      </c>
      <c r="I67" s="111" t="n">
        <v>50000</v>
      </c>
      <c r="J67" s="111" t="n">
        <v>50000</v>
      </c>
      <c r="N67" s="52" t="s">
        <v>121</v>
      </c>
    </row>
    <row r="68" customFormat="false" ht="18.75" hidden="false" customHeight="false" outlineLevel="0" collapsed="false">
      <c r="A68" s="126"/>
      <c r="B68" s="73" t="s">
        <v>122</v>
      </c>
      <c r="C68" s="123" t="n">
        <v>0</v>
      </c>
      <c r="D68" s="124" t="n">
        <v>30000</v>
      </c>
      <c r="E68" s="111" t="n">
        <f aca="false">IF(E34&lt;5000,5000,15000)</f>
        <v>5000</v>
      </c>
      <c r="F68" s="111" t="n">
        <f aca="false">IF(F34&lt;5000,5000,15000)</f>
        <v>5000</v>
      </c>
      <c r="G68" s="111" t="n">
        <f aca="false">IF(G34&lt;5000,5000,15000)</f>
        <v>5000</v>
      </c>
      <c r="H68" s="111" t="n">
        <f aca="false">IF(H34&lt;5000,5000,15000)</f>
        <v>5000</v>
      </c>
      <c r="I68" s="111" t="n">
        <f aca="false">IF(I34&lt;5000,5000,15000)</f>
        <v>5000</v>
      </c>
      <c r="J68" s="111" t="n">
        <f aca="false">IF(J34&lt;5000,5000,15000)</f>
        <v>5000</v>
      </c>
      <c r="N68" s="52" t="s">
        <v>123</v>
      </c>
      <c r="O68" s="11" t="s">
        <v>124</v>
      </c>
      <c r="P68" s="127" t="n">
        <v>5000</v>
      </c>
    </row>
    <row r="69" customFormat="false" ht="18.75" hidden="false" customHeight="false" outlineLevel="0" collapsed="false">
      <c r="A69" s="126"/>
      <c r="B69" s="73" t="s">
        <v>125</v>
      </c>
      <c r="C69" s="123" t="n">
        <v>0</v>
      </c>
      <c r="D69" s="124" t="n">
        <v>200000</v>
      </c>
      <c r="E69" s="111" t="n">
        <v>200000</v>
      </c>
      <c r="F69" s="111" t="n">
        <v>200000</v>
      </c>
      <c r="G69" s="111" t="n">
        <v>200000</v>
      </c>
      <c r="H69" s="111" t="n">
        <v>200000</v>
      </c>
      <c r="I69" s="111" t="n">
        <v>200000</v>
      </c>
      <c r="J69" s="111" t="n">
        <v>200000</v>
      </c>
      <c r="N69" s="2" t="s">
        <v>126</v>
      </c>
      <c r="O69" s="55" t="s">
        <v>127</v>
      </c>
    </row>
    <row r="70" customFormat="false" ht="18.75" hidden="false" customHeight="false" outlineLevel="0" collapsed="false">
      <c r="A70" s="126"/>
      <c r="B70" s="73" t="s">
        <v>128</v>
      </c>
      <c r="C70" s="123" t="n">
        <v>0</v>
      </c>
      <c r="D70" s="124" t="n">
        <v>100000</v>
      </c>
      <c r="E70" s="111" t="n">
        <v>0</v>
      </c>
      <c r="F70" s="111" t="n">
        <v>0</v>
      </c>
      <c r="G70" s="111" t="n">
        <v>0</v>
      </c>
      <c r="H70" s="111" t="n">
        <v>0</v>
      </c>
      <c r="I70" s="111" t="n">
        <v>0</v>
      </c>
      <c r="J70" s="111" t="n">
        <v>0</v>
      </c>
      <c r="N70" s="52" t="s">
        <v>129</v>
      </c>
    </row>
    <row r="71" customFormat="false" ht="18.75" hidden="false" customHeight="false" outlineLevel="0" collapsed="false">
      <c r="A71" s="126"/>
      <c r="B71" s="73" t="s">
        <v>130</v>
      </c>
      <c r="C71" s="123" t="n">
        <v>0</v>
      </c>
      <c r="D71" s="124" t="n">
        <v>0</v>
      </c>
      <c r="E71" s="111" t="n">
        <f aca="false">IF(E20=FALSE(),0,80000+ROUND(E16*(1-0.8*0.45*0.62),0)*7)</f>
        <v>80217</v>
      </c>
      <c r="F71" s="111" t="n">
        <f aca="false">IF(F20=FALSE(),0,80000+ROUND(F16*(1-0.8*0.45*0.81),0)*7)</f>
        <v>80203</v>
      </c>
      <c r="G71" s="111" t="n">
        <f aca="false">IF(G20=FALSE(),0,80000+ROUND(G16*(1-0.8*0.45*0.93),0)*7)</f>
        <v>80203</v>
      </c>
      <c r="H71" s="111" t="n">
        <f aca="false">IF(H20=FALSE(),0,80000+ROUND(H16*(1-0.8*0.45*1),0)*7)</f>
        <v>80203</v>
      </c>
      <c r="I71" s="111" t="n">
        <f aca="false">IF(I20=FALSE(),0,80000+ROUND(I16*(1-0.8*0.45*1.03),0)*7)</f>
        <v>80196</v>
      </c>
      <c r="J71" s="111" t="n">
        <f aca="false">IF(J20=FALSE(),0,80000+ROUND(J16*(1-0.8*0.45*1.05),0)*7)</f>
        <v>80203</v>
      </c>
      <c r="N71" s="52" t="s">
        <v>131</v>
      </c>
    </row>
    <row r="72" customFormat="false" ht="18.75" hidden="false" customHeight="false" outlineLevel="0" collapsed="false">
      <c r="A72" s="126"/>
      <c r="B72" s="69" t="s">
        <v>132</v>
      </c>
      <c r="C72" s="123" t="n">
        <v>0</v>
      </c>
      <c r="D72" s="124" t="n">
        <v>0</v>
      </c>
      <c r="E72" s="111" t="n">
        <v>0</v>
      </c>
      <c r="F72" s="111" t="n">
        <v>0</v>
      </c>
      <c r="G72" s="111" t="n">
        <v>0</v>
      </c>
      <c r="H72" s="111" t="n">
        <v>0</v>
      </c>
      <c r="I72" s="111" t="n">
        <v>0</v>
      </c>
      <c r="J72" s="111" t="n">
        <v>0</v>
      </c>
    </row>
    <row r="73" customFormat="false" ht="18.75" hidden="false" customHeight="false" outlineLevel="0" collapsed="false">
      <c r="A73" s="126"/>
      <c r="B73" s="128" t="s">
        <v>133</v>
      </c>
      <c r="C73" s="129" t="n">
        <v>0</v>
      </c>
      <c r="D73" s="130" t="n">
        <f aca="false">SUM(D65:D72)</f>
        <v>445000</v>
      </c>
      <c r="E73" s="130" t="n">
        <f aca="false">SUM(E65:E72)</f>
        <v>365217</v>
      </c>
      <c r="F73" s="130" t="n">
        <f aca="false">SUM(F65:F72)</f>
        <v>365203</v>
      </c>
      <c r="G73" s="130" t="n">
        <f aca="false">SUM(G65:G72)</f>
        <v>365203</v>
      </c>
      <c r="H73" s="130" t="n">
        <f aca="false">SUM(H65:H72)</f>
        <v>365203</v>
      </c>
      <c r="I73" s="130" t="n">
        <f aca="false">SUM(I65:I72)</f>
        <v>365196</v>
      </c>
      <c r="J73" s="130" t="n">
        <f aca="false">SUM(J65:J72)</f>
        <v>365203</v>
      </c>
    </row>
    <row r="74" customFormat="false" ht="18.75" hidden="false" customHeight="false" outlineLevel="0" collapsed="false">
      <c r="A74" s="126"/>
      <c r="B74" s="126"/>
      <c r="C74" s="126"/>
      <c r="D74" s="126"/>
      <c r="E74" s="126"/>
      <c r="F74" s="126"/>
      <c r="G74" s="126"/>
      <c r="H74" s="126"/>
      <c r="I74" s="126"/>
      <c r="J74" s="126"/>
    </row>
    <row r="75" customFormat="false" ht="18.75" hidden="false" customHeight="false" outlineLevel="0" collapsed="false">
      <c r="B75" s="55" t="s">
        <v>134</v>
      </c>
      <c r="D75" s="131" t="n">
        <f aca="false">+IF(D34&lt;30001,0,D34-30000)</f>
        <v>0</v>
      </c>
      <c r="E75" s="131" t="n">
        <f aca="false">+IF(E34&lt;30001,0,E34-30000)</f>
        <v>0</v>
      </c>
      <c r="F75" s="131" t="n">
        <f aca="false">+IF(F34&lt;30001,0,F34-30000)</f>
        <v>0</v>
      </c>
      <c r="G75" s="131" t="n">
        <f aca="false">+IF(G34&lt;30001,0,G34-30000)</f>
        <v>0</v>
      </c>
      <c r="H75" s="131" t="n">
        <f aca="false">+IF(H34&lt;30001,0,H34-30000)</f>
        <v>0</v>
      </c>
      <c r="I75" s="131" t="n">
        <f aca="false">+IF(I34&lt;30001,0,I34-30000)</f>
        <v>0</v>
      </c>
      <c r="J75" s="131" t="n">
        <f aca="false">+IF(J34&lt;30001,0,J34-30000)</f>
        <v>0</v>
      </c>
    </row>
    <row r="76" customFormat="false" ht="18.75" hidden="false" customHeight="false" outlineLevel="0" collapsed="false">
      <c r="B76" s="55" t="s">
        <v>135</v>
      </c>
      <c r="D76" s="1" t="n">
        <f aca="false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1" t="n">
        <f aca="false"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>3</v>
      </c>
      <c r="F76" s="1" t="n">
        <f aca="false"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>3</v>
      </c>
      <c r="G76" s="1" t="n">
        <f aca="false"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>3</v>
      </c>
      <c r="H76" s="1" t="n">
        <f aca="false"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>3</v>
      </c>
      <c r="I76" s="1" t="n">
        <f aca="false"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>3</v>
      </c>
      <c r="J76" s="1" t="n">
        <f aca="false"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>3</v>
      </c>
    </row>
  </sheetData>
  <mergeCells count="35"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47:B47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61:B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D1" colorId="64" zoomScale="76" zoomScaleNormal="76" zoomScalePageLayoutView="100" workbookViewId="0">
      <selection pane="topLeft" activeCell="X18" activeCellId="0" sqref="X18"/>
    </sheetView>
  </sheetViews>
  <sheetFormatPr defaultColWidth="9" defaultRowHeight="18.75" zeroHeight="false" outlineLevelRow="0" outlineLevelCol="0"/>
  <cols>
    <col collapsed="false" customWidth="true" hidden="false" outlineLevel="0" max="1" min="1" style="10" width="41.75"/>
    <col collapsed="false" customWidth="true" hidden="false" outlineLevel="0" max="2" min="2" style="1" width="3"/>
    <col collapsed="false" customWidth="true" hidden="false" outlineLevel="0" max="6" min="3" style="1" width="26.13"/>
    <col collapsed="false" customWidth="false" hidden="false" outlineLevel="0" max="17" min="7" style="1" width="9"/>
    <col collapsed="false" customWidth="true" hidden="false" outlineLevel="0" max="18" min="18" style="1" width="10.88"/>
    <col collapsed="false" customWidth="false" hidden="false" outlineLevel="0" max="19" min="19" style="1" width="9"/>
    <col collapsed="false" customWidth="true" hidden="false" outlineLevel="0" max="27" min="20" style="1" width="14.88"/>
    <col collapsed="false" customWidth="false" hidden="false" outlineLevel="0" max="16384" min="28" style="1" width="9"/>
  </cols>
  <sheetData>
    <row r="1" customFormat="false" ht="18.75" hidden="false" customHeight="false" outlineLevel="0" collapsed="false">
      <c r="E1" s="132" t="s">
        <v>136</v>
      </c>
      <c r="F1" s="127" t="n">
        <v>0.6</v>
      </c>
    </row>
    <row r="3" customFormat="false" ht="18.75" hidden="false" customHeight="false" outlineLevel="0" collapsed="false">
      <c r="A3" s="133" t="s">
        <v>137</v>
      </c>
      <c r="B3" s="133"/>
      <c r="C3" s="134" t="s">
        <v>138</v>
      </c>
      <c r="D3" s="135" t="s">
        <v>139</v>
      </c>
      <c r="E3" s="135" t="s">
        <v>140</v>
      </c>
      <c r="F3" s="135"/>
    </row>
    <row r="4" customFormat="false" ht="18.75" hidden="false" customHeight="false" outlineLevel="0" collapsed="false">
      <c r="A4" s="136" t="s">
        <v>141</v>
      </c>
      <c r="B4" s="51"/>
      <c r="C4" s="137" t="str">
        <f aca="false">+SIM1_通知メッセ有!D24</f>
        <v>--</v>
      </c>
      <c r="D4" s="111" t="n">
        <f aca="false">+SIM1_通知メッセ有!G51</f>
        <v>365203</v>
      </c>
      <c r="E4" s="111" t="n">
        <f aca="false">+SIM1_通知メッセ有!J51</f>
        <v>365203</v>
      </c>
      <c r="F4" s="111"/>
    </row>
    <row r="5" customFormat="false" ht="18.75" hidden="false" customHeight="false" outlineLevel="0" collapsed="false">
      <c r="A5" s="136" t="s">
        <v>142</v>
      </c>
      <c r="B5" s="51"/>
      <c r="C5" s="137" t="str">
        <f aca="false">+SIM1_通知メッセ有!D25</f>
        <v>--</v>
      </c>
      <c r="D5" s="111" t="n">
        <f aca="false">+SIM1_通知メッセ有!G61</f>
        <v>365203</v>
      </c>
      <c r="E5" s="111" t="n">
        <f aca="false">+SIM1_通知メッセ有!J61</f>
        <v>365203</v>
      </c>
      <c r="F5" s="110"/>
    </row>
    <row r="6" customFormat="false" ht="18.75" hidden="false" customHeight="false" outlineLevel="0" collapsed="false">
      <c r="A6" s="136" t="s">
        <v>143</v>
      </c>
      <c r="B6" s="51"/>
      <c r="C6" s="138" t="n">
        <f aca="false">+SIM1_通知メッセ有!D28</f>
        <v>0</v>
      </c>
      <c r="D6" s="139" t="n">
        <f aca="false">+SIM1_通知メッセ有!G28</f>
        <v>216.36615</v>
      </c>
      <c r="E6" s="139" t="n">
        <f aca="false">+SIM1_通知メッセ有!J28</f>
        <v>497.490423</v>
      </c>
      <c r="F6" s="102"/>
    </row>
    <row r="7" customFormat="false" ht="18.75" hidden="false" customHeight="false" outlineLevel="0" collapsed="false">
      <c r="A7" s="136" t="s">
        <v>144</v>
      </c>
      <c r="B7" s="51"/>
      <c r="C7" s="140" t="n">
        <f aca="false">+SIM1_通知メッセ有!D27</f>
        <v>0</v>
      </c>
      <c r="D7" s="141" t="n">
        <f aca="false">SIM1_通知メッセ有!G27</f>
        <v>0.378</v>
      </c>
      <c r="E7" s="141" t="n">
        <f aca="false">SIM1_通知メッセ有!J27</f>
        <v>0.344</v>
      </c>
      <c r="F7" s="141"/>
    </row>
    <row r="8" customFormat="false" ht="18.75" hidden="false" customHeight="false" outlineLevel="0" collapsed="false">
      <c r="A8" s="136" t="s">
        <v>145</v>
      </c>
      <c r="B8" s="51"/>
      <c r="C8" s="138" t="n">
        <f aca="false">+SIM1_通知メッセ有!D29</f>
        <v>0</v>
      </c>
      <c r="D8" s="102" t="n">
        <f aca="false">+SIM1_通知メッセ有!G29</f>
        <v>134.5797453</v>
      </c>
      <c r="E8" s="102" t="n">
        <f aca="false">+SIM1_通知メッセ有!J29</f>
        <v>326.353717488</v>
      </c>
      <c r="F8" s="102"/>
    </row>
    <row r="9" customFormat="false" ht="18.75" hidden="false" customHeight="false" outlineLevel="0" collapsed="false">
      <c r="A9" s="136"/>
      <c r="B9" s="51"/>
      <c r="C9" s="51"/>
      <c r="D9" s="51"/>
      <c r="E9" s="51"/>
      <c r="F9" s="51"/>
    </row>
    <row r="10" customFormat="false" ht="18.75" hidden="false" customHeight="false" outlineLevel="0" collapsed="false">
      <c r="A10" s="136" t="s">
        <v>146</v>
      </c>
      <c r="B10" s="51"/>
      <c r="C10" s="138" t="n">
        <f aca="false">+SIM1_通知メッセ有!D34</f>
        <v>0</v>
      </c>
      <c r="D10" s="102" t="n">
        <f aca="false">+SIM1_通知メッセ有!G34</f>
        <v>699.81467556</v>
      </c>
      <c r="E10" s="102" t="n">
        <f aca="false">+SIM1_通知メッセ有!J34</f>
        <v>1357.63146475008</v>
      </c>
      <c r="F10" s="102"/>
    </row>
    <row r="11" customFormat="false" ht="18.75" hidden="false" customHeight="false" outlineLevel="0" collapsed="false">
      <c r="A11" s="136" t="s">
        <v>147</v>
      </c>
      <c r="B11" s="51"/>
      <c r="C11" s="138" t="n">
        <f aca="false">+SIM1_通知メッセ有!D35</f>
        <v>0</v>
      </c>
      <c r="D11" s="102" t="n">
        <f aca="false">+SIM1_通知メッセ有!G35</f>
        <v>171.104036539293</v>
      </c>
      <c r="E11" s="102" t="n">
        <f aca="false">+SIM1_通知メッセ有!J35</f>
        <v>331.939628967635</v>
      </c>
      <c r="F11" s="102"/>
    </row>
    <row r="12" customFormat="false" ht="18.75" hidden="false" customHeight="false" outlineLevel="0" collapsed="false">
      <c r="A12" s="136" t="s">
        <v>148</v>
      </c>
      <c r="B12" s="51"/>
      <c r="C12" s="111" t="n">
        <f aca="false">+IFERROR(C5/C11,0)</f>
        <v>0</v>
      </c>
      <c r="D12" s="111" t="n">
        <f aca="false">+D4/D11</f>
        <v>2134.39149295658</v>
      </c>
      <c r="E12" s="111" t="n">
        <f aca="false">+E4/E11</f>
        <v>1100.209098672</v>
      </c>
      <c r="F12" s="111"/>
    </row>
    <row r="13" customFormat="false" ht="18.75" hidden="false" customHeight="false" outlineLevel="0" collapsed="false">
      <c r="A13" s="136" t="s">
        <v>149</v>
      </c>
      <c r="B13" s="51"/>
      <c r="C13" s="111" t="n">
        <f aca="false">+IFERROR(C6/C12,0)</f>
        <v>0</v>
      </c>
      <c r="D13" s="111" t="n">
        <f aca="false">+D5/D11</f>
        <v>2134.39149295658</v>
      </c>
      <c r="E13" s="111" t="n">
        <f aca="false">+E5/E11</f>
        <v>1100.209098672</v>
      </c>
      <c r="F13" s="111"/>
    </row>
    <row r="14" customFormat="false" ht="18.75" hidden="false" customHeight="false" outlineLevel="0" collapsed="false">
      <c r="A14" s="136"/>
      <c r="B14" s="51"/>
      <c r="C14" s="51"/>
      <c r="D14" s="51"/>
      <c r="E14" s="51"/>
      <c r="F14" s="51"/>
      <c r="R14" s="10" t="s">
        <v>45</v>
      </c>
    </row>
    <row r="15" customFormat="false" ht="18.75" hidden="false" customHeight="false" outlineLevel="0" collapsed="false">
      <c r="A15" s="142" t="s">
        <v>150</v>
      </c>
      <c r="B15" s="51"/>
      <c r="C15" s="139" t="n">
        <f aca="false">+SIM1_通知メッセ有!D16</f>
        <v>45</v>
      </c>
      <c r="D15" s="139" t="n">
        <f aca="false">+SIM1_通知メッセ有!E16</f>
        <v>40</v>
      </c>
      <c r="E15" s="139" t="n">
        <f aca="false">+SIM1_通知メッセ有!F16</f>
        <v>41</v>
      </c>
      <c r="F15" s="139"/>
      <c r="R15" s="55" t="s">
        <v>48</v>
      </c>
    </row>
    <row r="16" customFormat="false" ht="18.75" hidden="false" customHeight="false" outlineLevel="0" collapsed="false">
      <c r="A16" s="142" t="s">
        <v>151</v>
      </c>
      <c r="B16" s="51"/>
      <c r="C16" s="139" t="n">
        <f aca="false">SUM(C17:C20)</f>
        <v>0</v>
      </c>
      <c r="D16" s="139" t="n">
        <f aca="false">SUM(D17:D20)</f>
        <v>1</v>
      </c>
      <c r="E16" s="139" t="n">
        <f aca="false">SUM(E17:E20)</f>
        <v>3</v>
      </c>
      <c r="F16" s="139"/>
      <c r="R16" s="55" t="s">
        <v>52</v>
      </c>
      <c r="V16" s="55" t="s">
        <v>53</v>
      </c>
      <c r="Y16" s="21" t="s">
        <v>54</v>
      </c>
    </row>
    <row r="17" customFormat="false" ht="18.75" hidden="false" customHeight="false" outlineLevel="0" collapsed="false">
      <c r="A17" s="142" t="s">
        <v>152</v>
      </c>
      <c r="B17" s="51"/>
      <c r="C17" s="139" t="n">
        <f aca="false">+SIM1_通知メッセ有!D36</f>
        <v>0</v>
      </c>
      <c r="D17" s="139" t="n">
        <f aca="false">+SIM1_通知メッセ有!G36</f>
        <v>1</v>
      </c>
      <c r="E17" s="139" t="n">
        <f aca="false">+SIM1_通知メッセ有!J36</f>
        <v>3</v>
      </c>
      <c r="F17" s="102"/>
      <c r="R17" s="1" t="n">
        <v>0</v>
      </c>
      <c r="S17" s="1" t="s">
        <v>15</v>
      </c>
      <c r="T17" s="65" t="n">
        <v>200000</v>
      </c>
      <c r="V17" s="1" t="n">
        <v>0</v>
      </c>
      <c r="W17" s="1" t="s">
        <v>15</v>
      </c>
      <c r="X17" s="65" t="n">
        <v>600000</v>
      </c>
      <c r="Y17" s="21" t="n">
        <v>3</v>
      </c>
    </row>
    <row r="18" customFormat="false" ht="18.75" hidden="false" customHeight="false" outlineLevel="0" collapsed="false">
      <c r="A18" s="142" t="s">
        <v>153</v>
      </c>
      <c r="B18" s="51"/>
      <c r="C18" s="139" t="n">
        <f aca="false">+SIM1_通知メッセ有!D37</f>
        <v>0</v>
      </c>
      <c r="D18" s="139" t="n">
        <f aca="false">+SIM1_通知メッセ有!G37</f>
        <v>0</v>
      </c>
      <c r="E18" s="139" t="n">
        <f aca="false">+SIM1_通知メッセ有!J37</f>
        <v>0</v>
      </c>
      <c r="F18" s="102"/>
      <c r="R18" s="65" t="n">
        <v>200000</v>
      </c>
      <c r="S18" s="1" t="s">
        <v>15</v>
      </c>
      <c r="T18" s="65" t="n">
        <v>15000000</v>
      </c>
      <c r="V18" s="65" t="n">
        <v>600000</v>
      </c>
      <c r="W18" s="1" t="s">
        <v>15</v>
      </c>
      <c r="X18" s="65" t="n">
        <f aca="false">+T18*2.5</f>
        <v>37500000</v>
      </c>
      <c r="Y18" s="21" t="n">
        <v>2.5</v>
      </c>
    </row>
    <row r="19" customFormat="false" ht="18.75" hidden="false" customHeight="false" outlineLevel="0" collapsed="false">
      <c r="A19" s="142" t="s">
        <v>154</v>
      </c>
      <c r="B19" s="51"/>
      <c r="C19" s="139" t="n">
        <f aca="false">+SIM1_通知メッセ有!D38</f>
        <v>0</v>
      </c>
      <c r="D19" s="139" t="n">
        <f aca="false">+SIM1_通知メッセ有!G38</f>
        <v>0</v>
      </c>
      <c r="E19" s="139" t="n">
        <f aca="false">+SIM1_通知メッセ有!J38</f>
        <v>0</v>
      </c>
      <c r="F19" s="102"/>
      <c r="R19" s="65"/>
      <c r="T19" s="65"/>
      <c r="V19" s="65"/>
      <c r="X19" s="65"/>
      <c r="Y19" s="21"/>
    </row>
    <row r="20" customFormat="false" ht="18.75" hidden="false" customHeight="false" outlineLevel="0" collapsed="false">
      <c r="A20" s="142" t="s">
        <v>155</v>
      </c>
      <c r="B20" s="51"/>
      <c r="C20" s="139" t="n">
        <f aca="false">+SIM1_通知メッセ有!D39</f>
        <v>0</v>
      </c>
      <c r="D20" s="139" t="n">
        <f aca="false">+SIM1_通知メッセ有!G39</f>
        <v>0</v>
      </c>
      <c r="E20" s="139" t="n">
        <f aca="false">+SIM1_通知メッセ有!J39</f>
        <v>0</v>
      </c>
      <c r="F20" s="102"/>
      <c r="R20" s="65"/>
      <c r="T20" s="65"/>
      <c r="V20" s="65"/>
      <c r="X20" s="65"/>
      <c r="Y20" s="21"/>
    </row>
    <row r="21" customFormat="false" ht="18.75" hidden="false" customHeight="false" outlineLevel="0" collapsed="false">
      <c r="A21" s="142"/>
      <c r="B21" s="51"/>
      <c r="C21" s="51"/>
      <c r="D21" s="51"/>
      <c r="E21" s="51"/>
      <c r="F21" s="51"/>
      <c r="R21" s="65"/>
      <c r="T21" s="65"/>
      <c r="V21" s="65"/>
      <c r="X21" s="65"/>
      <c r="Y21" s="21"/>
    </row>
    <row r="22" customFormat="false" ht="18.75" hidden="false" customHeight="false" outlineLevel="0" collapsed="false">
      <c r="A22" s="136" t="s">
        <v>156</v>
      </c>
      <c r="B22" s="51"/>
      <c r="C22" s="123" t="str">
        <f aca="false">+IFERROR(C4/C16,"--")</f>
        <v>--</v>
      </c>
      <c r="D22" s="123" t="n">
        <f aca="false">+IFERROR(D4/D16,"--")</f>
        <v>365203</v>
      </c>
      <c r="E22" s="123" t="n">
        <f aca="false">+IFERROR(E4/E16,"--")</f>
        <v>121734.333333333</v>
      </c>
      <c r="F22" s="123"/>
      <c r="R22" s="65"/>
      <c r="T22" s="65"/>
      <c r="V22" s="65"/>
      <c r="X22" s="65"/>
      <c r="Y22" s="21"/>
    </row>
    <row r="23" customFormat="false" ht="18.75" hidden="false" customHeight="false" outlineLevel="0" collapsed="false">
      <c r="A23" s="136" t="s">
        <v>157</v>
      </c>
      <c r="B23" s="51"/>
      <c r="C23" s="123" t="str">
        <f aca="false">+IFERROR(C5/C16,"--")</f>
        <v>--</v>
      </c>
      <c r="D23" s="123" t="n">
        <f aca="false">+IFERROR(D5/D16,"--")</f>
        <v>365203</v>
      </c>
      <c r="E23" s="123" t="n">
        <f aca="false">+IFERROR(E5/E16,"--")</f>
        <v>121734.333333333</v>
      </c>
      <c r="F23" s="123"/>
      <c r="R23" s="65"/>
      <c r="T23" s="65"/>
      <c r="V23" s="65"/>
      <c r="X23" s="65"/>
      <c r="Y23" s="21"/>
    </row>
    <row r="24" customFormat="false" ht="18.75" hidden="false" customHeight="false" outlineLevel="0" collapsed="false">
      <c r="A24" s="142"/>
      <c r="B24" s="51"/>
      <c r="C24" s="51"/>
      <c r="D24" s="51"/>
      <c r="E24" s="51"/>
      <c r="F24" s="51"/>
      <c r="R24" s="65"/>
      <c r="T24" s="65"/>
      <c r="V24" s="65"/>
      <c r="X24" s="65"/>
      <c r="Y24" s="21"/>
    </row>
    <row r="25" customFormat="false" ht="18.75" hidden="false" customHeight="false" outlineLevel="0" collapsed="false">
      <c r="A25" s="136" t="s">
        <v>158</v>
      </c>
      <c r="B25" s="51"/>
      <c r="C25" s="102" t="n">
        <f aca="false">15000+C29*C30</f>
        <v>15000</v>
      </c>
      <c r="D25" s="102" t="n">
        <f aca="false">15000+D29*D30</f>
        <v>15000</v>
      </c>
      <c r="E25" s="102" t="n">
        <f aca="false">15000+E29*E30</f>
        <v>15000</v>
      </c>
      <c r="F25" s="102"/>
      <c r="R25" s="65"/>
      <c r="T25" s="65"/>
      <c r="V25" s="65"/>
      <c r="X25" s="65"/>
      <c r="Y25" s="21"/>
    </row>
    <row r="26" customFormat="false" ht="18.75" hidden="false" customHeight="false" outlineLevel="0" collapsed="false">
      <c r="R26" s="65"/>
      <c r="T26" s="65"/>
      <c r="V26" s="65"/>
      <c r="X26" s="65"/>
      <c r="Y26" s="21"/>
    </row>
    <row r="27" customFormat="false" ht="18.75" hidden="false" customHeight="false" outlineLevel="0" collapsed="false">
      <c r="R27" s="65"/>
      <c r="T27" s="65"/>
      <c r="V27" s="65"/>
      <c r="X27" s="65"/>
      <c r="Y27" s="21"/>
    </row>
    <row r="28" customFormat="false" ht="18.75" hidden="false" customHeight="false" outlineLevel="0" collapsed="false">
      <c r="R28" s="65"/>
      <c r="T28" s="65"/>
      <c r="V28" s="65"/>
      <c r="X28" s="65"/>
      <c r="Y28" s="21"/>
    </row>
    <row r="29" customFormat="false" ht="18.75" hidden="false" customHeight="false" outlineLevel="0" collapsed="false">
      <c r="A29" s="10" t="s">
        <v>159</v>
      </c>
      <c r="C29" s="1" t="n">
        <f aca="false">+IF(C10&lt;=30000,0,C10-30000)</f>
        <v>0</v>
      </c>
      <c r="D29" s="143" t="n">
        <f aca="false">+IF(D10&lt;=30000,0,D10-30000)</f>
        <v>0</v>
      </c>
      <c r="E29" s="143" t="n">
        <f aca="false">+IF(E10&lt;=30000,0,E10-30000)</f>
        <v>0</v>
      </c>
      <c r="F29" s="143"/>
      <c r="R29" s="65"/>
      <c r="T29" s="65"/>
      <c r="V29" s="65"/>
      <c r="X29" s="65"/>
      <c r="Y29" s="21"/>
    </row>
    <row r="30" customFormat="false" ht="18.75" hidden="false" customHeight="false" outlineLevel="0" collapsed="false">
      <c r="A30" s="10" t="s">
        <v>160</v>
      </c>
      <c r="C30" s="1" t="n">
        <f aca="false"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1" t="n">
        <f aca="false"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1" t="n">
        <f aca="false"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65"/>
      <c r="T30" s="65"/>
      <c r="V30" s="65"/>
      <c r="X30" s="65"/>
      <c r="Y30" s="21"/>
    </row>
    <row r="31" customFormat="false" ht="18.75" hidden="false" customHeight="false" outlineLevel="0" collapsed="false">
      <c r="R31" s="65"/>
      <c r="T31" s="65"/>
      <c r="V31" s="65"/>
      <c r="Y31" s="21"/>
    </row>
    <row r="35" customFormat="false" ht="18.75" hidden="false" customHeight="false" outlineLevel="0" collapsed="false">
      <c r="A35" s="144" t="s">
        <v>161</v>
      </c>
      <c r="B35" s="144"/>
      <c r="C35" s="145" t="s">
        <v>162</v>
      </c>
      <c r="D35" s="146" t="s">
        <v>163</v>
      </c>
      <c r="E35" s="146" t="s">
        <v>164</v>
      </c>
      <c r="F35" s="146" t="s">
        <v>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8.75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29.25"/>
    <col collapsed="false" customWidth="true" hidden="false" outlineLevel="0" max="12" min="3" style="1" width="20"/>
    <col collapsed="false" customWidth="true" hidden="false" outlineLevel="0" max="13" min="13" style="1" width="2.63"/>
    <col collapsed="false" customWidth="true" hidden="false" outlineLevel="0" max="14" min="14" style="2" width="44.5"/>
    <col collapsed="false" customWidth="true" hidden="false" outlineLevel="0" max="17" min="15" style="1" width="24.13"/>
    <col collapsed="false" customWidth="true" hidden="false" outlineLevel="0" max="18" min="18" style="1" width="2.88"/>
    <col collapsed="false" customWidth="true" hidden="false" outlineLevel="0" max="19" min="19" style="1" width="12.13"/>
    <col collapsed="false" customWidth="true" hidden="false" outlineLevel="0" max="20" min="20" style="1" width="2.63"/>
    <col collapsed="false" customWidth="true" hidden="false" outlineLevel="0" max="21" min="21" style="1" width="12.13"/>
    <col collapsed="false" customWidth="true" hidden="false" outlineLevel="0" max="22" min="22" style="1" width="2.88"/>
    <col collapsed="false" customWidth="true" hidden="false" outlineLevel="0" max="23" min="23" style="1" width="12.13"/>
    <col collapsed="false" customWidth="true" hidden="false" outlineLevel="0" max="24" min="24" style="1" width="2.63"/>
    <col collapsed="false" customWidth="true" hidden="false" outlineLevel="0" max="25" min="25" style="1" width="12.13"/>
    <col collapsed="false" customWidth="false" hidden="false" outlineLevel="0" max="16384" min="26" style="1" width="9"/>
  </cols>
  <sheetData>
    <row r="2" customFormat="false" ht="18.75" hidden="false" customHeight="false" outlineLevel="0" collapsed="false">
      <c r="A2" s="3" t="s">
        <v>0</v>
      </c>
      <c r="B2" s="4" t="n">
        <v>46269</v>
      </c>
    </row>
    <row r="4" customFormat="false" ht="45.75" hidden="false" customHeight="true" outlineLevel="0" collapsed="false">
      <c r="A4" s="5" t="s">
        <v>165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="8" customFormat="true" ht="22.5" hidden="false" customHeight="true" outlineLevel="0" collapsed="false">
      <c r="A5" s="7"/>
      <c r="B5" s="7"/>
      <c r="C5" s="7"/>
      <c r="D5" s="7"/>
      <c r="N5" s="9" t="s">
        <v>2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customFormat="false" ht="18.75" hidden="false" customHeight="false" outlineLevel="0" collapsed="false"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customFormat="false" ht="19.5" hidden="false" customHeight="true" outlineLevel="0" collapsed="false">
      <c r="A7" s="10" t="s">
        <v>3</v>
      </c>
      <c r="B7" s="11" t="s">
        <v>4</v>
      </c>
      <c r="C7" s="11" t="s">
        <v>5</v>
      </c>
      <c r="D7" s="11" t="s">
        <v>6</v>
      </c>
    </row>
    <row r="8" customFormat="false" ht="19.5" hidden="false" customHeight="true" outlineLevel="0" collapsed="false">
      <c r="A8" s="12" t="s">
        <v>7</v>
      </c>
      <c r="B8" s="13" t="s">
        <v>8</v>
      </c>
      <c r="C8" s="14" t="s">
        <v>9</v>
      </c>
      <c r="D8" s="15" t="n">
        <v>0</v>
      </c>
      <c r="G8" s="16" t="s">
        <v>10</v>
      </c>
      <c r="H8" s="17" t="n">
        <v>6100</v>
      </c>
      <c r="I8" s="18"/>
      <c r="J8" s="19" t="s">
        <v>11</v>
      </c>
      <c r="K8" s="20" t="n">
        <v>0</v>
      </c>
      <c r="N8" s="2" t="s">
        <v>12</v>
      </c>
      <c r="O8" s="21" t="s">
        <v>13</v>
      </c>
    </row>
    <row r="9" customFormat="false" ht="19.5" hidden="false" customHeight="true" outlineLevel="0" collapsed="false">
      <c r="A9" s="12"/>
      <c r="B9" s="13" t="s">
        <v>14</v>
      </c>
      <c r="C9" s="13" t="s">
        <v>15</v>
      </c>
      <c r="D9" s="15" t="n">
        <v>0</v>
      </c>
      <c r="G9" s="22" t="s">
        <v>16</v>
      </c>
      <c r="H9" s="23" t="n">
        <v>5000</v>
      </c>
      <c r="I9" s="24"/>
      <c r="J9" s="10"/>
      <c r="K9" s="25"/>
      <c r="N9" s="26" t="s">
        <v>17</v>
      </c>
      <c r="O9" s="27" t="s">
        <v>18</v>
      </c>
      <c r="P9" s="28" t="b">
        <f aca="false">FALSE()</f>
        <v>0</v>
      </c>
    </row>
    <row r="10" customFormat="false" ht="18.75" hidden="false" customHeight="false" outlineLevel="0" collapsed="false">
      <c r="A10" s="12" t="s">
        <v>19</v>
      </c>
      <c r="B10" s="13" t="s">
        <v>20</v>
      </c>
      <c r="C10" s="13" t="s">
        <v>15</v>
      </c>
      <c r="D10" s="15" t="n">
        <v>0</v>
      </c>
      <c r="G10" s="22" t="s">
        <v>21</v>
      </c>
      <c r="H10" s="23" t="n">
        <v>45</v>
      </c>
      <c r="I10" s="29" t="s">
        <v>22</v>
      </c>
      <c r="J10" s="10"/>
      <c r="K10" s="25"/>
      <c r="N10" s="30" t="s">
        <v>23</v>
      </c>
    </row>
    <row r="11" customFormat="false" ht="19.5" hidden="false" customHeight="true" outlineLevel="0" collapsed="false">
      <c r="A11" s="12"/>
      <c r="B11" s="13" t="s">
        <v>24</v>
      </c>
      <c r="C11" s="13" t="s">
        <v>15</v>
      </c>
      <c r="D11" s="15" t="n">
        <v>0</v>
      </c>
      <c r="G11" s="31" t="s">
        <v>25</v>
      </c>
      <c r="H11" s="32" t="n">
        <v>0</v>
      </c>
      <c r="I11" s="33" t="s">
        <v>26</v>
      </c>
      <c r="J11" s="34"/>
      <c r="K11" s="35"/>
    </row>
    <row r="12" customFormat="false" ht="18.75" hidden="false" customHeight="false" outlineLevel="0" collapsed="false">
      <c r="O12" s="9" t="s">
        <v>27</v>
      </c>
      <c r="P12" s="6"/>
      <c r="Q12" s="6"/>
      <c r="S12" s="6"/>
      <c r="T12" s="6"/>
      <c r="U12" s="6"/>
      <c r="V12" s="6"/>
    </row>
    <row r="13" customFormat="false" ht="18.75" hidden="false" customHeight="false" outlineLevel="0" collapsed="false">
      <c r="A13" s="36" t="s">
        <v>28</v>
      </c>
      <c r="B13" s="36"/>
      <c r="C13" s="37"/>
      <c r="D13" s="38" t="s">
        <v>29</v>
      </c>
      <c r="E13" s="39" t="s">
        <v>30</v>
      </c>
      <c r="F13" s="39" t="s">
        <v>31</v>
      </c>
      <c r="G13" s="39" t="s">
        <v>32</v>
      </c>
      <c r="H13" s="39" t="s">
        <v>33</v>
      </c>
      <c r="I13" s="39" t="s">
        <v>34</v>
      </c>
      <c r="J13" s="39" t="s">
        <v>35</v>
      </c>
      <c r="K13" s="40" t="s">
        <v>36</v>
      </c>
      <c r="L13" s="41" t="s">
        <v>37</v>
      </c>
      <c r="N13" s="42" t="s">
        <v>38</v>
      </c>
      <c r="O13" s="43" t="s">
        <v>39</v>
      </c>
      <c r="P13" s="44"/>
      <c r="Q13" s="44"/>
      <c r="S13" s="44"/>
      <c r="T13" s="44"/>
      <c r="U13" s="44"/>
      <c r="V13" s="44"/>
    </row>
    <row r="14" customFormat="false" ht="19.5" hidden="false" customHeight="true" outlineLevel="0" collapsed="false">
      <c r="A14" s="45" t="s">
        <v>40</v>
      </c>
      <c r="B14" s="46" t="s">
        <v>41</v>
      </c>
      <c r="C14" s="47"/>
      <c r="D14" s="48" t="n">
        <f aca="false">+H8</f>
        <v>6100</v>
      </c>
      <c r="E14" s="49" t="n">
        <v>6207</v>
      </c>
      <c r="F14" s="49" t="n">
        <v>6112</v>
      </c>
      <c r="G14" s="49" t="n">
        <v>6066</v>
      </c>
      <c r="H14" s="49" t="n">
        <v>6179</v>
      </c>
      <c r="I14" s="49" t="n">
        <v>6005</v>
      </c>
      <c r="J14" s="49" t="n">
        <v>6243</v>
      </c>
      <c r="K14" s="50"/>
      <c r="L14" s="51"/>
    </row>
    <row r="15" customFormat="false" ht="19.5" hidden="false" customHeight="true" outlineLevel="0" collapsed="false">
      <c r="A15" s="45"/>
      <c r="B15" s="46" t="s">
        <v>42</v>
      </c>
      <c r="C15" s="47"/>
      <c r="D15" s="48" t="n">
        <f aca="false">+H9</f>
        <v>5000</v>
      </c>
      <c r="E15" s="49" t="n">
        <v>5088</v>
      </c>
      <c r="F15" s="49" t="n">
        <v>5010</v>
      </c>
      <c r="G15" s="49" t="n">
        <v>4972</v>
      </c>
      <c r="H15" s="49" t="n">
        <v>5065</v>
      </c>
      <c r="I15" s="49" t="n">
        <v>4922</v>
      </c>
      <c r="J15" s="49" t="n">
        <v>5118</v>
      </c>
      <c r="K15" s="50"/>
      <c r="L15" s="51"/>
      <c r="N15" s="52" t="s">
        <v>43</v>
      </c>
      <c r="O15" s="53" t="s">
        <v>44</v>
      </c>
      <c r="P15" s="54" t="n">
        <v>0.005</v>
      </c>
      <c r="S15" s="10" t="s">
        <v>45</v>
      </c>
    </row>
    <row r="16" customFormat="false" ht="19.5" hidden="false" customHeight="true" outlineLevel="0" collapsed="false">
      <c r="A16" s="45"/>
      <c r="B16" s="46" t="s">
        <v>46</v>
      </c>
      <c r="C16" s="47"/>
      <c r="D16" s="48" t="n">
        <f aca="false">H10</f>
        <v>45</v>
      </c>
      <c r="E16" s="49" t="n">
        <v>40</v>
      </c>
      <c r="F16" s="49" t="n">
        <v>41</v>
      </c>
      <c r="G16" s="49" t="n">
        <v>43</v>
      </c>
      <c r="H16" s="49" t="n">
        <v>45</v>
      </c>
      <c r="I16" s="49" t="n">
        <v>44</v>
      </c>
      <c r="J16" s="49" t="n">
        <v>47</v>
      </c>
      <c r="K16" s="50"/>
      <c r="L16" s="51"/>
      <c r="N16" s="52" t="s">
        <v>43</v>
      </c>
      <c r="O16" s="53" t="s">
        <v>47</v>
      </c>
      <c r="P16" s="54" t="n">
        <v>0.0025</v>
      </c>
      <c r="S16" s="55" t="s">
        <v>48</v>
      </c>
    </row>
    <row r="17" customFormat="false" ht="18.75" hidden="false" customHeight="false" outlineLevel="0" collapsed="false">
      <c r="A17" s="56" t="s">
        <v>49</v>
      </c>
      <c r="B17" s="57" t="s">
        <v>50</v>
      </c>
      <c r="C17" s="58"/>
      <c r="D17" s="59" t="b">
        <f aca="false">FALSE()</f>
        <v>0</v>
      </c>
      <c r="E17" s="60" t="b">
        <f aca="false">FALSE()</f>
        <v>0</v>
      </c>
      <c r="F17" s="60" t="b">
        <f aca="false">FALSE()</f>
        <v>0</v>
      </c>
      <c r="G17" s="60" t="b">
        <f aca="false">FALSE()</f>
        <v>0</v>
      </c>
      <c r="H17" s="60" t="b">
        <f aca="false">FALSE()</f>
        <v>0</v>
      </c>
      <c r="I17" s="60" t="b">
        <f aca="false">FALSE()</f>
        <v>0</v>
      </c>
      <c r="J17" s="60" t="b">
        <f aca="false">FALSE()</f>
        <v>0</v>
      </c>
      <c r="K17" s="61" t="s">
        <v>51</v>
      </c>
      <c r="L17" s="62" t="s">
        <v>51</v>
      </c>
      <c r="S17" s="55" t="s">
        <v>52</v>
      </c>
      <c r="W17" s="55" t="s">
        <v>53</v>
      </c>
      <c r="Z17" s="21" t="s">
        <v>54</v>
      </c>
    </row>
    <row r="18" customFormat="false" ht="18.75" hidden="false" customHeight="false" outlineLevel="0" collapsed="false">
      <c r="A18" s="56"/>
      <c r="B18" s="63" t="s">
        <v>55</v>
      </c>
      <c r="C18" s="58"/>
      <c r="D18" s="59" t="b">
        <f aca="false">FALSE()</f>
        <v>0</v>
      </c>
      <c r="E18" s="60" t="b">
        <f aca="false">TRUE()</f>
        <v>1</v>
      </c>
      <c r="F18" s="60" t="b">
        <f aca="false">TRUE()</f>
        <v>1</v>
      </c>
      <c r="G18" s="60" t="b">
        <f aca="false">TRUE()</f>
        <v>1</v>
      </c>
      <c r="H18" s="60" t="b">
        <f aca="false">TRUE()</f>
        <v>1</v>
      </c>
      <c r="I18" s="60" t="b">
        <f aca="false">TRUE()</f>
        <v>1</v>
      </c>
      <c r="J18" s="60" t="b">
        <f aca="false">TRUE()</f>
        <v>1</v>
      </c>
      <c r="K18" s="61" t="s">
        <v>51</v>
      </c>
      <c r="L18" s="62" t="s">
        <v>51</v>
      </c>
      <c r="N18" s="2" t="s">
        <v>56</v>
      </c>
      <c r="O18" s="29" t="s">
        <v>57</v>
      </c>
      <c r="P18" s="64" t="n">
        <v>0.65</v>
      </c>
      <c r="S18" s="1" t="n">
        <v>0</v>
      </c>
      <c r="T18" s="1" t="s">
        <v>15</v>
      </c>
      <c r="U18" s="65" t="n">
        <v>200000</v>
      </c>
      <c r="W18" s="1" t="n">
        <v>0</v>
      </c>
      <c r="X18" s="1" t="s">
        <v>15</v>
      </c>
      <c r="Y18" s="65" t="n">
        <v>600000</v>
      </c>
      <c r="Z18" s="21" t="n">
        <v>3</v>
      </c>
    </row>
    <row r="19" customFormat="false" ht="18.75" hidden="false" customHeight="false" outlineLevel="0" collapsed="false">
      <c r="A19" s="56"/>
      <c r="B19" s="63" t="s">
        <v>58</v>
      </c>
      <c r="C19" s="58"/>
      <c r="D19" s="59" t="b">
        <f aca="false">FALSE()</f>
        <v>0</v>
      </c>
      <c r="E19" s="60" t="b">
        <f aca="false">TRUE()</f>
        <v>1</v>
      </c>
      <c r="F19" s="60" t="b">
        <f aca="false">TRUE()</f>
        <v>1</v>
      </c>
      <c r="G19" s="60" t="b">
        <f aca="false">TRUE()</f>
        <v>1</v>
      </c>
      <c r="H19" s="60" t="b">
        <f aca="false">TRUE()</f>
        <v>1</v>
      </c>
      <c r="I19" s="60" t="b">
        <f aca="false">TRUE()</f>
        <v>1</v>
      </c>
      <c r="J19" s="60" t="b">
        <f aca="false">TRUE()</f>
        <v>1</v>
      </c>
      <c r="K19" s="61"/>
      <c r="L19" s="62"/>
      <c r="N19" s="2" t="s">
        <v>56</v>
      </c>
      <c r="O19" s="29" t="s">
        <v>59</v>
      </c>
      <c r="P19" s="64" t="n">
        <v>0.55</v>
      </c>
      <c r="S19" s="65" t="n">
        <v>200000</v>
      </c>
      <c r="T19" s="1" t="s">
        <v>15</v>
      </c>
      <c r="U19" s="65" t="n">
        <v>15000000</v>
      </c>
      <c r="W19" s="65" t="n">
        <v>600000</v>
      </c>
      <c r="X19" s="1" t="s">
        <v>15</v>
      </c>
      <c r="Y19" s="65" t="n">
        <f aca="false">+U19*2.5</f>
        <v>37500000</v>
      </c>
      <c r="Z19" s="21" t="n">
        <v>2.5</v>
      </c>
    </row>
    <row r="20" customFormat="false" ht="18.75" hidden="false" customHeight="false" outlineLevel="0" collapsed="false">
      <c r="A20" s="56"/>
      <c r="B20" s="63" t="s">
        <v>60</v>
      </c>
      <c r="C20" s="58"/>
      <c r="D20" s="59" t="b">
        <f aca="false">FALSE()</f>
        <v>0</v>
      </c>
      <c r="E20" s="60" t="b">
        <f aca="false">FALSE()</f>
        <v>0</v>
      </c>
      <c r="F20" s="60" t="b">
        <f aca="false">FALSE()</f>
        <v>0</v>
      </c>
      <c r="G20" s="60" t="b">
        <f aca="false">FALSE()</f>
        <v>0</v>
      </c>
      <c r="H20" s="60" t="b">
        <f aca="false">FALSE()</f>
        <v>0</v>
      </c>
      <c r="I20" s="60" t="b">
        <f aca="false">FALSE()</f>
        <v>0</v>
      </c>
      <c r="J20" s="60" t="b">
        <f aca="false">FALSE()</f>
        <v>0</v>
      </c>
      <c r="K20" s="61"/>
      <c r="L20" s="62"/>
      <c r="S20" s="65"/>
      <c r="U20" s="65"/>
      <c r="W20" s="65"/>
      <c r="Y20" s="65"/>
      <c r="Z20" s="21"/>
    </row>
    <row r="21" customFormat="false" ht="18.75" hidden="false" customHeight="false" outlineLevel="0" collapsed="false">
      <c r="A21" s="56"/>
      <c r="B21" s="63" t="s">
        <v>61</v>
      </c>
      <c r="C21" s="58"/>
      <c r="D21" s="59" t="b">
        <f aca="false">FALSE()</f>
        <v>0</v>
      </c>
      <c r="E21" s="60" t="b">
        <f aca="false">FALSE()</f>
        <v>0</v>
      </c>
      <c r="F21" s="60" t="b">
        <f aca="false">FALSE()</f>
        <v>0</v>
      </c>
      <c r="G21" s="60" t="b">
        <f aca="false">FALSE()</f>
        <v>0</v>
      </c>
      <c r="H21" s="60" t="b">
        <f aca="false">FALSE()</f>
        <v>0</v>
      </c>
      <c r="I21" s="60" t="b">
        <f aca="false">FALSE()</f>
        <v>0</v>
      </c>
      <c r="J21" s="60" t="b">
        <f aca="false">FALSE()</f>
        <v>0</v>
      </c>
      <c r="K21" s="61" t="s">
        <v>51</v>
      </c>
      <c r="L21" s="62" t="s">
        <v>51</v>
      </c>
      <c r="O21" s="66" t="s">
        <v>62</v>
      </c>
      <c r="P21" s="67"/>
      <c r="S21" s="65"/>
      <c r="U21" s="65"/>
      <c r="W21" s="65"/>
      <c r="Y21" s="65"/>
      <c r="Z21" s="21"/>
    </row>
    <row r="22" customFormat="false" ht="18.75" hidden="false" customHeight="true" outlineLevel="0" collapsed="false">
      <c r="A22" s="68" t="s">
        <v>63</v>
      </c>
      <c r="B22" s="69" t="s">
        <v>50</v>
      </c>
      <c r="C22" s="53"/>
      <c r="D22" s="70" t="s">
        <v>51</v>
      </c>
      <c r="E22" s="71" t="n">
        <f aca="false">IF(E17=FALSE(),0,IF(E65=0,0,IFERROR(E65/P30,"D63を記入してください")))</f>
        <v>0</v>
      </c>
      <c r="F22" s="71" t="n">
        <f aca="false">E22*1.01</f>
        <v>0</v>
      </c>
      <c r="G22" s="71" t="n">
        <f aca="false">F22*1.01</f>
        <v>0</v>
      </c>
      <c r="H22" s="71" t="n">
        <f aca="false">G22*1.01</f>
        <v>0</v>
      </c>
      <c r="I22" s="71" t="n">
        <f aca="false">H22*1.01</f>
        <v>0</v>
      </c>
      <c r="J22" s="71" t="n">
        <f aca="false">I22*1.01</f>
        <v>0</v>
      </c>
      <c r="K22" s="50"/>
      <c r="L22" s="51"/>
      <c r="N22" s="2" t="s">
        <v>64</v>
      </c>
      <c r="O22" s="11" t="s">
        <v>65</v>
      </c>
      <c r="P22" s="72" t="n">
        <v>0.78</v>
      </c>
      <c r="S22" s="65"/>
      <c r="U22" s="65"/>
      <c r="W22" s="65"/>
      <c r="Y22" s="65"/>
      <c r="Z22" s="21"/>
    </row>
    <row r="23" customFormat="false" ht="19.5" hidden="false" customHeight="true" outlineLevel="0" collapsed="false">
      <c r="A23" s="68"/>
      <c r="B23" s="73" t="s">
        <v>55</v>
      </c>
      <c r="C23" s="53"/>
      <c r="D23" s="70" t="s">
        <v>51</v>
      </c>
      <c r="E23" s="74" t="n">
        <f aca="false">IF(E18=FALSE(),0,E14*0.4*0.125*0.125*0.62)</f>
        <v>24.052125</v>
      </c>
      <c r="F23" s="74" t="n">
        <f aca="false">IF(F18=FALSE(),0,F14*0.4*0.125*0.125*0.81)</f>
        <v>30.942</v>
      </c>
      <c r="G23" s="71" t="n">
        <f aca="false">IF(G18=FALSE(),0,G14*0.4*0.125*0.125*0.93)</f>
        <v>35.258625</v>
      </c>
      <c r="H23" s="71" t="n">
        <f aca="false">IF(H18=FALSE(),0,H14*0.4*0.125*0.125*1)</f>
        <v>38.61875</v>
      </c>
      <c r="I23" s="71" t="n">
        <f aca="false">IF(I18=FALSE(),0,I14*0.4*0.125*0.125*1.03)</f>
        <v>38.6571875</v>
      </c>
      <c r="J23" s="71" t="n">
        <f aca="false">IF(J18=FALSE(),0,J14*0.4*0.125*0.125*1.05)</f>
        <v>40.9696875</v>
      </c>
      <c r="K23" s="50"/>
      <c r="L23" s="51"/>
      <c r="N23" s="52" t="s">
        <v>66</v>
      </c>
      <c r="O23" s="11" t="s">
        <v>67</v>
      </c>
      <c r="P23" s="72" t="n">
        <v>0.1</v>
      </c>
      <c r="Q23" s="1" t="s">
        <v>68</v>
      </c>
      <c r="S23" s="65"/>
      <c r="U23" s="65"/>
      <c r="W23" s="65"/>
      <c r="Y23" s="65"/>
      <c r="Z23" s="21"/>
    </row>
    <row r="24" customFormat="false" ht="19.5" hidden="false" customHeight="true" outlineLevel="0" collapsed="false">
      <c r="A24" s="68"/>
      <c r="B24" s="73" t="s">
        <v>69</v>
      </c>
      <c r="C24" s="53"/>
      <c r="D24" s="70" t="s">
        <v>51</v>
      </c>
      <c r="E24" s="74" t="n">
        <f aca="false">IF(E19=FALSE(),0,E16*0.8*0.45*0.62)</f>
        <v>8.928</v>
      </c>
      <c r="F24" s="71" t="n">
        <f aca="false">IF(F19=FALSE(),0,F16*0.8*0.45*0.81)</f>
        <v>11.9556</v>
      </c>
      <c r="G24" s="71" t="n">
        <f aca="false">IF(G19=FALSE(),0,G16*0.8*0.45*0.93)</f>
        <v>14.3964</v>
      </c>
      <c r="H24" s="71" t="n">
        <f aca="false">IF(H19=FALSE(),0,H16*0.8*0.45*1)</f>
        <v>16.2</v>
      </c>
      <c r="I24" s="71" t="n">
        <f aca="false">IF(I19=FALSE(),0,I16*0.8*0.45*1.03)</f>
        <v>16.3152</v>
      </c>
      <c r="J24" s="71" t="n">
        <f aca="false">IF(J19=FALSE(),0,J16*0.8*0.45*1.05)</f>
        <v>17.766</v>
      </c>
      <c r="K24" s="50"/>
      <c r="L24" s="51"/>
      <c r="N24" s="52" t="s">
        <v>70</v>
      </c>
      <c r="O24" s="24" t="s">
        <v>71</v>
      </c>
      <c r="P24" s="75" t="n">
        <v>0.8</v>
      </c>
      <c r="Q24" s="76" t="n">
        <v>0.8</v>
      </c>
      <c r="S24" s="65"/>
      <c r="U24" s="65"/>
      <c r="W24" s="65"/>
      <c r="Y24" s="65"/>
      <c r="Z24" s="21"/>
    </row>
    <row r="25" customFormat="false" ht="19.5" hidden="false" customHeight="true" outlineLevel="0" collapsed="false">
      <c r="A25" s="68"/>
      <c r="B25" s="73" t="s">
        <v>72</v>
      </c>
      <c r="C25" s="53"/>
      <c r="D25" s="70" t="s">
        <v>51</v>
      </c>
      <c r="E25" s="74" t="n">
        <f aca="false">IF(E20=FALSE(),0,E16*(1-0.8*0.45*0.62)*0.7*0.3)</f>
        <v>0</v>
      </c>
      <c r="F25" s="74" t="n">
        <f aca="false">IF(F20=FALSE(),0,F16*(1-0.8*0.45*0.81)*0.7*0.3)</f>
        <v>0</v>
      </c>
      <c r="G25" s="74" t="n">
        <f aca="false">IF(G20=FALSE(),0,G16*(1-0.8*0.45*0.93)*0.7*0.3)</f>
        <v>0</v>
      </c>
      <c r="H25" s="74" t="n">
        <f aca="false">IF(H20=FALSE(),0,H16*(1-0.8*0.45*1)*0.7*0.3)</f>
        <v>0</v>
      </c>
      <c r="I25" s="74" t="n">
        <f aca="false">IF(I20=FALSE(),0,I16*(1-0.8*0.45*1.03)*0.7*0.3)</f>
        <v>0</v>
      </c>
      <c r="J25" s="74" t="n">
        <f aca="false">IF(J20=FALSE(),0,J16*(1-0.8*0.45*1.05)*0.7*0.3)</f>
        <v>0</v>
      </c>
      <c r="K25" s="50"/>
      <c r="L25" s="51"/>
      <c r="N25" s="52" t="s">
        <v>73</v>
      </c>
      <c r="O25" s="66" t="s">
        <v>74</v>
      </c>
      <c r="P25" s="67"/>
      <c r="S25" s="65"/>
      <c r="U25" s="65"/>
      <c r="W25" s="65"/>
      <c r="Y25" s="65"/>
      <c r="Z25" s="21"/>
    </row>
    <row r="26" customFormat="false" ht="19.5" hidden="false" customHeight="true" outlineLevel="0" collapsed="false">
      <c r="A26" s="56" t="s">
        <v>75</v>
      </c>
      <c r="B26" s="56"/>
      <c r="C26" s="44"/>
      <c r="D26" s="70" t="s">
        <v>51</v>
      </c>
      <c r="E26" s="74" t="n">
        <f aca="false">SUM(E22:E25)+E14*0.005*0.62</f>
        <v>52.221825</v>
      </c>
      <c r="F26" s="74" t="n">
        <f aca="false">SUM(F22:F25)+F14*0.005*0.81</f>
        <v>67.6512</v>
      </c>
      <c r="G26" s="74" t="n">
        <f aca="false">SUM(G22:G25)+G14*0.005*0.93</f>
        <v>77.861925</v>
      </c>
      <c r="H26" s="74" t="n">
        <f aca="false">SUM(H22:H25)+H14*0.005*1</f>
        <v>85.71375</v>
      </c>
      <c r="I26" s="74" t="n">
        <f aca="false">SUM(I22:I25)+I14*0.005*1.03</f>
        <v>85.8981375</v>
      </c>
      <c r="J26" s="74" t="n">
        <f aca="false">SUM(J22:J25)+J14*0.005*1.05</f>
        <v>91.5114375</v>
      </c>
      <c r="K26" s="50"/>
      <c r="L26" s="51"/>
      <c r="N26" s="77" t="s">
        <v>76</v>
      </c>
      <c r="O26" s="11" t="s">
        <v>65</v>
      </c>
      <c r="P26" s="72" t="n">
        <v>0.725</v>
      </c>
      <c r="S26" s="65"/>
      <c r="U26" s="65"/>
      <c r="W26" s="65"/>
      <c r="Y26" s="65"/>
      <c r="Z26" s="21"/>
    </row>
    <row r="27" customFormat="false" ht="19.5" hidden="false" customHeight="true" outlineLevel="0" collapsed="false">
      <c r="A27" s="56" t="s">
        <v>77</v>
      </c>
      <c r="B27" s="56"/>
      <c r="C27" s="44"/>
      <c r="D27" s="78" t="n">
        <v>0</v>
      </c>
      <c r="E27" s="79" t="n">
        <v>0.406</v>
      </c>
      <c r="F27" s="79" t="n">
        <v>0.391</v>
      </c>
      <c r="G27" s="79" t="n">
        <v>0.378</v>
      </c>
      <c r="H27" s="79" t="n">
        <v>0.362</v>
      </c>
      <c r="I27" s="79" t="n">
        <v>0.359</v>
      </c>
      <c r="J27" s="79" t="n">
        <v>0.344</v>
      </c>
      <c r="K27" s="50"/>
      <c r="L27" s="51"/>
      <c r="N27" s="52" t="s">
        <v>78</v>
      </c>
      <c r="O27" s="11" t="s">
        <v>67</v>
      </c>
      <c r="P27" s="72" t="n">
        <v>0.12</v>
      </c>
      <c r="Q27" s="1" t="s">
        <v>68</v>
      </c>
      <c r="S27" s="65"/>
      <c r="U27" s="65"/>
      <c r="W27" s="65"/>
      <c r="Y27" s="65"/>
      <c r="Z27" s="21"/>
    </row>
    <row r="28" customFormat="false" ht="19.5" hidden="false" customHeight="true" outlineLevel="0" collapsed="false">
      <c r="A28" s="80" t="s">
        <v>79</v>
      </c>
      <c r="B28" s="80"/>
      <c r="C28" s="81"/>
      <c r="D28" s="82" t="n">
        <v>0</v>
      </c>
      <c r="E28" s="83" t="n">
        <f aca="false">+D28+E26</f>
        <v>52.221825</v>
      </c>
      <c r="F28" s="83" t="n">
        <f aca="false">+E28+F26</f>
        <v>119.873025</v>
      </c>
      <c r="G28" s="83" t="n">
        <f aca="false">+F28+G26</f>
        <v>197.73495</v>
      </c>
      <c r="H28" s="83" t="n">
        <f aca="false">+G28+H26</f>
        <v>283.4487</v>
      </c>
      <c r="I28" s="83" t="n">
        <f aca="false">+H28+I26</f>
        <v>369.3468375</v>
      </c>
      <c r="J28" s="83" t="n">
        <f aca="false">+I28+J26</f>
        <v>460.858275</v>
      </c>
      <c r="K28" s="84"/>
      <c r="L28" s="51"/>
      <c r="O28" s="24" t="s">
        <v>71</v>
      </c>
      <c r="P28" s="75" t="n">
        <v>0.2</v>
      </c>
      <c r="Q28" s="76" t="n">
        <v>0.8</v>
      </c>
      <c r="S28" s="65"/>
      <c r="U28" s="65"/>
      <c r="W28" s="65"/>
      <c r="Y28" s="65"/>
      <c r="Z28" s="21"/>
    </row>
    <row r="29" customFormat="false" ht="19.5" hidden="false" customHeight="true" outlineLevel="0" collapsed="false">
      <c r="A29" s="85" t="s">
        <v>80</v>
      </c>
      <c r="B29" s="85"/>
      <c r="C29" s="86"/>
      <c r="D29" s="87" t="n">
        <v>0</v>
      </c>
      <c r="E29" s="88" t="n">
        <f aca="false">+E28*(1-E27)</f>
        <v>31.01976405</v>
      </c>
      <c r="F29" s="88" t="n">
        <f aca="false">+F28*(1-F27)</f>
        <v>73.002672225</v>
      </c>
      <c r="G29" s="88" t="n">
        <f aca="false">+G28*(1-G27)</f>
        <v>122.9911389</v>
      </c>
      <c r="H29" s="88" t="n">
        <f aca="false">+H28*(1-H27)</f>
        <v>180.8402706</v>
      </c>
      <c r="I29" s="88" t="n">
        <f aca="false">+I28*(1-I27)</f>
        <v>236.7513228375</v>
      </c>
      <c r="J29" s="88" t="n">
        <f aca="false">+J28*(1-J27)</f>
        <v>302.3230284</v>
      </c>
      <c r="K29" s="84"/>
      <c r="L29" s="51"/>
      <c r="N29" s="52" t="s">
        <v>81</v>
      </c>
      <c r="S29" s="65"/>
      <c r="U29" s="65"/>
      <c r="W29" s="65"/>
      <c r="Y29" s="65"/>
      <c r="Z29" s="21"/>
    </row>
    <row r="30" customFormat="false" ht="19.5" hidden="false" customHeight="true" outlineLevel="0" collapsed="false">
      <c r="A30" s="89" t="s">
        <v>82</v>
      </c>
      <c r="B30" s="89"/>
      <c r="C30" s="43"/>
      <c r="D30" s="90" t="n">
        <v>0</v>
      </c>
      <c r="E30" s="91" t="n">
        <v>4</v>
      </c>
      <c r="F30" s="91" t="n">
        <v>4</v>
      </c>
      <c r="G30" s="91" t="n">
        <v>4</v>
      </c>
      <c r="H30" s="91" t="n">
        <v>4</v>
      </c>
      <c r="I30" s="91" t="n">
        <v>4</v>
      </c>
      <c r="J30" s="91" t="n">
        <v>4</v>
      </c>
      <c r="K30" s="50"/>
      <c r="L30" s="51"/>
      <c r="N30" s="52" t="s">
        <v>83</v>
      </c>
      <c r="O30" s="53" t="s">
        <v>84</v>
      </c>
      <c r="P30" s="92"/>
      <c r="S30" s="65"/>
      <c r="U30" s="65"/>
      <c r="W30" s="65"/>
      <c r="Y30" s="65"/>
      <c r="Z30" s="21"/>
    </row>
    <row r="31" customFormat="false" ht="19.5" hidden="false" customHeight="true" outlineLevel="0" collapsed="false">
      <c r="A31" s="56" t="s">
        <v>85</v>
      </c>
      <c r="B31" s="56"/>
      <c r="C31" s="44"/>
      <c r="D31" s="87" t="n">
        <f aca="false">+D30*D29*0.41*0.07</f>
        <v>0</v>
      </c>
      <c r="E31" s="71" t="n">
        <f aca="false">+E29*E30*$P$24*$P$22*$P$23*$P$36</f>
        <v>11.335842721783</v>
      </c>
      <c r="F31" s="71" t="n">
        <f aca="false">+F29*F30*$P$24*$P$22*$P$23*$P$36</f>
        <v>26.6780498161938</v>
      </c>
      <c r="G31" s="71" t="n">
        <f aca="false">+G29*G30*$P$24*$P$22*$P$23*$P$36</f>
        <v>44.9458030852871</v>
      </c>
      <c r="H31" s="71" t="n">
        <f aca="false">+H29*H30*$P$24*$P$22*$P$23*$P$36*$Q$24</f>
        <v>52.8689222002327</v>
      </c>
      <c r="I31" s="71" t="n">
        <f aca="false">+I29*I30*$P$24*$P$22*$P$23*$P$36*$Q$24</f>
        <v>69.2146015175116</v>
      </c>
      <c r="J31" s="71" t="n">
        <f aca="false">+J29*J30*$P$24*$P$22*$P$23*$P$36*$Q$24</f>
        <v>88.3845872094063</v>
      </c>
      <c r="K31" s="50"/>
      <c r="L31" s="51"/>
      <c r="S31" s="65"/>
      <c r="U31" s="65"/>
      <c r="W31" s="65"/>
      <c r="Y31" s="65"/>
      <c r="Z31" s="21"/>
    </row>
    <row r="32" customFormat="false" ht="19.5" hidden="false" customHeight="true" outlineLevel="0" collapsed="false">
      <c r="A32" s="89" t="s">
        <v>86</v>
      </c>
      <c r="B32" s="89"/>
      <c r="C32" s="43"/>
      <c r="D32" s="90" t="n">
        <v>0</v>
      </c>
      <c r="E32" s="91" t="n">
        <v>10</v>
      </c>
      <c r="F32" s="91" t="n">
        <v>10</v>
      </c>
      <c r="G32" s="91" t="n">
        <v>10</v>
      </c>
      <c r="H32" s="91" t="n">
        <v>10</v>
      </c>
      <c r="I32" s="91" t="n">
        <v>10</v>
      </c>
      <c r="J32" s="91" t="n">
        <v>10</v>
      </c>
      <c r="K32" s="50"/>
      <c r="L32" s="51"/>
      <c r="N32" s="52" t="s">
        <v>87</v>
      </c>
      <c r="O32" s="11" t="s">
        <v>88</v>
      </c>
      <c r="P32" s="93" t="b">
        <f aca="false">TRUE()</f>
        <v>1</v>
      </c>
      <c r="Q32" s="94" t="n">
        <f aca="false">+IF(P32=TRUE(),1.1,0.95)</f>
        <v>1.1</v>
      </c>
      <c r="S32" s="65"/>
      <c r="U32" s="65"/>
      <c r="W32" s="65"/>
      <c r="Z32" s="21"/>
    </row>
    <row r="33" customFormat="false" ht="19.5" hidden="false" customHeight="true" outlineLevel="0" collapsed="false">
      <c r="A33" s="56" t="s">
        <v>89</v>
      </c>
      <c r="B33" s="56"/>
      <c r="C33" s="44"/>
      <c r="D33" s="70" t="n">
        <v>0</v>
      </c>
      <c r="E33" s="71" t="n">
        <f aca="false">+E29*E32*$P$26*$P$27*$P$28*$P$36</f>
        <v>7.90239035893527</v>
      </c>
      <c r="F33" s="71" t="n">
        <f aca="false">+F29*F32*$P$26*$P$27*$P$28*$P$36</f>
        <v>18.5976789584043</v>
      </c>
      <c r="G33" s="71" t="n">
        <f aca="false">+G29*G32*$P$26*$P$27*$P$28*$P$36</f>
        <v>31.3324108046473</v>
      </c>
      <c r="H33" s="71" t="n">
        <f aca="false">+H29*H32*$P$26*$P$27*$P$28*$P$36*$Q$28</f>
        <v>36.8557390338161</v>
      </c>
      <c r="I33" s="71" t="n">
        <f aca="false">+I29*I32*$P$26*$P$27*$P$28*$P$36*$Q$28</f>
        <v>48.2505635578806</v>
      </c>
      <c r="J33" s="71" t="n">
        <f aca="false">+J29*J32*$P$26*$P$27*$P$28*$P$36*$Q$28</f>
        <v>61.6142555065573</v>
      </c>
      <c r="K33" s="50"/>
      <c r="L33" s="51"/>
      <c r="O33" s="11" t="s">
        <v>90</v>
      </c>
      <c r="P33" s="93" t="b">
        <f aca="false">TRUE()</f>
        <v>1</v>
      </c>
      <c r="Q33" s="94" t="n">
        <f aca="false">+IF(P33=TRUE(),1.1,0.95)</f>
        <v>1.1</v>
      </c>
    </row>
    <row r="34" customFormat="false" ht="19.5" hidden="false" customHeight="true" outlineLevel="0" collapsed="false">
      <c r="A34" s="85" t="s">
        <v>91</v>
      </c>
      <c r="B34" s="85"/>
      <c r="C34" s="86"/>
      <c r="D34" s="87" t="n">
        <f aca="false">+D29*D30</f>
        <v>0</v>
      </c>
      <c r="E34" s="74" t="n">
        <f aca="false">+E29*E30*$P$24+E29*E32*$P$28</f>
        <v>161.30277306</v>
      </c>
      <c r="F34" s="74" t="n">
        <f aca="false">+F29*F30*$P$24+F29*F32*$P$28</f>
        <v>379.61389557</v>
      </c>
      <c r="G34" s="74" t="n">
        <f aca="false">+G29*G30*$P$24+G29*G32*$P$28</f>
        <v>639.55392228</v>
      </c>
      <c r="H34" s="74" t="n">
        <f aca="false">+H29*H30*$P$24*$Q$24+H29*H32*$P$28*$Q$28</f>
        <v>752.295525696</v>
      </c>
      <c r="I34" s="74" t="n">
        <f aca="false">+I29*I30*$P$24*$Q$24+I29*I32*$P$28*$Q$28</f>
        <v>984.885503004</v>
      </c>
      <c r="J34" s="74" t="n">
        <f aca="false">+J29*J30*$P$24*$Q$24+J29*J32*$P$28*$Q$28</f>
        <v>1257.663798144</v>
      </c>
      <c r="K34" s="50"/>
      <c r="L34" s="51"/>
      <c r="O34" s="11" t="s">
        <v>92</v>
      </c>
      <c r="P34" s="93" t="b">
        <f aca="false">TRUE()</f>
        <v>1</v>
      </c>
      <c r="Q34" s="94" t="n">
        <f aca="false">+IF(P34=TRUE(),1.1,0.95)</f>
        <v>1.1</v>
      </c>
    </row>
    <row r="35" customFormat="false" ht="19.5" hidden="false" customHeight="true" outlineLevel="0" collapsed="false">
      <c r="A35" s="85" t="s">
        <v>93</v>
      </c>
      <c r="B35" s="85"/>
      <c r="C35" s="86"/>
      <c r="D35" s="95" t="n">
        <f aca="false">+D31*1.02</f>
        <v>0</v>
      </c>
      <c r="E35" s="88" t="n">
        <f aca="false">+E31+E33+1.05*(E31+E33)</f>
        <v>39.4383778154725</v>
      </c>
      <c r="F35" s="88" t="n">
        <f aca="false">+F31+F33+1.05*(F31+F33)</f>
        <v>92.8152439879262</v>
      </c>
      <c r="G35" s="88" t="n">
        <f aca="false">+G31+G33+1.05*(G31+G33)</f>
        <v>156.370338474366</v>
      </c>
      <c r="H35" s="88" t="n">
        <f aca="false">+H31+H33+1.05*(H31+H33)</f>
        <v>183.9355555298</v>
      </c>
      <c r="I35" s="88" t="n">
        <f aca="false">+I31+I33+1.05*(I31+I33)</f>
        <v>240.803588404554</v>
      </c>
      <c r="J35" s="88" t="n">
        <f aca="false">+J31+J33+1.05*(J31+J33)</f>
        <v>307.497627567725</v>
      </c>
      <c r="K35" s="50"/>
      <c r="L35" s="51"/>
      <c r="O35" s="11" t="s">
        <v>94</v>
      </c>
      <c r="P35" s="93" t="b">
        <f aca="false">TRUE()</f>
        <v>1</v>
      </c>
      <c r="Q35" s="94" t="n">
        <f aca="false">+IF(P35=TRUE(),1.1,0.95)</f>
        <v>1.1</v>
      </c>
    </row>
    <row r="36" customFormat="false" ht="18.75" hidden="false" customHeight="false" outlineLevel="0" collapsed="false">
      <c r="A36" s="96" t="s">
        <v>95</v>
      </c>
      <c r="B36" s="69" t="str">
        <f aca="false">+C8</f>
        <v>求人応募（LINE経由）</v>
      </c>
      <c r="C36" s="69"/>
      <c r="D36" s="50" t="n">
        <v>0</v>
      </c>
      <c r="E36" s="97" t="n">
        <v>0</v>
      </c>
      <c r="F36" s="97" t="n">
        <v>1</v>
      </c>
      <c r="G36" s="97" t="n">
        <v>1</v>
      </c>
      <c r="H36" s="97" t="n">
        <v>1</v>
      </c>
      <c r="I36" s="97" t="n">
        <v>2</v>
      </c>
      <c r="J36" s="97" t="n">
        <v>3</v>
      </c>
      <c r="K36" s="98" t="n">
        <f aca="false">SUM(E36:J36)</f>
        <v>8</v>
      </c>
      <c r="L36" s="51"/>
      <c r="N36" s="52" t="s">
        <v>96</v>
      </c>
      <c r="O36" s="11" t="s">
        <v>97</v>
      </c>
      <c r="P36" s="99" t="n">
        <f aca="false">1*(Q32*Q33*Q34*Q35)</f>
        <v>1.4641</v>
      </c>
      <c r="Q36" s="94"/>
    </row>
    <row r="37" customFormat="false" ht="18.75" hidden="false" customHeight="false" outlineLevel="0" collapsed="false">
      <c r="A37" s="96"/>
      <c r="B37" s="69" t="str">
        <f aca="false">+C9</f>
        <v>-</v>
      </c>
      <c r="C37" s="69"/>
      <c r="D37" s="50" t="n">
        <v>0</v>
      </c>
      <c r="E37" s="97" t="n">
        <v>0</v>
      </c>
      <c r="F37" s="97" t="n">
        <v>0</v>
      </c>
      <c r="G37" s="97" t="n">
        <v>0</v>
      </c>
      <c r="H37" s="97" t="n">
        <v>0</v>
      </c>
      <c r="I37" s="97" t="n">
        <v>0</v>
      </c>
      <c r="J37" s="97" t="n">
        <v>0</v>
      </c>
      <c r="K37" s="98" t="n">
        <f aca="false">SUM(E37:J37)</f>
        <v>0</v>
      </c>
      <c r="L37" s="51"/>
      <c r="N37" s="52" t="s">
        <v>96</v>
      </c>
    </row>
    <row r="38" customFormat="false" ht="18.75" hidden="false" customHeight="false" outlineLevel="0" collapsed="false">
      <c r="A38" s="96" t="s">
        <v>98</v>
      </c>
      <c r="B38" s="69" t="str">
        <f aca="false">+C10</f>
        <v>-</v>
      </c>
      <c r="C38" s="69"/>
      <c r="D38" s="50" t="n">
        <v>0</v>
      </c>
      <c r="E38" s="97" t="n">
        <v>0</v>
      </c>
      <c r="F38" s="97" t="n">
        <v>0</v>
      </c>
      <c r="G38" s="97" t="n">
        <v>0</v>
      </c>
      <c r="H38" s="97" t="n">
        <v>0</v>
      </c>
      <c r="I38" s="97" t="n">
        <v>0</v>
      </c>
      <c r="J38" s="97" t="n">
        <v>0</v>
      </c>
      <c r="K38" s="98" t="n">
        <f aca="false">SUM(E38:J38)</f>
        <v>0</v>
      </c>
      <c r="L38" s="51"/>
      <c r="N38" s="52" t="s">
        <v>99</v>
      </c>
      <c r="O38" s="100" t="s">
        <v>100</v>
      </c>
    </row>
    <row r="39" customFormat="false" ht="18.75" hidden="false" customHeight="false" outlineLevel="0" collapsed="false">
      <c r="A39" s="96"/>
      <c r="B39" s="69" t="str">
        <f aca="false">+C11</f>
        <v>-</v>
      </c>
      <c r="C39" s="69"/>
      <c r="D39" s="50" t="n">
        <v>0</v>
      </c>
      <c r="E39" s="97" t="n">
        <v>0</v>
      </c>
      <c r="F39" s="97" t="n">
        <v>0</v>
      </c>
      <c r="G39" s="97" t="n">
        <v>0</v>
      </c>
      <c r="H39" s="97" t="n">
        <v>0</v>
      </c>
      <c r="I39" s="97" t="n">
        <v>0</v>
      </c>
      <c r="J39" s="97" t="n">
        <v>0</v>
      </c>
      <c r="K39" s="98" t="n">
        <f aca="false">SUM(E39:J39)</f>
        <v>0</v>
      </c>
      <c r="L39" s="51"/>
      <c r="N39" s="52" t="s">
        <v>99</v>
      </c>
      <c r="O39" s="100" t="s">
        <v>101</v>
      </c>
    </row>
    <row r="40" customFormat="false" ht="18.75" hidden="false" customHeight="false" outlineLevel="0" collapsed="false">
      <c r="A40" s="12" t="s">
        <v>102</v>
      </c>
      <c r="B40" s="12"/>
      <c r="C40" s="101"/>
      <c r="D40" s="50" t="n">
        <f aca="false">+SUM(D36:D39)</f>
        <v>0</v>
      </c>
      <c r="E40" s="102" t="n">
        <f aca="false">+SUM(E36:E39)</f>
        <v>0</v>
      </c>
      <c r="F40" s="102" t="n">
        <f aca="false">+SUM(F36:F39)</f>
        <v>1</v>
      </c>
      <c r="G40" s="102" t="n">
        <f aca="false">+SUM(G36:G39)</f>
        <v>1</v>
      </c>
      <c r="H40" s="102" t="n">
        <f aca="false">+SUM(H36:H39)</f>
        <v>1</v>
      </c>
      <c r="I40" s="102" t="n">
        <f aca="false">+SUM(I36:I39)</f>
        <v>2</v>
      </c>
      <c r="J40" s="102" t="n">
        <f aca="false">+SUM(J36:J39)</f>
        <v>3</v>
      </c>
      <c r="K40" s="98" t="n">
        <f aca="false">SUM(E40:J40)</f>
        <v>8</v>
      </c>
      <c r="L40" s="51"/>
      <c r="O40" s="53"/>
    </row>
    <row r="41" customFormat="false" ht="18.75" hidden="false" customHeight="false" outlineLevel="0" collapsed="false">
      <c r="B41" s="1" t="s">
        <v>103</v>
      </c>
      <c r="D41" s="103" t="n">
        <f aca="false">+IFERROR(D40/D35,0)</f>
        <v>0</v>
      </c>
      <c r="E41" s="103" t="n">
        <f aca="false">+IFERROR(E40/E35,0)</f>
        <v>0</v>
      </c>
      <c r="F41" s="103" t="n">
        <f aca="false">+IFERROR(F40/F35,0)</f>
        <v>0.0107740922399567</v>
      </c>
      <c r="G41" s="103" t="n">
        <f aca="false">+IFERROR(G40/G35,0)</f>
        <v>0.00639507472936713</v>
      </c>
      <c r="H41" s="103" t="n">
        <f aca="false">+IFERROR(H40/H35,0)</f>
        <v>0.00543668676303308</v>
      </c>
      <c r="I41" s="103" t="n">
        <f aca="false">+IFERROR(I40/I35,0)</f>
        <v>0.00830552407150996</v>
      </c>
      <c r="J41" s="103" t="n">
        <f aca="false">+IFERROR(J40/J35,0)</f>
        <v>0.00975617283206278</v>
      </c>
      <c r="N41" s="2" t="s">
        <v>104</v>
      </c>
    </row>
    <row r="42" customFormat="false" ht="18.75" hidden="false" customHeight="false" outlineLevel="0" collapsed="false">
      <c r="B42" s="10"/>
      <c r="D42" s="103"/>
      <c r="E42" s="104"/>
      <c r="F42" s="104"/>
      <c r="G42" s="104"/>
      <c r="H42" s="104"/>
      <c r="I42" s="104"/>
      <c r="J42" s="104"/>
    </row>
    <row r="43" customFormat="false" ht="18.75" hidden="false" customHeight="false" outlineLevel="0" collapsed="false">
      <c r="A43" s="10" t="s">
        <v>105</v>
      </c>
      <c r="C43" s="55" t="s">
        <v>106</v>
      </c>
      <c r="D43" s="55" t="s">
        <v>107</v>
      </c>
    </row>
    <row r="44" customFormat="false" ht="18.75" hidden="false" customHeight="false" outlineLevel="0" collapsed="false">
      <c r="A44" s="56" t="s">
        <v>108</v>
      </c>
      <c r="B44" s="56"/>
      <c r="C44" s="105"/>
      <c r="D44" s="106" t="s">
        <v>51</v>
      </c>
      <c r="E44" s="107" t="n">
        <f aca="false">+E75*E76</f>
        <v>0</v>
      </c>
      <c r="F44" s="107" t="n">
        <f aca="false">+F75*F76</f>
        <v>0</v>
      </c>
      <c r="G44" s="107" t="n">
        <f aca="false">+G75*G76</f>
        <v>0</v>
      </c>
      <c r="H44" s="107" t="n">
        <f aca="false">+H75*H76</f>
        <v>0</v>
      </c>
      <c r="I44" s="107" t="n">
        <f aca="false">+I75*I76</f>
        <v>0</v>
      </c>
      <c r="J44" s="107" t="n">
        <f aca="false">+J75*J76</f>
        <v>0</v>
      </c>
      <c r="K44" s="50"/>
      <c r="L44" s="51"/>
    </row>
    <row r="45" customFormat="false" ht="18.75" hidden="false" customHeight="false" outlineLevel="0" collapsed="false">
      <c r="A45" s="56" t="s">
        <v>109</v>
      </c>
      <c r="B45" s="56"/>
      <c r="C45" s="108" t="n">
        <f aca="false">+SUM(C65:C72)</f>
        <v>0</v>
      </c>
      <c r="D45" s="109" t="n">
        <f aca="false">+SUM(D65:D72)</f>
        <v>345000</v>
      </c>
      <c r="E45" s="110" t="n">
        <f aca="false">SUM(E65:E69)+SUM(E71:E72)</f>
        <v>285000</v>
      </c>
      <c r="F45" s="110" t="n">
        <f aca="false">SUM(F65:F69)+SUM(F71:F72)</f>
        <v>285000</v>
      </c>
      <c r="G45" s="110" t="n">
        <f aca="false">SUM(G65:G69)+SUM(G71:G72)</f>
        <v>285000</v>
      </c>
      <c r="H45" s="110" t="n">
        <f aca="false">SUM(H65:H69)+SUM(H71:H72)</f>
        <v>285000</v>
      </c>
      <c r="I45" s="110" t="n">
        <f aca="false">SUM(I65:I69)+SUM(I71:I72)</f>
        <v>285000</v>
      </c>
      <c r="J45" s="110" t="n">
        <f aca="false">SUM(J65:J69)+SUM(J71:J72)</f>
        <v>285000</v>
      </c>
      <c r="K45" s="50"/>
      <c r="L45" s="51"/>
    </row>
    <row r="46" customFormat="false" ht="18.75" hidden="false" customHeight="false" outlineLevel="0" collapsed="false">
      <c r="A46" s="56" t="s">
        <v>110</v>
      </c>
      <c r="B46" s="56"/>
      <c r="C46" s="105"/>
      <c r="D46" s="106" t="s">
        <v>51</v>
      </c>
      <c r="E46" s="111" t="n">
        <f aca="false">+SUM(E65:E67)/(E28-D28)</f>
        <v>1531.92654603703</v>
      </c>
      <c r="F46" s="111" t="n">
        <f aca="false">+SUM(F65:F67)/(F28-E28)</f>
        <v>1182.53630386453</v>
      </c>
      <c r="G46" s="111" t="n">
        <f aca="false">+SUM(G65:G67)/(G28-F28)</f>
        <v>1027.45982712346</v>
      </c>
      <c r="H46" s="111" t="n">
        <f aca="false">+SUM(H65:H67)/(H28-G28)</f>
        <v>933.339166703125</v>
      </c>
      <c r="I46" s="111" t="n">
        <f aca="false">+SUM(I65:I67)/(I28-H28)</f>
        <v>931.335676515687</v>
      </c>
      <c r="J46" s="111" t="n">
        <f aca="false">+SUM(J65:J67)/(J28-I28)</f>
        <v>874.207663932719</v>
      </c>
      <c r="K46" s="50"/>
      <c r="L46" s="51"/>
    </row>
    <row r="47" customFormat="false" ht="18.75" hidden="false" customHeight="false" outlineLevel="0" collapsed="false">
      <c r="A47" s="45" t="s">
        <v>111</v>
      </c>
      <c r="B47" s="45"/>
      <c r="C47" s="105"/>
      <c r="D47" s="106" t="s">
        <v>51</v>
      </c>
      <c r="E47" s="111" t="n">
        <f aca="false">+E51/E35</f>
        <v>7226.46355622134</v>
      </c>
      <c r="F47" s="111" t="n">
        <f aca="false">+F51/F35</f>
        <v>3070.61628838765</v>
      </c>
      <c r="G47" s="111" t="n">
        <f aca="false">+G51/G35</f>
        <v>1822.59629786963</v>
      </c>
      <c r="H47" s="111" t="n">
        <f aca="false">+H51/H35</f>
        <v>1549.45572746443</v>
      </c>
      <c r="I47" s="111" t="n">
        <f aca="false">+I51/I35</f>
        <v>1183.53718019017</v>
      </c>
      <c r="J47" s="111" t="n">
        <f aca="false">+J51/J35</f>
        <v>926.836419045964</v>
      </c>
      <c r="K47" s="50"/>
      <c r="L47" s="51"/>
    </row>
    <row r="48" customFormat="false" ht="18.75" hidden="false" customHeight="false" outlineLevel="0" collapsed="false">
      <c r="A48" s="45" t="s">
        <v>112</v>
      </c>
      <c r="B48" s="45"/>
      <c r="C48" s="105"/>
      <c r="D48" s="106" t="s">
        <v>51</v>
      </c>
      <c r="E48" s="112" t="n">
        <f aca="false">+SUM(E36:E39)/E35</f>
        <v>0</v>
      </c>
      <c r="F48" s="112" t="n">
        <f aca="false">+SUM(F36:F39)/F35</f>
        <v>0.0107740922399567</v>
      </c>
      <c r="G48" s="112" t="n">
        <f aca="false">+SUM(G36:G39)/G35</f>
        <v>0.00639507472936713</v>
      </c>
      <c r="H48" s="112" t="n">
        <f aca="false">+SUM(H36:H39)/H35</f>
        <v>0.00543668676303308</v>
      </c>
      <c r="I48" s="112" t="n">
        <f aca="false">+SUM(I36:I39)/I35</f>
        <v>0.00830552407150996</v>
      </c>
      <c r="J48" s="112" t="n">
        <f aca="false">+SUM(J36:J39)/J35</f>
        <v>0.00975617283206278</v>
      </c>
      <c r="K48" s="50"/>
      <c r="L48" s="51"/>
    </row>
    <row r="49" customFormat="false" ht="18.75" hidden="false" customHeight="false" outlineLevel="0" collapsed="false">
      <c r="A49" s="113" t="s">
        <v>113</v>
      </c>
      <c r="B49" s="113"/>
      <c r="C49" s="114"/>
      <c r="D49" s="106" t="s">
        <v>51</v>
      </c>
      <c r="E49" s="111" t="n">
        <f aca="false">+IFERROR(E51/SUM(E36:E39),0)</f>
        <v>0</v>
      </c>
      <c r="F49" s="111" t="n">
        <f aca="false">+IFERROR(F51/SUM(F36:F39),0)</f>
        <v>285000</v>
      </c>
      <c r="G49" s="111" t="n">
        <f aca="false">+IFERROR(G51/SUM(G36:G39),0)</f>
        <v>285000</v>
      </c>
      <c r="H49" s="111" t="n">
        <f aca="false">+IFERROR(H51/SUM(H36:H39),0)</f>
        <v>285000</v>
      </c>
      <c r="I49" s="111" t="n">
        <f aca="false">+IFERROR(I51/SUM(I36:I39),0)</f>
        <v>142500</v>
      </c>
      <c r="J49" s="111" t="n">
        <f aca="false">+IFERROR(J51/SUM(J36:J39),0)</f>
        <v>95000</v>
      </c>
      <c r="K49" s="50"/>
      <c r="L49" s="51"/>
    </row>
    <row r="50" customFormat="false" ht="18.75" hidden="false" customHeight="false" outlineLevel="0" collapsed="false">
      <c r="A50" s="12" t="s">
        <v>114</v>
      </c>
      <c r="B50" s="12"/>
      <c r="C50" s="114"/>
      <c r="D50" s="115" t="s">
        <v>51</v>
      </c>
      <c r="E50" s="116" t="n">
        <f aca="false">+E36*$D$8+E38*$D$10</f>
        <v>0</v>
      </c>
      <c r="F50" s="116" t="n">
        <f aca="false">+F36*$D$8+F38*$D$10</f>
        <v>0</v>
      </c>
      <c r="G50" s="116" t="n">
        <f aca="false">+G36*$D$8+G38*$D$10</f>
        <v>0</v>
      </c>
      <c r="H50" s="116" t="n">
        <f aca="false">+H36*$D$8+H38*$D$10</f>
        <v>0</v>
      </c>
      <c r="I50" s="116" t="n">
        <f aca="false">+I36*$D$8+I38*$D$10</f>
        <v>0</v>
      </c>
      <c r="J50" s="116" t="n">
        <f aca="false">+J36*$D$8+J38*$D$10</f>
        <v>0</v>
      </c>
      <c r="K50" s="50"/>
      <c r="L50" s="51"/>
    </row>
    <row r="51" customFormat="false" ht="18.75" hidden="false" customHeight="false" outlineLevel="0" collapsed="false">
      <c r="A51" s="41" t="s">
        <v>115</v>
      </c>
      <c r="B51" s="41"/>
      <c r="C51" s="117" t="n">
        <f aca="false">+C45</f>
        <v>0</v>
      </c>
      <c r="D51" s="118" t="n">
        <f aca="false">+D45</f>
        <v>345000</v>
      </c>
      <c r="E51" s="118" t="n">
        <f aca="false">SUM(E45,E50)+E44</f>
        <v>285000</v>
      </c>
      <c r="F51" s="118" t="n">
        <f aca="false">SUM(F45,F50)+F44</f>
        <v>285000</v>
      </c>
      <c r="G51" s="118" t="n">
        <f aca="false">SUM(G45,G50)+G44</f>
        <v>285000</v>
      </c>
      <c r="H51" s="118" t="n">
        <f aca="false">SUM(H45,H50)+H44</f>
        <v>285000</v>
      </c>
      <c r="I51" s="118" t="n">
        <f aca="false">SUM(I45,I50)+I44</f>
        <v>285000</v>
      </c>
      <c r="J51" s="118" t="n">
        <f aca="false">SUM(J45,J50)+J44</f>
        <v>285000</v>
      </c>
      <c r="K51" s="50"/>
      <c r="L51" s="51"/>
    </row>
    <row r="52" customFormat="false" ht="18.75" hidden="false" customHeight="false" outlineLevel="0" collapsed="false">
      <c r="A52" s="24"/>
      <c r="B52" s="24"/>
      <c r="C52" s="24"/>
      <c r="D52" s="119"/>
      <c r="E52" s="119"/>
      <c r="F52" s="119"/>
      <c r="G52" s="119"/>
      <c r="H52" s="119"/>
      <c r="I52" s="119"/>
      <c r="J52" s="119"/>
    </row>
    <row r="53" customFormat="false" ht="18.75" hidden="true" customHeight="false" outlineLevel="0" collapsed="false">
      <c r="A53" s="10" t="s">
        <v>116</v>
      </c>
    </row>
    <row r="54" customFormat="false" ht="18.75" hidden="true" customHeight="false" outlineLevel="0" collapsed="false">
      <c r="A54" s="56" t="s">
        <v>108</v>
      </c>
      <c r="B54" s="56"/>
      <c r="C54" s="120"/>
      <c r="D54" s="111" t="n">
        <f aca="false">+D75*D76</f>
        <v>0</v>
      </c>
      <c r="E54" s="111" t="n">
        <f aca="false">+E75*E76</f>
        <v>0</v>
      </c>
      <c r="F54" s="111" t="n">
        <f aca="false">+F75*F76</f>
        <v>0</v>
      </c>
      <c r="G54" s="111" t="n">
        <f aca="false">+G75*G76</f>
        <v>0</v>
      </c>
      <c r="H54" s="111" t="n">
        <f aca="false">+H75*H76</f>
        <v>0</v>
      </c>
      <c r="I54" s="111" t="n">
        <f aca="false">+I75*I76</f>
        <v>0</v>
      </c>
      <c r="J54" s="111" t="n">
        <f aca="false">+J75*J76</f>
        <v>0</v>
      </c>
      <c r="K54" s="50"/>
      <c r="L54" s="51"/>
    </row>
    <row r="55" customFormat="false" ht="18.75" hidden="true" customHeight="false" outlineLevel="0" collapsed="false">
      <c r="A55" s="56" t="s">
        <v>109</v>
      </c>
      <c r="B55" s="56"/>
      <c r="C55" s="120"/>
      <c r="D55" s="110" t="n">
        <f aca="false">+SUM(D65:D72)</f>
        <v>345000</v>
      </c>
      <c r="E55" s="110" t="n">
        <f aca="false">SUM(E65:E72)+E54</f>
        <v>285000</v>
      </c>
      <c r="F55" s="110" t="n">
        <f aca="false">SUM(F65:F72)+F54</f>
        <v>285000</v>
      </c>
      <c r="G55" s="110" t="n">
        <f aca="false">SUM(G65:G72)+G54</f>
        <v>285000</v>
      </c>
      <c r="H55" s="110" t="n">
        <f aca="false">SUM(H65:H72)+H54</f>
        <v>285000</v>
      </c>
      <c r="I55" s="110" t="n">
        <f aca="false">SUM(I65:I72)+I54</f>
        <v>285000</v>
      </c>
      <c r="J55" s="110" t="n">
        <f aca="false">SUM(J65:J72)+J54</f>
        <v>285000</v>
      </c>
      <c r="K55" s="50"/>
      <c r="L55" s="51"/>
    </row>
    <row r="56" customFormat="false" ht="18.75" hidden="true" customHeight="false" outlineLevel="0" collapsed="false">
      <c r="A56" s="56" t="s">
        <v>110</v>
      </c>
      <c r="B56" s="56"/>
      <c r="C56" s="120"/>
      <c r="D56" s="111" t="s">
        <v>51</v>
      </c>
      <c r="E56" s="111" t="n">
        <f aca="false">+SUM(E65:E67)/(E28-D28)</f>
        <v>1531.92654603703</v>
      </c>
      <c r="F56" s="111" t="n">
        <f aca="false">+SUM(F65:F67)/(F28-E28)</f>
        <v>1182.53630386453</v>
      </c>
      <c r="G56" s="111" t="n">
        <f aca="false">+SUM(G65:G67)/(G28-F28)</f>
        <v>1027.45982712346</v>
      </c>
      <c r="H56" s="111" t="n">
        <f aca="false">+SUM(H65:H67)/(H28-G28)</f>
        <v>933.339166703125</v>
      </c>
      <c r="I56" s="111" t="n">
        <f aca="false">+SUM(I65:I67)/(I28-H28)</f>
        <v>931.335676515687</v>
      </c>
      <c r="J56" s="111" t="n">
        <f aca="false">+SUM(J65:J67)/(J28-I28)</f>
        <v>874.207663932719</v>
      </c>
      <c r="K56" s="50"/>
      <c r="L56" s="51"/>
    </row>
    <row r="57" customFormat="false" ht="18.75" hidden="true" customHeight="false" outlineLevel="0" collapsed="false">
      <c r="A57" s="45" t="s">
        <v>111</v>
      </c>
      <c r="B57" s="45"/>
      <c r="C57" s="120"/>
      <c r="D57" s="111" t="s">
        <v>51</v>
      </c>
      <c r="E57" s="111" t="n">
        <f aca="false">+E61/E35</f>
        <v>7226.46355622134</v>
      </c>
      <c r="F57" s="111" t="n">
        <f aca="false">+F61/F35</f>
        <v>3070.61628838765</v>
      </c>
      <c r="G57" s="111" t="n">
        <f aca="false">+G61/G35</f>
        <v>1822.59629786963</v>
      </c>
      <c r="H57" s="111" t="n">
        <f aca="false">+H61/H35</f>
        <v>1549.45572746443</v>
      </c>
      <c r="I57" s="111" t="n">
        <f aca="false">+I61/I35</f>
        <v>1183.53718019017</v>
      </c>
      <c r="J57" s="111" t="n">
        <f aca="false">+J61/J35</f>
        <v>926.836419045964</v>
      </c>
      <c r="K57" s="50"/>
      <c r="L57" s="51"/>
    </row>
    <row r="58" customFormat="false" ht="18.75" hidden="true" customHeight="false" outlineLevel="0" collapsed="false">
      <c r="A58" s="45" t="s">
        <v>112</v>
      </c>
      <c r="B58" s="45"/>
      <c r="C58" s="120"/>
      <c r="D58" s="111" t="s">
        <v>51</v>
      </c>
      <c r="E58" s="112" t="n">
        <f aca="false">+SUM(E36:E39)/E35</f>
        <v>0</v>
      </c>
      <c r="F58" s="112" t="n">
        <f aca="false">+SUM(F36:F39)/F35</f>
        <v>0.0107740922399567</v>
      </c>
      <c r="G58" s="112" t="n">
        <f aca="false">+SUM(G36:G39)/G35</f>
        <v>0.00639507472936713</v>
      </c>
      <c r="H58" s="112" t="n">
        <f aca="false">+SUM(H36:H39)/H35</f>
        <v>0.00543668676303308</v>
      </c>
      <c r="I58" s="112" t="n">
        <f aca="false">+SUM(I36:I39)/I35</f>
        <v>0.00830552407150996</v>
      </c>
      <c r="J58" s="112" t="n">
        <f aca="false">+SUM(J36:J39)/J35</f>
        <v>0.00975617283206278</v>
      </c>
      <c r="K58" s="50"/>
      <c r="L58" s="51"/>
    </row>
    <row r="59" customFormat="false" ht="18.75" hidden="true" customHeight="false" outlineLevel="0" collapsed="false">
      <c r="A59" s="113" t="s">
        <v>113</v>
      </c>
      <c r="B59" s="113"/>
      <c r="C59" s="101"/>
      <c r="D59" s="111"/>
      <c r="E59" s="111" t="n">
        <f aca="false">+IFERROR(E55/E40,0)</f>
        <v>0</v>
      </c>
      <c r="F59" s="111" t="n">
        <f aca="false">+IFERROR(F55/F40,0)</f>
        <v>285000</v>
      </c>
      <c r="G59" s="111" t="n">
        <f aca="false">+IFERROR(G55/G40,0)</f>
        <v>285000</v>
      </c>
      <c r="H59" s="111" t="n">
        <f aca="false">+IFERROR(H55/H40,0)</f>
        <v>285000</v>
      </c>
      <c r="I59" s="111" t="n">
        <f aca="false">+IFERROR(I55/I40,0)</f>
        <v>142500</v>
      </c>
      <c r="J59" s="111" t="n">
        <f aca="false">+IFERROR(J55/J40,0)</f>
        <v>95000</v>
      </c>
      <c r="K59" s="50"/>
      <c r="L59" s="51"/>
    </row>
    <row r="60" customFormat="false" ht="18.75" hidden="true" customHeight="false" outlineLevel="0" collapsed="false">
      <c r="A60" s="12" t="s">
        <v>114</v>
      </c>
      <c r="B60" s="12"/>
      <c r="C60" s="101"/>
      <c r="D60" s="111"/>
      <c r="E60" s="111"/>
      <c r="F60" s="111"/>
      <c r="G60" s="111"/>
      <c r="H60" s="111"/>
      <c r="I60" s="111"/>
      <c r="J60" s="111"/>
      <c r="K60" s="50"/>
      <c r="L60" s="51"/>
    </row>
    <row r="61" customFormat="false" ht="18.75" hidden="true" customHeight="false" outlineLevel="0" collapsed="false">
      <c r="A61" s="41" t="s">
        <v>115</v>
      </c>
      <c r="B61" s="41"/>
      <c r="C61" s="121"/>
      <c r="D61" s="118" t="n">
        <f aca="false">+D55</f>
        <v>345000</v>
      </c>
      <c r="E61" s="118" t="n">
        <f aca="false">+SUM(E65:E72)+E54</f>
        <v>285000</v>
      </c>
      <c r="F61" s="118" t="n">
        <f aca="false">+SUM(F65:F72)+F54</f>
        <v>285000</v>
      </c>
      <c r="G61" s="118" t="n">
        <f aca="false">+SUM(G65:G72)+G54</f>
        <v>285000</v>
      </c>
      <c r="H61" s="118" t="n">
        <f aca="false">+SUM(H65:H72)+H54</f>
        <v>285000</v>
      </c>
      <c r="I61" s="118" t="n">
        <f aca="false">+SUM(I65:I72)+I54</f>
        <v>285000</v>
      </c>
      <c r="J61" s="118" t="n">
        <f aca="false">+SUM(J65:J72)+J54</f>
        <v>285000</v>
      </c>
      <c r="K61" s="50"/>
      <c r="L61" s="51"/>
    </row>
    <row r="62" customFormat="false" ht="18.75" hidden="true" customHeight="false" outlineLevel="0" collapsed="false"/>
    <row r="64" customFormat="false" ht="18.75" hidden="false" customHeight="false" outlineLevel="0" collapsed="false">
      <c r="C64" s="55" t="s">
        <v>106</v>
      </c>
      <c r="D64" s="55" t="s">
        <v>107</v>
      </c>
    </row>
    <row r="65" customFormat="false" ht="18.75" hidden="false" customHeight="false" outlineLevel="0" collapsed="false">
      <c r="A65" s="122" t="s">
        <v>117</v>
      </c>
      <c r="B65" s="73" t="s">
        <v>108</v>
      </c>
      <c r="C65" s="123" t="n">
        <v>0</v>
      </c>
      <c r="D65" s="124" t="n">
        <v>0</v>
      </c>
      <c r="E65" s="111" t="n">
        <f aca="false">MAX(0,15000+(E34-30000)*2.75)</f>
        <v>0</v>
      </c>
      <c r="F65" s="111" t="n">
        <f aca="false">MAX(0,15000+(F34-30000)*2.75)</f>
        <v>0</v>
      </c>
      <c r="G65" s="111" t="n">
        <f aca="false">MAX(0,15000+(G34-30000)*2.75)</f>
        <v>0</v>
      </c>
      <c r="H65" s="111" t="n">
        <f aca="false">MAX(0,15000+(H34-30000)*2.75)</f>
        <v>0</v>
      </c>
      <c r="I65" s="111" t="n">
        <f aca="false">MAX(0,15000+(I34-30000)*2.75)</f>
        <v>0</v>
      </c>
      <c r="J65" s="111" t="n">
        <f aca="false">MAX(0,15000+(J34-30000)*2.75)</f>
        <v>0</v>
      </c>
    </row>
    <row r="66" customFormat="false" ht="18.75" hidden="false" customHeight="false" outlineLevel="0" collapsed="false">
      <c r="A66" s="125" t="s">
        <v>118</v>
      </c>
      <c r="B66" s="73" t="s">
        <v>55</v>
      </c>
      <c r="C66" s="123" t="n">
        <v>0</v>
      </c>
      <c r="D66" s="124" t="n">
        <v>15000</v>
      </c>
      <c r="E66" s="111" t="n">
        <v>30000</v>
      </c>
      <c r="F66" s="111" t="n">
        <v>30000</v>
      </c>
      <c r="G66" s="111" t="n">
        <v>30000</v>
      </c>
      <c r="H66" s="111" t="n">
        <v>30000</v>
      </c>
      <c r="I66" s="111" t="n">
        <v>30000</v>
      </c>
      <c r="J66" s="111" t="n">
        <v>30000</v>
      </c>
      <c r="N66" s="2" t="s">
        <v>119</v>
      </c>
    </row>
    <row r="67" customFormat="false" ht="18.75" hidden="false" customHeight="false" outlineLevel="0" collapsed="false">
      <c r="B67" s="73" t="s">
        <v>120</v>
      </c>
      <c r="C67" s="123" t="n">
        <v>0</v>
      </c>
      <c r="D67" s="124" t="n">
        <v>100000</v>
      </c>
      <c r="E67" s="111" t="n">
        <v>50000</v>
      </c>
      <c r="F67" s="111" t="n">
        <v>50000</v>
      </c>
      <c r="G67" s="111" t="n">
        <v>50000</v>
      </c>
      <c r="H67" s="111" t="n">
        <v>50000</v>
      </c>
      <c r="I67" s="111" t="n">
        <v>50000</v>
      </c>
      <c r="J67" s="111" t="n">
        <v>50000</v>
      </c>
      <c r="N67" s="52" t="s">
        <v>121</v>
      </c>
    </row>
    <row r="68" customFormat="false" ht="18.75" hidden="false" customHeight="false" outlineLevel="0" collapsed="false">
      <c r="A68" s="126"/>
      <c r="B68" s="73" t="s">
        <v>122</v>
      </c>
      <c r="C68" s="123" t="n">
        <v>0</v>
      </c>
      <c r="D68" s="124" t="n">
        <v>30000</v>
      </c>
      <c r="E68" s="111" t="n">
        <f aca="false">IF(E34&lt;5000,5000,15000)</f>
        <v>5000</v>
      </c>
      <c r="F68" s="111" t="n">
        <f aca="false">IF(F34&lt;5000,5000,15000)</f>
        <v>5000</v>
      </c>
      <c r="G68" s="111" t="n">
        <f aca="false">IF(G34&lt;5000,5000,15000)</f>
        <v>5000</v>
      </c>
      <c r="H68" s="111" t="n">
        <f aca="false">IF(H34&lt;5000,5000,15000)</f>
        <v>5000</v>
      </c>
      <c r="I68" s="111" t="n">
        <f aca="false">IF(I34&lt;5000,5000,15000)</f>
        <v>5000</v>
      </c>
      <c r="J68" s="111" t="n">
        <f aca="false">IF(J34&lt;5000,5000,15000)</f>
        <v>5000</v>
      </c>
      <c r="N68" s="52" t="s">
        <v>123</v>
      </c>
      <c r="O68" s="11" t="s">
        <v>124</v>
      </c>
      <c r="P68" s="127" t="n">
        <v>5000</v>
      </c>
    </row>
    <row r="69" customFormat="false" ht="18.75" hidden="false" customHeight="false" outlineLevel="0" collapsed="false">
      <c r="A69" s="126"/>
      <c r="B69" s="73" t="s">
        <v>125</v>
      </c>
      <c r="C69" s="123" t="n">
        <v>0</v>
      </c>
      <c r="D69" s="124" t="n">
        <v>200000</v>
      </c>
      <c r="E69" s="111" t="n">
        <v>200000</v>
      </c>
      <c r="F69" s="111" t="n">
        <v>200000</v>
      </c>
      <c r="G69" s="111" t="n">
        <v>200000</v>
      </c>
      <c r="H69" s="111" t="n">
        <v>200000</v>
      </c>
      <c r="I69" s="111" t="n">
        <v>200000</v>
      </c>
      <c r="J69" s="111" t="n">
        <v>200000</v>
      </c>
      <c r="N69" s="2" t="s">
        <v>126</v>
      </c>
      <c r="O69" s="55" t="s">
        <v>127</v>
      </c>
    </row>
    <row r="70" customFormat="false" ht="18.75" hidden="false" customHeight="false" outlineLevel="0" collapsed="false">
      <c r="A70" s="126"/>
      <c r="B70" s="73" t="s">
        <v>128</v>
      </c>
      <c r="C70" s="123" t="n">
        <v>0</v>
      </c>
      <c r="D70" s="124" t="n">
        <v>0</v>
      </c>
      <c r="E70" s="111" t="n">
        <v>0</v>
      </c>
      <c r="F70" s="111" t="n">
        <v>0</v>
      </c>
      <c r="G70" s="111" t="n">
        <v>0</v>
      </c>
      <c r="H70" s="111" t="n">
        <v>0</v>
      </c>
      <c r="I70" s="111" t="n">
        <v>0</v>
      </c>
      <c r="J70" s="111" t="n">
        <v>0</v>
      </c>
      <c r="N70" s="52" t="s">
        <v>129</v>
      </c>
    </row>
    <row r="71" customFormat="false" ht="18.75" hidden="false" customHeight="false" outlineLevel="0" collapsed="false">
      <c r="A71" s="126"/>
      <c r="B71" s="73" t="s">
        <v>130</v>
      </c>
      <c r="C71" s="123" t="n">
        <v>0</v>
      </c>
      <c r="D71" s="124" t="n">
        <v>0</v>
      </c>
      <c r="E71" s="111" t="n">
        <f aca="false">IF(E20=FALSE(),0,80000+ROUND(E16*(1-0.8*0.45*0.62),0)*7)</f>
        <v>0</v>
      </c>
      <c r="F71" s="111" t="n">
        <f aca="false">IF(F20=FALSE(),0,80000+ROUND(F16*(1-0.8*0.45*0.81),0)*7)</f>
        <v>0</v>
      </c>
      <c r="G71" s="111" t="n">
        <f aca="false">IF(G20=FALSE(),0,80000+ROUND(G16*(1-0.8*0.45*0.93),0)*7)</f>
        <v>0</v>
      </c>
      <c r="H71" s="111" t="n">
        <f aca="false">IF(H20=FALSE(),0,80000+ROUND(H16*(1-0.8*0.45*1),0)*7)</f>
        <v>0</v>
      </c>
      <c r="I71" s="111" t="n">
        <f aca="false">IF(I20=FALSE(),0,80000+ROUND(I16*(1-0.8*0.45*1.03),0)*7)</f>
        <v>0</v>
      </c>
      <c r="J71" s="111" t="n">
        <f aca="false">IF(J20=FALSE(),0,80000+ROUND(J16*(1-0.8*0.45*1.05),0)*7)</f>
        <v>0</v>
      </c>
      <c r="N71" s="52" t="s">
        <v>131</v>
      </c>
    </row>
    <row r="72" customFormat="false" ht="18.75" hidden="false" customHeight="false" outlineLevel="0" collapsed="false">
      <c r="A72" s="126"/>
      <c r="B72" s="69" t="s">
        <v>132</v>
      </c>
      <c r="C72" s="123" t="n">
        <v>0</v>
      </c>
      <c r="D72" s="124" t="n">
        <v>0</v>
      </c>
      <c r="E72" s="111" t="n">
        <v>0</v>
      </c>
      <c r="F72" s="111" t="n">
        <v>0</v>
      </c>
      <c r="G72" s="111" t="n">
        <v>0</v>
      </c>
      <c r="H72" s="111" t="n">
        <v>0</v>
      </c>
      <c r="I72" s="111" t="n">
        <v>0</v>
      </c>
      <c r="J72" s="111" t="n">
        <v>0</v>
      </c>
    </row>
    <row r="73" customFormat="false" ht="18.75" hidden="false" customHeight="false" outlineLevel="0" collapsed="false">
      <c r="A73" s="126"/>
      <c r="B73" s="128" t="s">
        <v>133</v>
      </c>
      <c r="C73" s="129" t="n">
        <v>0</v>
      </c>
      <c r="D73" s="130" t="n">
        <f aca="false">SUM(D65:D72)</f>
        <v>345000</v>
      </c>
      <c r="E73" s="130" t="n">
        <f aca="false">SUM(E65:E72)</f>
        <v>285000</v>
      </c>
      <c r="F73" s="130" t="n">
        <f aca="false">SUM(F65:F72)</f>
        <v>285000</v>
      </c>
      <c r="G73" s="130" t="n">
        <f aca="false">SUM(G65:G72)</f>
        <v>285000</v>
      </c>
      <c r="H73" s="130" t="n">
        <f aca="false">SUM(H65:H72)</f>
        <v>285000</v>
      </c>
      <c r="I73" s="130" t="n">
        <f aca="false">SUM(I65:I72)</f>
        <v>285000</v>
      </c>
      <c r="J73" s="130" t="n">
        <f aca="false">SUM(J65:J72)</f>
        <v>285000</v>
      </c>
    </row>
    <row r="74" customFormat="false" ht="18.75" hidden="false" customHeight="false" outlineLevel="0" collapsed="false">
      <c r="A74" s="126"/>
      <c r="B74" s="126"/>
      <c r="C74" s="126"/>
      <c r="D74" s="126"/>
      <c r="E74" s="126"/>
      <c r="F74" s="126"/>
      <c r="G74" s="126"/>
      <c r="H74" s="126"/>
      <c r="I74" s="126"/>
      <c r="J74" s="126"/>
    </row>
    <row r="75" customFormat="false" ht="18.75" hidden="false" customHeight="false" outlineLevel="0" collapsed="false">
      <c r="B75" s="55" t="s">
        <v>134</v>
      </c>
      <c r="D75" s="131" t="n">
        <f aca="false">+IF(D34&lt;30001,0,D34-30000)</f>
        <v>0</v>
      </c>
      <c r="E75" s="131" t="n">
        <f aca="false">+IF(E34&lt;30001,0,E34-30000)</f>
        <v>0</v>
      </c>
      <c r="F75" s="131" t="n">
        <f aca="false">+IF(F34&lt;30001,0,F34-30000)</f>
        <v>0</v>
      </c>
      <c r="G75" s="131" t="n">
        <f aca="false">+IF(G34&lt;30001,0,G34-30000)</f>
        <v>0</v>
      </c>
      <c r="H75" s="131" t="n">
        <f aca="false">+IF(H34&lt;30001,0,H34-30000)</f>
        <v>0</v>
      </c>
      <c r="I75" s="131" t="n">
        <f aca="false">+IF(I34&lt;30001,0,I34-30000)</f>
        <v>0</v>
      </c>
      <c r="J75" s="131" t="n">
        <f aca="false">+IF(J34&lt;30001,0,J34-30000)</f>
        <v>0</v>
      </c>
    </row>
    <row r="76" customFormat="false" ht="18.75" hidden="false" customHeight="false" outlineLevel="0" collapsed="false">
      <c r="B76" s="55" t="s">
        <v>135</v>
      </c>
      <c r="D76" s="1" t="n">
        <f aca="false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1" t="n">
        <f aca="false"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>3</v>
      </c>
      <c r="F76" s="1" t="n">
        <f aca="false"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>3</v>
      </c>
      <c r="G76" s="1" t="n">
        <f aca="false"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>3</v>
      </c>
      <c r="H76" s="1" t="n">
        <f aca="false"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>3</v>
      </c>
      <c r="I76" s="1" t="n">
        <f aca="false"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>3</v>
      </c>
      <c r="J76" s="1" t="n">
        <f aca="false"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>3</v>
      </c>
    </row>
  </sheetData>
  <mergeCells count="35"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47:B47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61:B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8.75" zeroHeight="false" outlineLevelRow="0" outlineLevelCol="0"/>
  <cols>
    <col collapsed="false" customWidth="true" hidden="false" outlineLevel="0" max="1" min="1" style="10" width="41.75"/>
    <col collapsed="false" customWidth="true" hidden="false" outlineLevel="0" max="2" min="2" style="1" width="3"/>
    <col collapsed="false" customWidth="true" hidden="false" outlineLevel="0" max="6" min="3" style="1" width="26.13"/>
    <col collapsed="false" customWidth="false" hidden="false" outlineLevel="0" max="17" min="7" style="1" width="9"/>
    <col collapsed="false" customWidth="true" hidden="false" outlineLevel="0" max="18" min="18" style="1" width="10.88"/>
    <col collapsed="false" customWidth="false" hidden="false" outlineLevel="0" max="19" min="19" style="1" width="9"/>
    <col collapsed="false" customWidth="true" hidden="false" outlineLevel="0" max="27" min="20" style="1" width="14.88"/>
    <col collapsed="false" customWidth="false" hidden="false" outlineLevel="0" max="16384" min="28" style="1" width="9"/>
  </cols>
  <sheetData>
    <row r="1" customFormat="false" ht="18.75" hidden="false" customHeight="false" outlineLevel="0" collapsed="false">
      <c r="E1" s="132" t="s">
        <v>136</v>
      </c>
      <c r="F1" s="127" t="n">
        <v>0.6</v>
      </c>
    </row>
    <row r="3" customFormat="false" ht="18.75" hidden="false" customHeight="false" outlineLevel="0" collapsed="false">
      <c r="A3" s="133" t="s">
        <v>137</v>
      </c>
      <c r="B3" s="133"/>
      <c r="C3" s="134" t="s">
        <v>138</v>
      </c>
      <c r="D3" s="135" t="s">
        <v>139</v>
      </c>
      <c r="E3" s="135" t="s">
        <v>140</v>
      </c>
      <c r="F3" s="135"/>
    </row>
    <row r="4" customFormat="false" ht="18.75" hidden="false" customHeight="false" outlineLevel="0" collapsed="false">
      <c r="A4" s="136" t="s">
        <v>141</v>
      </c>
      <c r="B4" s="51"/>
      <c r="C4" s="137" t="str">
        <f aca="false">+SIM2_通知メッセ無!D24</f>
        <v>--</v>
      </c>
      <c r="D4" s="111" t="n">
        <f aca="false">+SIM2_通知メッセ無!G51</f>
        <v>285000</v>
      </c>
      <c r="E4" s="111" t="n">
        <f aca="false">+SIM2_通知メッセ無!J51</f>
        <v>285000</v>
      </c>
      <c r="F4" s="111"/>
    </row>
    <row r="5" customFormat="false" ht="18.75" hidden="false" customHeight="false" outlineLevel="0" collapsed="false">
      <c r="A5" s="136" t="s">
        <v>142</v>
      </c>
      <c r="B5" s="51"/>
      <c r="C5" s="137" t="str">
        <f aca="false">+SIM2_通知メッセ無!D25</f>
        <v>--</v>
      </c>
      <c r="D5" s="111" t="n">
        <f aca="false">+SIM2_通知メッセ無!G61</f>
        <v>285000</v>
      </c>
      <c r="E5" s="111" t="n">
        <f aca="false">+SIM2_通知メッセ無!J61</f>
        <v>285000</v>
      </c>
      <c r="F5" s="110"/>
    </row>
    <row r="6" customFormat="false" ht="18.75" hidden="false" customHeight="false" outlineLevel="0" collapsed="false">
      <c r="A6" s="136" t="s">
        <v>143</v>
      </c>
      <c r="B6" s="51"/>
      <c r="C6" s="138" t="n">
        <f aca="false">+SIM2_通知メッセ無!D28</f>
        <v>0</v>
      </c>
      <c r="D6" s="139" t="n">
        <f aca="false">+SIM2_通知メッセ無!G28</f>
        <v>197.73495</v>
      </c>
      <c r="E6" s="139" t="n">
        <f aca="false">+SIM2_通知メッセ無!J28</f>
        <v>460.858275</v>
      </c>
      <c r="F6" s="102"/>
    </row>
    <row r="7" customFormat="false" ht="18.75" hidden="false" customHeight="false" outlineLevel="0" collapsed="false">
      <c r="A7" s="136" t="s">
        <v>144</v>
      </c>
      <c r="B7" s="51"/>
      <c r="C7" s="140" t="n">
        <f aca="false">+SIM2_通知メッセ無!D27</f>
        <v>0</v>
      </c>
      <c r="D7" s="141" t="n">
        <f aca="false">SIM2_通知メッセ無!G27</f>
        <v>0.378</v>
      </c>
      <c r="E7" s="141" t="n">
        <f aca="false">SIM2_通知メッセ無!J27</f>
        <v>0.344</v>
      </c>
      <c r="F7" s="141"/>
    </row>
    <row r="8" customFormat="false" ht="18.75" hidden="false" customHeight="false" outlineLevel="0" collapsed="false">
      <c r="A8" s="136" t="s">
        <v>145</v>
      </c>
      <c r="B8" s="51"/>
      <c r="C8" s="138" t="n">
        <f aca="false">+SIM2_通知メッセ無!D29</f>
        <v>0</v>
      </c>
      <c r="D8" s="102" t="n">
        <f aca="false">+SIM2_通知メッセ無!G29</f>
        <v>122.9911389</v>
      </c>
      <c r="E8" s="102" t="n">
        <f aca="false">+SIM2_通知メッセ無!J29</f>
        <v>302.3230284</v>
      </c>
      <c r="F8" s="102"/>
    </row>
    <row r="9" customFormat="false" ht="18.75" hidden="false" customHeight="false" outlineLevel="0" collapsed="false">
      <c r="A9" s="142"/>
      <c r="B9" s="51"/>
      <c r="C9" s="51"/>
      <c r="D9" s="51"/>
      <c r="E9" s="51"/>
      <c r="F9" s="51"/>
    </row>
    <row r="10" customFormat="false" ht="18.75" hidden="false" customHeight="false" outlineLevel="0" collapsed="false">
      <c r="A10" s="136" t="s">
        <v>146</v>
      </c>
      <c r="B10" s="51"/>
      <c r="C10" s="138" t="n">
        <f aca="false">+SIM2_通知メッセ無!D34</f>
        <v>0</v>
      </c>
      <c r="D10" s="102" t="n">
        <f aca="false">+SIM2_通知メッセ無!G34</f>
        <v>639.55392228</v>
      </c>
      <c r="E10" s="102" t="n">
        <f aca="false">+SIM2_通知メッセ無!J34</f>
        <v>1257.663798144</v>
      </c>
      <c r="F10" s="102"/>
    </row>
    <row r="11" customFormat="false" ht="18.75" hidden="false" customHeight="false" outlineLevel="0" collapsed="false">
      <c r="A11" s="136" t="s">
        <v>147</v>
      </c>
      <c r="B11" s="51"/>
      <c r="C11" s="138" t="n">
        <f aca="false">+SIM2_通知メッセ無!D35</f>
        <v>0</v>
      </c>
      <c r="D11" s="102" t="n">
        <f aca="false">+SIM2_通知メッセ無!G35</f>
        <v>156.370338474366</v>
      </c>
      <c r="E11" s="102" t="n">
        <f aca="false">+SIM2_通知メッセ無!J35</f>
        <v>307.497627567725</v>
      </c>
      <c r="F11" s="102"/>
    </row>
    <row r="12" customFormat="false" ht="18.75" hidden="false" customHeight="false" outlineLevel="0" collapsed="false">
      <c r="A12" s="136" t="s">
        <v>148</v>
      </c>
      <c r="B12" s="51"/>
      <c r="C12" s="111" t="n">
        <f aca="false">+IFERROR(C5/C11,0)</f>
        <v>0</v>
      </c>
      <c r="D12" s="111" t="n">
        <f aca="false">+D4/D11</f>
        <v>1822.59629786963</v>
      </c>
      <c r="E12" s="111" t="n">
        <f aca="false">+E4/E11</f>
        <v>926.836419045964</v>
      </c>
      <c r="F12" s="111"/>
    </row>
    <row r="13" customFormat="false" ht="18.75" hidden="false" customHeight="false" outlineLevel="0" collapsed="false">
      <c r="A13" s="136" t="s">
        <v>149</v>
      </c>
      <c r="B13" s="51"/>
      <c r="C13" s="111" t="n">
        <f aca="false">+IFERROR(C6/C12,0)</f>
        <v>0</v>
      </c>
      <c r="D13" s="111" t="n">
        <f aca="false">+D5/D11</f>
        <v>1822.59629786963</v>
      </c>
      <c r="E13" s="111" t="n">
        <f aca="false">+E5/E11</f>
        <v>926.836419045964</v>
      </c>
      <c r="F13" s="111"/>
    </row>
    <row r="14" customFormat="false" ht="18.75" hidden="false" customHeight="false" outlineLevel="0" collapsed="false">
      <c r="A14" s="142"/>
      <c r="B14" s="51"/>
      <c r="C14" s="51"/>
      <c r="D14" s="51"/>
      <c r="E14" s="51"/>
      <c r="F14" s="51"/>
      <c r="R14" s="10" t="s">
        <v>45</v>
      </c>
    </row>
    <row r="15" customFormat="false" ht="18.75" hidden="false" customHeight="false" outlineLevel="0" collapsed="false">
      <c r="A15" s="142" t="s">
        <v>150</v>
      </c>
      <c r="B15" s="51"/>
      <c r="C15" s="139" t="n">
        <f aca="false">+SIM2_通知メッセ無!D16</f>
        <v>45</v>
      </c>
      <c r="D15" s="139" t="n">
        <f aca="false">+SIM2_通知メッセ無!E16</f>
        <v>40</v>
      </c>
      <c r="E15" s="139" t="n">
        <f aca="false">+SIM2_通知メッセ無!F16</f>
        <v>41</v>
      </c>
      <c r="F15" s="139"/>
      <c r="R15" s="55" t="s">
        <v>48</v>
      </c>
    </row>
    <row r="16" customFormat="false" ht="18.75" hidden="false" customHeight="false" outlineLevel="0" collapsed="false">
      <c r="A16" s="142" t="s">
        <v>151</v>
      </c>
      <c r="B16" s="51"/>
      <c r="C16" s="139" t="n">
        <f aca="false">SUM(C17:C20)</f>
        <v>0</v>
      </c>
      <c r="D16" s="139" t="n">
        <f aca="false">SUM(D17:D20)</f>
        <v>1</v>
      </c>
      <c r="E16" s="139" t="n">
        <f aca="false">SUM(E17:E20)</f>
        <v>3</v>
      </c>
      <c r="F16" s="139"/>
      <c r="R16" s="55" t="s">
        <v>52</v>
      </c>
      <c r="V16" s="55" t="s">
        <v>53</v>
      </c>
      <c r="Y16" s="21" t="s">
        <v>54</v>
      </c>
    </row>
    <row r="17" customFormat="false" ht="18.75" hidden="false" customHeight="false" outlineLevel="0" collapsed="false">
      <c r="A17" s="142" t="s">
        <v>152</v>
      </c>
      <c r="B17" s="51"/>
      <c r="C17" s="139" t="n">
        <f aca="false">+SIM2_通知メッセ無!D36</f>
        <v>0</v>
      </c>
      <c r="D17" s="139" t="n">
        <f aca="false">+SIM2_通知メッセ無!G36</f>
        <v>1</v>
      </c>
      <c r="E17" s="139" t="n">
        <f aca="false">+SIM2_通知メッセ無!J36</f>
        <v>3</v>
      </c>
      <c r="F17" s="102"/>
      <c r="R17" s="1" t="n">
        <v>0</v>
      </c>
      <c r="S17" s="1" t="s">
        <v>15</v>
      </c>
      <c r="T17" s="65" t="n">
        <v>200000</v>
      </c>
      <c r="V17" s="1" t="n">
        <v>0</v>
      </c>
      <c r="W17" s="1" t="s">
        <v>15</v>
      </c>
      <c r="X17" s="65" t="n">
        <v>600000</v>
      </c>
      <c r="Y17" s="21" t="n">
        <v>3</v>
      </c>
    </row>
    <row r="18" customFormat="false" ht="18.75" hidden="false" customHeight="false" outlineLevel="0" collapsed="false">
      <c r="A18" s="142" t="s">
        <v>153</v>
      </c>
      <c r="B18" s="51"/>
      <c r="C18" s="139" t="n">
        <f aca="false">+SIM2_通知メッセ無!D37</f>
        <v>0</v>
      </c>
      <c r="D18" s="139" t="n">
        <f aca="false">+SIM2_通知メッセ無!G37</f>
        <v>0</v>
      </c>
      <c r="E18" s="139" t="n">
        <f aca="false">+SIM2_通知メッセ無!J37</f>
        <v>0</v>
      </c>
      <c r="F18" s="102"/>
      <c r="R18" s="65" t="n">
        <v>200000</v>
      </c>
      <c r="S18" s="1" t="s">
        <v>15</v>
      </c>
      <c r="T18" s="65" t="n">
        <v>15000000</v>
      </c>
      <c r="V18" s="65" t="n">
        <v>600000</v>
      </c>
      <c r="W18" s="1" t="s">
        <v>15</v>
      </c>
      <c r="X18" s="65" t="n">
        <f aca="false">+T18*2.5</f>
        <v>37500000</v>
      </c>
      <c r="Y18" s="21" t="n">
        <v>2.5</v>
      </c>
    </row>
    <row r="19" customFormat="false" ht="18.75" hidden="false" customHeight="false" outlineLevel="0" collapsed="false">
      <c r="A19" s="142" t="s">
        <v>154</v>
      </c>
      <c r="B19" s="51"/>
      <c r="C19" s="139" t="n">
        <f aca="false">+SIM2_通知メッセ無!D38</f>
        <v>0</v>
      </c>
      <c r="D19" s="139" t="n">
        <f aca="false">+SIM2_通知メッセ無!G38</f>
        <v>0</v>
      </c>
      <c r="E19" s="139" t="n">
        <f aca="false">+SIM2_通知メッセ無!J38</f>
        <v>0</v>
      </c>
      <c r="F19" s="102"/>
      <c r="R19" s="65"/>
      <c r="T19" s="65"/>
      <c r="V19" s="65"/>
      <c r="X19" s="65"/>
      <c r="Y19" s="21"/>
    </row>
    <row r="20" customFormat="false" ht="18.75" hidden="false" customHeight="false" outlineLevel="0" collapsed="false">
      <c r="A20" s="142" t="s">
        <v>155</v>
      </c>
      <c r="B20" s="51"/>
      <c r="C20" s="139" t="n">
        <f aca="false">+SIM2_通知メッセ無!D39</f>
        <v>0</v>
      </c>
      <c r="D20" s="139" t="n">
        <f aca="false">+SIM2_通知メッセ無!G39</f>
        <v>0</v>
      </c>
      <c r="E20" s="139" t="n">
        <f aca="false">+SIM2_通知メッセ無!J39</f>
        <v>0</v>
      </c>
      <c r="F20" s="102"/>
      <c r="R20" s="65"/>
      <c r="T20" s="65"/>
      <c r="V20" s="65"/>
      <c r="X20" s="65"/>
      <c r="Y20" s="21"/>
    </row>
    <row r="21" customFormat="false" ht="18.75" hidden="false" customHeight="false" outlineLevel="0" collapsed="false">
      <c r="A21" s="142"/>
      <c r="B21" s="51"/>
      <c r="C21" s="51"/>
      <c r="D21" s="51"/>
      <c r="E21" s="51"/>
      <c r="F21" s="51"/>
      <c r="R21" s="65"/>
      <c r="T21" s="65"/>
      <c r="V21" s="65"/>
      <c r="X21" s="65"/>
      <c r="Y21" s="21"/>
    </row>
    <row r="22" customFormat="false" ht="18.75" hidden="false" customHeight="false" outlineLevel="0" collapsed="false">
      <c r="A22" s="136" t="s">
        <v>156</v>
      </c>
      <c r="B22" s="51"/>
      <c r="C22" s="123" t="str">
        <f aca="false">+IFERROR(C4/C16,"--")</f>
        <v>--</v>
      </c>
      <c r="D22" s="123" t="n">
        <f aca="false">+IFERROR(D4/D16,"--")</f>
        <v>285000</v>
      </c>
      <c r="E22" s="123" t="n">
        <f aca="false">+IFERROR(E4/E16,"--")</f>
        <v>95000</v>
      </c>
      <c r="F22" s="123"/>
      <c r="R22" s="65"/>
      <c r="T22" s="65"/>
      <c r="V22" s="65"/>
      <c r="X22" s="65"/>
      <c r="Y22" s="21"/>
    </row>
    <row r="23" customFormat="false" ht="18.75" hidden="false" customHeight="false" outlineLevel="0" collapsed="false">
      <c r="A23" s="136" t="s">
        <v>157</v>
      </c>
      <c r="B23" s="51"/>
      <c r="C23" s="123" t="str">
        <f aca="false">+IFERROR(C5/C16,"--")</f>
        <v>--</v>
      </c>
      <c r="D23" s="123" t="n">
        <f aca="false">+IFERROR(D5/D16,"--")</f>
        <v>285000</v>
      </c>
      <c r="E23" s="123" t="n">
        <f aca="false">+IFERROR(E5/E16,"--")</f>
        <v>95000</v>
      </c>
      <c r="F23" s="123"/>
      <c r="R23" s="65"/>
      <c r="T23" s="65"/>
      <c r="V23" s="65"/>
      <c r="X23" s="65"/>
      <c r="Y23" s="21"/>
    </row>
    <row r="24" customFormat="false" ht="18.75" hidden="false" customHeight="false" outlineLevel="0" collapsed="false">
      <c r="A24" s="142"/>
      <c r="B24" s="51"/>
      <c r="C24" s="51"/>
      <c r="D24" s="51"/>
      <c r="E24" s="51"/>
      <c r="F24" s="51"/>
      <c r="R24" s="65"/>
      <c r="T24" s="65"/>
      <c r="V24" s="65"/>
      <c r="X24" s="65"/>
      <c r="Y24" s="21"/>
    </row>
    <row r="25" customFormat="false" ht="18.75" hidden="false" customHeight="false" outlineLevel="0" collapsed="false">
      <c r="A25" s="136" t="s">
        <v>158</v>
      </c>
      <c r="B25" s="51"/>
      <c r="C25" s="102" t="n">
        <f aca="false">15000+C29*C30</f>
        <v>15000</v>
      </c>
      <c r="D25" s="102" t="n">
        <f aca="false">15000+D29*D30</f>
        <v>15000</v>
      </c>
      <c r="E25" s="102" t="n">
        <f aca="false">15000+E29*E30</f>
        <v>15000</v>
      </c>
      <c r="F25" s="102"/>
      <c r="R25" s="65"/>
      <c r="T25" s="65"/>
      <c r="V25" s="65"/>
      <c r="X25" s="65"/>
      <c r="Y25" s="21"/>
    </row>
    <row r="26" customFormat="false" ht="18.75" hidden="false" customHeight="false" outlineLevel="0" collapsed="false">
      <c r="R26" s="65"/>
      <c r="T26" s="65"/>
      <c r="V26" s="65"/>
      <c r="X26" s="65"/>
      <c r="Y26" s="21"/>
    </row>
    <row r="27" customFormat="false" ht="18.75" hidden="false" customHeight="false" outlineLevel="0" collapsed="false">
      <c r="R27" s="65"/>
      <c r="T27" s="65"/>
      <c r="V27" s="65"/>
      <c r="X27" s="65"/>
      <c r="Y27" s="21"/>
    </row>
    <row r="28" customFormat="false" ht="18.75" hidden="false" customHeight="false" outlineLevel="0" collapsed="false">
      <c r="R28" s="65"/>
      <c r="T28" s="65"/>
      <c r="V28" s="65"/>
      <c r="X28" s="65"/>
      <c r="Y28" s="21"/>
    </row>
    <row r="29" customFormat="false" ht="18.75" hidden="false" customHeight="false" outlineLevel="0" collapsed="false">
      <c r="A29" s="10" t="s">
        <v>159</v>
      </c>
      <c r="C29" s="1" t="n">
        <f aca="false">+IF(C10&lt;=30000,0,C10-30000)</f>
        <v>0</v>
      </c>
      <c r="D29" s="143" t="n">
        <f aca="false">+IF(D10&lt;=30000,0,D10-30000)</f>
        <v>0</v>
      </c>
      <c r="E29" s="143" t="n">
        <f aca="false">+IF(E10&lt;=30000,0,E10-30000)</f>
        <v>0</v>
      </c>
      <c r="F29" s="143"/>
      <c r="R29" s="65"/>
      <c r="T29" s="65"/>
      <c r="V29" s="65"/>
      <c r="X29" s="65"/>
      <c r="Y29" s="21"/>
    </row>
    <row r="30" customFormat="false" ht="18.75" hidden="false" customHeight="false" outlineLevel="0" collapsed="false">
      <c r="A30" s="10" t="s">
        <v>160</v>
      </c>
      <c r="C30" s="1" t="n">
        <f aca="false"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1" t="n">
        <f aca="false"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1" t="n">
        <f aca="false"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65"/>
      <c r="T30" s="65"/>
      <c r="V30" s="65"/>
      <c r="X30" s="65"/>
      <c r="Y30" s="21"/>
    </row>
    <row r="31" customFormat="false" ht="18.75" hidden="false" customHeight="false" outlineLevel="0" collapsed="false">
      <c r="R31" s="65"/>
      <c r="T31" s="65"/>
      <c r="V31" s="65"/>
      <c r="Y31" s="21"/>
    </row>
    <row r="35" customFormat="false" ht="18.75" hidden="false" customHeight="false" outlineLevel="0" collapsed="false">
      <c r="A35" s="144" t="s">
        <v>161</v>
      </c>
      <c r="B35" s="144"/>
      <c r="C35" s="145" t="s">
        <v>162</v>
      </c>
      <c r="D35" s="146" t="s">
        <v>163</v>
      </c>
      <c r="E35" s="146" t="s">
        <v>164</v>
      </c>
      <c r="F35" s="146" t="s">
        <v>164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390625" defaultRowHeight="18.75" zeroHeight="false" outlineLevelRow="0" outlineLevelCol="0"/>
  <cols>
    <col collapsed="false" customWidth="true" hidden="false" outlineLevel="0" max="1" min="1" style="147" width="14.25"/>
    <col collapsed="false" customWidth="true" hidden="false" outlineLevel="0" max="5" min="5" style="147" width="14.25"/>
  </cols>
  <sheetData>
    <row r="2" customFormat="false" ht="18.75" hidden="false" customHeight="false" outlineLevel="0" collapsed="false">
      <c r="A2" s="148" t="s">
        <v>166</v>
      </c>
      <c r="B2" s="148"/>
      <c r="C2" s="148"/>
      <c r="D2" s="148"/>
      <c r="E2" s="148"/>
      <c r="F2" s="148"/>
      <c r="G2" s="148"/>
    </row>
    <row r="3" customFormat="false" ht="18.75" hidden="false" customHeight="false" outlineLevel="0" collapsed="false">
      <c r="A3" s="10" t="s">
        <v>167</v>
      </c>
    </row>
    <row r="4" customFormat="false" ht="18.75" hidden="false" customHeight="false" outlineLevel="0" collapsed="false">
      <c r="A4" s="55" t="s">
        <v>168</v>
      </c>
      <c r="B4" s="55" t="s">
        <v>169</v>
      </c>
      <c r="E4" s="55" t="n">
        <v>1000</v>
      </c>
    </row>
    <row r="5" customFormat="false" ht="18.75" hidden="false" customHeight="false" outlineLevel="0" collapsed="false">
      <c r="A5" s="55" t="s">
        <v>67</v>
      </c>
      <c r="B5" s="149" t="n">
        <v>0.085</v>
      </c>
    </row>
    <row r="6" customFormat="false" ht="18.75" hidden="false" customHeight="false" outlineLevel="0" collapsed="false">
      <c r="A6" s="55" t="s">
        <v>170</v>
      </c>
      <c r="B6" s="149" t="n">
        <v>0.08</v>
      </c>
    </row>
    <row r="7" customFormat="false" ht="18.75" hidden="false" customHeight="false" outlineLevel="0" collapsed="false">
      <c r="E7" s="55" t="n">
        <f aca="false">+E4*B5*B6</f>
        <v>6.8</v>
      </c>
    </row>
    <row r="8" customFormat="false" ht="18.75" hidden="false" customHeight="false" outlineLevel="0" collapsed="false">
      <c r="A8" s="10" t="s">
        <v>171</v>
      </c>
    </row>
    <row r="9" customFormat="false" ht="18.75" hidden="false" customHeight="false" outlineLevel="0" collapsed="false">
      <c r="A9" s="55" t="s">
        <v>168</v>
      </c>
      <c r="B9" s="55" t="s">
        <v>169</v>
      </c>
      <c r="E9" s="55" t="n">
        <v>1000</v>
      </c>
    </row>
    <row r="10" customFormat="false" ht="18.75" hidden="false" customHeight="false" outlineLevel="0" collapsed="false">
      <c r="A10" s="55" t="s">
        <v>67</v>
      </c>
      <c r="B10" s="149" t="n">
        <v>0.005</v>
      </c>
    </row>
    <row r="11" customFormat="false" ht="18.75" hidden="false" customHeight="false" outlineLevel="0" collapsed="false">
      <c r="A11" s="55" t="s">
        <v>170</v>
      </c>
      <c r="B11" s="149" t="n">
        <v>0.08</v>
      </c>
    </row>
    <row r="12" customFormat="false" ht="18.75" hidden="false" customHeight="false" outlineLevel="0" collapsed="false">
      <c r="E12" s="55" t="n">
        <f aca="false">+E9*B10*B11</f>
        <v>0.4</v>
      </c>
    </row>
    <row r="13" customFormat="false" ht="18.75" hidden="false" customHeight="false" outlineLevel="0" collapsed="false">
      <c r="A13" s="10" t="s">
        <v>172</v>
      </c>
      <c r="D13" s="55" t="s">
        <v>173</v>
      </c>
    </row>
    <row r="14" customFormat="false" ht="18.75" hidden="false" customHeight="false" outlineLevel="0" collapsed="false">
      <c r="A14" s="55" t="s">
        <v>174</v>
      </c>
      <c r="B14" s="55" t="s">
        <v>169</v>
      </c>
      <c r="E14" s="55" t="n">
        <v>1000</v>
      </c>
    </row>
    <row r="15" customFormat="false" ht="18.75" hidden="false" customHeight="false" outlineLevel="0" collapsed="false">
      <c r="A15" s="55" t="s">
        <v>67</v>
      </c>
      <c r="B15" s="149" t="n">
        <v>0.9</v>
      </c>
      <c r="C15" s="55" t="s">
        <v>175</v>
      </c>
    </row>
    <row r="16" customFormat="false" ht="18.75" hidden="false" customHeight="false" outlineLevel="0" collapsed="false">
      <c r="A16" s="55" t="s">
        <v>170</v>
      </c>
      <c r="B16" s="149" t="n">
        <v>0.35</v>
      </c>
    </row>
    <row r="17" customFormat="false" ht="18.75" hidden="false" customHeight="false" outlineLevel="0" collapsed="false">
      <c r="E17" s="55" t="n">
        <f aca="false">+E14*B15*B16</f>
        <v>315</v>
      </c>
    </row>
    <row r="18" customFormat="false" ht="18.75" hidden="false" customHeight="false" outlineLevel="0" collapsed="false">
      <c r="A18" s="10" t="s">
        <v>176</v>
      </c>
      <c r="D18" s="55" t="s">
        <v>173</v>
      </c>
    </row>
    <row r="19" customFormat="false" ht="18.75" hidden="false" customHeight="false" outlineLevel="0" collapsed="false">
      <c r="A19" s="55" t="s">
        <v>168</v>
      </c>
      <c r="B19" s="149" t="n">
        <v>0.7</v>
      </c>
      <c r="C19" s="55" t="s">
        <v>169</v>
      </c>
      <c r="E19" s="55" t="n">
        <v>1000</v>
      </c>
    </row>
    <row r="20" customFormat="false" ht="18.75" hidden="false" customHeight="false" outlineLevel="0" collapsed="false">
      <c r="A20" s="55" t="s">
        <v>67</v>
      </c>
      <c r="B20" s="149" t="n">
        <v>1</v>
      </c>
    </row>
    <row r="21" customFormat="false" ht="18.75" hidden="false" customHeight="false" outlineLevel="0" collapsed="false">
      <c r="A21" s="55" t="s">
        <v>170</v>
      </c>
      <c r="B21" s="149" t="n">
        <v>0.2</v>
      </c>
    </row>
    <row r="22" customFormat="false" ht="18.75" hidden="false" customHeight="false" outlineLevel="0" collapsed="false">
      <c r="E22" s="55" t="n">
        <f aca="false">+E19*B20*B21</f>
        <v>200</v>
      </c>
    </row>
    <row r="23" customFormat="false" ht="18.75" hidden="false" customHeight="false" outlineLevel="0" collapsed="false">
      <c r="A23" s="148" t="s">
        <v>177</v>
      </c>
      <c r="B23" s="148"/>
      <c r="C23" s="148" t="s">
        <v>178</v>
      </c>
      <c r="D23" s="148"/>
      <c r="E23" s="148"/>
      <c r="F23" s="148"/>
      <c r="G23" s="148"/>
      <c r="I23" s="150" t="s">
        <v>179</v>
      </c>
      <c r="J23" s="151"/>
    </row>
    <row r="24" customFormat="false" ht="18.75" hidden="false" customHeight="false" outlineLevel="0" collapsed="false">
      <c r="A24" s="152" t="s">
        <v>180</v>
      </c>
      <c r="I24" s="153" t="n">
        <v>1</v>
      </c>
      <c r="J24" s="55" t="s">
        <v>181</v>
      </c>
    </row>
    <row r="25" customFormat="false" ht="18.75" hidden="false" customHeight="false" outlineLevel="0" collapsed="false">
      <c r="A25" s="55" t="s">
        <v>65</v>
      </c>
      <c r="B25" s="154" t="n">
        <v>0.8</v>
      </c>
      <c r="I25" s="153" t="n">
        <v>2</v>
      </c>
      <c r="J25" s="55" t="s">
        <v>182</v>
      </c>
    </row>
    <row r="26" customFormat="false" ht="18.75" hidden="false" customHeight="false" outlineLevel="0" collapsed="false">
      <c r="A26" s="55" t="s">
        <v>67</v>
      </c>
      <c r="B26" s="154" t="n">
        <v>0.06</v>
      </c>
      <c r="I26" s="153" t="n">
        <v>3</v>
      </c>
      <c r="J26" s="155" t="s">
        <v>183</v>
      </c>
    </row>
    <row r="27" customFormat="false" ht="18.75" hidden="false" customHeight="false" outlineLevel="0" collapsed="false">
      <c r="A27" s="155" t="s">
        <v>184</v>
      </c>
      <c r="B27" s="154" t="n">
        <v>0.003</v>
      </c>
      <c r="I27" s="153" t="n">
        <v>4</v>
      </c>
      <c r="J27" s="55" t="s">
        <v>185</v>
      </c>
    </row>
    <row r="29" customFormat="false" ht="18.75" hidden="false" customHeight="false" outlineLevel="0" collapsed="false">
      <c r="A29" s="152" t="s">
        <v>186</v>
      </c>
      <c r="I29" s="150" t="s">
        <v>187</v>
      </c>
      <c r="J29" s="151"/>
    </row>
    <row r="30" customFormat="false" ht="18.75" hidden="false" customHeight="false" outlineLevel="0" collapsed="false">
      <c r="A30" s="55" t="s">
        <v>65</v>
      </c>
      <c r="B30" s="154" t="n">
        <v>0.75</v>
      </c>
      <c r="I30" s="153" t="n">
        <v>1</v>
      </c>
      <c r="J30" s="55" t="s">
        <v>188</v>
      </c>
    </row>
    <row r="31" customFormat="false" ht="18.75" hidden="false" customHeight="false" outlineLevel="0" collapsed="false">
      <c r="A31" s="55" t="s">
        <v>67</v>
      </c>
      <c r="B31" s="154" t="n">
        <v>0.08</v>
      </c>
      <c r="I31" s="153" t="n">
        <v>2</v>
      </c>
      <c r="J31" s="55" t="s">
        <v>189</v>
      </c>
    </row>
    <row r="32" customFormat="false" ht="18.75" hidden="false" customHeight="false" outlineLevel="0" collapsed="false">
      <c r="A32" s="155" t="s">
        <v>184</v>
      </c>
      <c r="B32" s="154" t="n">
        <v>0.006</v>
      </c>
      <c r="I32" s="153" t="n">
        <v>3</v>
      </c>
      <c r="J32" s="55" t="s">
        <v>190</v>
      </c>
    </row>
    <row r="33" customFormat="false" ht="18.75" hidden="false" customHeight="false" outlineLevel="0" collapsed="false">
      <c r="I33" s="153" t="n">
        <v>4</v>
      </c>
      <c r="J33" s="55" t="s">
        <v>191</v>
      </c>
    </row>
    <row r="34" customFormat="false" ht="18.75" hidden="false" customHeight="false" outlineLevel="0" collapsed="false">
      <c r="A34" s="152" t="s">
        <v>192</v>
      </c>
    </row>
    <row r="35" customFormat="false" ht="18.75" hidden="false" customHeight="false" outlineLevel="0" collapsed="false">
      <c r="A35" s="55" t="s">
        <v>65</v>
      </c>
      <c r="B35" s="154" t="s">
        <v>51</v>
      </c>
    </row>
    <row r="36" customFormat="false" ht="18.75" hidden="false" customHeight="false" outlineLevel="0" collapsed="false">
      <c r="A36" s="55" t="s">
        <v>67</v>
      </c>
      <c r="B36" s="154" t="n">
        <v>0.02</v>
      </c>
    </row>
    <row r="37" customFormat="false" ht="18.75" hidden="false" customHeight="false" outlineLevel="0" collapsed="false">
      <c r="A37" s="155" t="s">
        <v>184</v>
      </c>
      <c r="B37" s="154" t="n">
        <v>0.004</v>
      </c>
    </row>
    <row r="39" customFormat="false" ht="18.75" hidden="false" customHeight="false" outlineLevel="0" collapsed="false">
      <c r="A39" s="152" t="s">
        <v>193</v>
      </c>
      <c r="E39" s="152" t="s">
        <v>194</v>
      </c>
    </row>
    <row r="40" customFormat="false" ht="18.75" hidden="false" customHeight="false" outlineLevel="0" collapsed="false">
      <c r="A40" s="55" t="s">
        <v>65</v>
      </c>
      <c r="B40" s="154" t="n">
        <v>1</v>
      </c>
      <c r="E40" s="55" t="s">
        <v>65</v>
      </c>
      <c r="F40" s="154" t="s">
        <v>51</v>
      </c>
    </row>
    <row r="41" customFormat="false" ht="18.75" hidden="false" customHeight="false" outlineLevel="0" collapsed="false">
      <c r="A41" s="55" t="s">
        <v>67</v>
      </c>
      <c r="B41" s="154" t="n">
        <v>0.035</v>
      </c>
      <c r="E41" s="55" t="s">
        <v>195</v>
      </c>
      <c r="F41" s="154" t="n">
        <v>0.25</v>
      </c>
    </row>
    <row r="42" customFormat="false" ht="18.75" hidden="false" customHeight="false" outlineLevel="0" collapsed="false">
      <c r="A42" s="155" t="s">
        <v>184</v>
      </c>
      <c r="B42" s="154" t="n">
        <v>0.006</v>
      </c>
      <c r="F42" s="1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2025-11-21T11:18:04Z</dcterms:created>
  <dc:creator>佐村 徳人</dc:creator>
  <dc:description/>
  <dc:language>en-US</dc:language>
  <cp:lastModifiedBy>佐村 徳人</cp:lastModifiedBy>
  <dcterms:modified xsi:type="dcterms:W3CDTF">2026-09-29T03:17:33Z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
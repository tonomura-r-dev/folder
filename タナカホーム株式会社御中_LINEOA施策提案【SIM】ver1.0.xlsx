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55618FB4-4E50-48BF-A8D8-23CFEC5CCB0B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離脱防止＋サンクスLINE" sheetId="1" r:id="rId1"/>
    <sheet name="SIM_比較" sheetId="2" r:id="rId2"/>
    <sheet name="SIM考え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51" i="1" s="1"/>
  <c r="D40" i="1"/>
  <c r="F40" i="1"/>
  <c r="G40" i="1"/>
  <c r="H40" i="1"/>
  <c r="I40" i="1"/>
  <c r="J40" i="1"/>
  <c r="E40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4" i="2"/>
  <c r="C22" i="2" s="1"/>
  <c r="D73" i="1"/>
  <c r="D55" i="1"/>
  <c r="D61" i="1" s="1"/>
  <c r="C45" i="1"/>
  <c r="C51" i="1" s="1"/>
  <c r="K39" i="1"/>
  <c r="B39" i="1"/>
  <c r="K38" i="1"/>
  <c r="B38" i="1"/>
  <c r="B37" i="1"/>
  <c r="B36" i="1"/>
  <c r="Q35" i="1"/>
  <c r="P36" i="1" s="1"/>
  <c r="Q34" i="1"/>
  <c r="D34" i="1"/>
  <c r="Q33" i="1"/>
  <c r="Q32" i="1"/>
  <c r="D31" i="1"/>
  <c r="D35" i="1" s="1"/>
  <c r="C11" i="2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J48" i="1" l="1"/>
  <c r="J41" i="1"/>
  <c r="I48" i="1"/>
  <c r="I41" i="1"/>
  <c r="H48" i="1"/>
  <c r="H41" i="1"/>
  <c r="G41" i="1"/>
  <c r="G48" i="1"/>
  <c r="F48" i="1"/>
  <c r="F41" i="1"/>
  <c r="E48" i="1"/>
  <c r="E41" i="1"/>
  <c r="C23" i="2"/>
  <c r="C12" i="2"/>
  <c r="C13" i="2" s="1"/>
  <c r="C10" i="2"/>
  <c r="C29" i="2" s="1"/>
  <c r="C30" i="2" s="1"/>
  <c r="D75" i="1"/>
  <c r="H27" i="1"/>
  <c r="I27" i="1" s="1"/>
  <c r="J27" i="1" s="1"/>
  <c r="E7" i="2" s="1"/>
  <c r="D7" i="2"/>
  <c r="C15" i="2"/>
  <c r="E16" i="1"/>
  <c r="F16" i="1" s="1"/>
  <c r="G16" i="1" s="1"/>
  <c r="F15" i="1"/>
  <c r="E23" i="1"/>
  <c r="E26" i="1" s="1"/>
  <c r="D41" i="1"/>
  <c r="D76" i="1" l="1"/>
  <c r="D54" i="1" s="1"/>
  <c r="H16" i="1"/>
  <c r="I16" i="1" s="1"/>
  <c r="J16" i="1" s="1"/>
  <c r="E15" i="2" s="1"/>
  <c r="D15" i="2"/>
  <c r="G15" i="1"/>
  <c r="H15" i="1" s="1"/>
  <c r="I15" i="1" s="1"/>
  <c r="J15" i="1" s="1"/>
  <c r="F23" i="1"/>
  <c r="E33" i="1"/>
  <c r="E28" i="1"/>
  <c r="G23" i="1" l="1"/>
  <c r="F26" i="1"/>
  <c r="F33" i="1" s="1"/>
  <c r="F28" i="1"/>
  <c r="E29" i="1"/>
  <c r="E46" i="1"/>
  <c r="E56" i="1"/>
  <c r="H23" i="1" l="1"/>
  <c r="G26" i="1"/>
  <c r="G33" i="1" s="1"/>
  <c r="G28" i="1"/>
  <c r="F29" i="1"/>
  <c r="F46" i="1"/>
  <c r="F56" i="1"/>
  <c r="E31" i="1"/>
  <c r="E35" i="1" s="1"/>
  <c r="E34" i="1"/>
  <c r="I23" i="1" l="1"/>
  <c r="H26" i="1"/>
  <c r="H33" i="1" s="1"/>
  <c r="H28" i="1"/>
  <c r="G29" i="1"/>
  <c r="G46" i="1"/>
  <c r="G56" i="1"/>
  <c r="D6" i="2"/>
  <c r="F31" i="1"/>
  <c r="F35" i="1" s="1"/>
  <c r="F34" i="1"/>
  <c r="E68" i="1"/>
  <c r="E75" i="1"/>
  <c r="J23" i="1" l="1"/>
  <c r="J26" i="1" s="1"/>
  <c r="J33" i="1" s="1"/>
  <c r="I26" i="1"/>
  <c r="I33" i="1" s="1"/>
  <c r="I28" i="1"/>
  <c r="H29" i="1"/>
  <c r="H46" i="1"/>
  <c r="H56" i="1"/>
  <c r="G31" i="1"/>
  <c r="G35" i="1" s="1"/>
  <c r="G34" i="1"/>
  <c r="D8" i="2"/>
  <c r="F68" i="1"/>
  <c r="F45" i="1" s="1"/>
  <c r="F75" i="1"/>
  <c r="E50" i="1"/>
  <c r="E58" i="1"/>
  <c r="E45" i="1"/>
  <c r="C25" i="2"/>
  <c r="E76" i="1"/>
  <c r="E44" i="1"/>
  <c r="E54" i="1"/>
  <c r="J28" i="1" l="1"/>
  <c r="I29" i="1"/>
  <c r="I56" i="1"/>
  <c r="I46" i="1"/>
  <c r="H31" i="1"/>
  <c r="H35" i="1" s="1"/>
  <c r="H34" i="1"/>
  <c r="D11" i="2"/>
  <c r="G68" i="1"/>
  <c r="G75" i="1"/>
  <c r="D10" i="2"/>
  <c r="D29" i="2" s="1"/>
  <c r="D30" i="2" s="1"/>
  <c r="F50" i="1"/>
  <c r="F58" i="1"/>
  <c r="F76" i="1"/>
  <c r="F44" i="1" s="1"/>
  <c r="F54" i="1"/>
  <c r="E55" i="1"/>
  <c r="E59" i="1" s="1"/>
  <c r="E61" i="1"/>
  <c r="E57" i="1" s="1"/>
  <c r="E73" i="1"/>
  <c r="E51" i="1"/>
  <c r="E49" i="1" s="1"/>
  <c r="F51" i="1" l="1"/>
  <c r="J29" i="1"/>
  <c r="J46" i="1"/>
  <c r="J56" i="1"/>
  <c r="E6" i="2"/>
  <c r="I31" i="1"/>
  <c r="I35" i="1" s="1"/>
  <c r="I34" i="1"/>
  <c r="H68" i="1"/>
  <c r="H45" i="1" s="1"/>
  <c r="H75" i="1"/>
  <c r="G50" i="1"/>
  <c r="G58" i="1"/>
  <c r="D17" i="2"/>
  <c r="D16" i="2" s="1"/>
  <c r="D18" i="2"/>
  <c r="D25" i="2"/>
  <c r="G45" i="1"/>
  <c r="G76" i="1"/>
  <c r="G44" i="1"/>
  <c r="G51" i="1" s="1"/>
  <c r="G49" i="1" s="1"/>
  <c r="G54" i="1"/>
  <c r="F55" i="1"/>
  <c r="F59" i="1" s="1"/>
  <c r="F61" i="1"/>
  <c r="F57" i="1" s="1"/>
  <c r="F73" i="1"/>
  <c r="E47" i="1"/>
  <c r="F47" i="1" l="1"/>
  <c r="F49" i="1"/>
  <c r="J31" i="1"/>
  <c r="J35" i="1" s="1"/>
  <c r="J34" i="1"/>
  <c r="E8" i="2"/>
  <c r="I37" i="1"/>
  <c r="I68" i="1"/>
  <c r="I45" i="1" s="1"/>
  <c r="I75" i="1"/>
  <c r="H50" i="1"/>
  <c r="H58" i="1"/>
  <c r="H76" i="1"/>
  <c r="G47" i="1"/>
  <c r="D4" i="2"/>
  <c r="G55" i="1"/>
  <c r="G59" i="1" s="1"/>
  <c r="G61" i="1"/>
  <c r="G73" i="1"/>
  <c r="E11" i="2" l="1"/>
  <c r="J68" i="1"/>
  <c r="J75" i="1"/>
  <c r="E10" i="2"/>
  <c r="E29" i="2" s="1"/>
  <c r="E30" i="2" s="1"/>
  <c r="K36" i="1"/>
  <c r="I50" i="1"/>
  <c r="I58" i="1"/>
  <c r="I76" i="1"/>
  <c r="I44" i="1"/>
  <c r="I51" i="1" s="1"/>
  <c r="I49" i="1" s="1"/>
  <c r="I54" i="1"/>
  <c r="D12" i="2"/>
  <c r="D22" i="2"/>
  <c r="D5" i="2"/>
  <c r="G57" i="1"/>
  <c r="H44" i="1"/>
  <c r="H51" i="1" s="1"/>
  <c r="H49" i="1" s="1"/>
  <c r="H54" i="1"/>
  <c r="J50" i="1" l="1"/>
  <c r="J58" i="1"/>
  <c r="K40" i="1"/>
  <c r="E17" i="2"/>
  <c r="E16" i="2" s="1"/>
  <c r="K37" i="1"/>
  <c r="E18" i="2"/>
  <c r="J45" i="1"/>
  <c r="E25" i="2"/>
  <c r="J76" i="1"/>
  <c r="J44" i="1"/>
  <c r="J54" i="1"/>
  <c r="I47" i="1"/>
  <c r="I55" i="1"/>
  <c r="I59" i="1" s="1"/>
  <c r="I61" i="1"/>
  <c r="I57" i="1" s="1"/>
  <c r="I73" i="1"/>
  <c r="D13" i="2"/>
  <c r="D23" i="2"/>
  <c r="H47" i="1"/>
  <c r="H73" i="1"/>
  <c r="H61" i="1"/>
  <c r="H57" i="1" s="1"/>
  <c r="H55" i="1"/>
  <c r="H59" i="1" s="1"/>
  <c r="J55" i="1" l="1"/>
  <c r="J59" i="1" s="1"/>
  <c r="J61" i="1"/>
  <c r="J73" i="1"/>
  <c r="J51" i="1"/>
  <c r="J49" i="1" s="1"/>
  <c r="E5" i="2" l="1"/>
  <c r="J57" i="1"/>
  <c r="J47" i="1"/>
  <c r="E4" i="2"/>
  <c r="E13" i="2" l="1"/>
  <c r="E23" i="2"/>
  <c r="E12" i="2"/>
  <c r="E22" i="2"/>
</calcChain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<sst xmlns="http://schemas.openxmlformats.org/spreadsheetml/2006/main" count="280" uniqueCount="195">
  <si>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</si>
  <si>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</si>
  <si>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</si>
  <si>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</si>
  <si>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</si>
  <si>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</si>
  <si>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</si>
  <si>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</si>
  <si>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</si>
  <si>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</si>
  <si>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</si>
  <si>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</si>
  <si>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</si>
  <si>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</si>
  <si>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</si>
  <si>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</si>
  <si>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</si>
  <si>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</si>
  <si>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</si>
  <si>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</si>
  <si>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</si>
  <si>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</si>
  <si>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</si>
  <si>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</si>
  <si>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</si>
  <si>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</si>
  <si>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</si>
  <si>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</si>
  <si>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</si>
  <si>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</si>
  <si>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</si>
  <si>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</si>
  <si>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</si>
  <si>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</si>
  <si>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</si>
  <si>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</si>
  <si>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</si>
  <si>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</si>
  <si>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</si>
  <si>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</si>
  <si>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</si>
  <si>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</si>
  <si>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</si>
  <si>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</si>
  <si>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</si>
  <si>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</si>
  <si>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</si>
  <si>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</si>
  <si>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</si>
  <si>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</si>
  <si>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</si>
  <si>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</si>
  <si>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</si>
  <si>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</si>
  <si>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</si>
  <si>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</si>
  <si>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</si>
  <si>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</si>
  <si>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</si>
  <si>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</si>
  <si>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</si>
  <si>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</si>
  <si>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</si>
  <si>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</si>
  <si>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</si>
  <si>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</si>
  <si>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</si>
  <si>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</si>
  <si>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</si>
  <si>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</si>
  <si>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</si>
  <si>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</si>
  <si>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</si>
  <si>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</si>
  <si>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</si>
  <si>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</si>
  <si>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</si>
  <si>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</si>
  <si>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</si>
  <si>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</si>
  <si>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</si>
  <si>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</si>
  <si>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</si>
  <si>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</si>
  <si>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</si>
  <si>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</si>
  <si>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</si>
  <si>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</si>
  <si>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</si>
  <si>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</si>
  <si>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</si>
  <si>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</si>
  <si>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</si>
  <si>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</si>
  <si>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</si>
  <si>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</si>
  <si>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</si>
  <si>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</si>
  <si>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</si>
  <si>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</si>
  <si>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</si>
  <si>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</si>
  <si>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</si>
  <si>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</si>
  <si>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</si>
  <si>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</si>
  <si>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</si>
  <si>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</si>
  <si>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</si>
  <si>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</si>
  <si>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</si>
  <si>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</si>
  <si>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</si>
  <si>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</si>
  <si>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</si>
  <si>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</si>
  <si>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</si>
  <si>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</si>
  <si>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</si>
  <si>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</si>
  <si>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</si>
  <si>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</si>
  <si>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</si>
  <si>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</si>
  <si>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</si>
  <si>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</si>
  <si>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</si>
  <si>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</si>
  <si>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</si>
  <si>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</si>
  <si>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</si>
  <si>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</si>
  <si>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</si>
  <si>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</si>
  <si>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</si>
  <si>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</si>
  <si>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</si>
  <si>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</si>
  <si>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</si>
  <si>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</si>
  <si>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</si>
  <si>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</si>
  <si>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</si>
  <si>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</si>
  <si>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</si>
  <si>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</si>
  <si>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</si>
  <si>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</si>
  <si>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</si>
  <si>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</si>
  <si>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</si>
  <si>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</si>
  <si>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</si>
  <si>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</si>
  <si>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</si>
  <si>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</si>
  <si>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</si>
  <si>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</si>
  <si>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</si>
  <si>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</si>
  <si>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</si>
  <si>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タナカホーム株式会社御中_LINEOA施策提案【SIM】（離脱防止＋サイトのボタン＋サンクスLINE）</t>
  </si>
  <si>
    <t>来場予約（LINE経由）</t>
  </si>
  <si>
    <t>サイトUU 13,228／友だち417人（2026-10-15〜16 殿村さん）。CVは来場予約（資料の軸＝資料請求の時点から来場・契約まで追う）</t>
  </si>
  <si>
    <t>資料請求（LINE経由・参考）</t>
  </si>
  <si>
    <t>資料請求（LINE経由）は参考。合計CV・CVR・CPAには入れない</t>
  </si>
  <si>
    <t>来場予約（月）</t>
  </si>
  <si>
    <t>来場予約 月35件（議事録の現状35〜40件の下限）・資料請求 月8件（自社サイトは月一桁・仮に8件）＝サンクスLINEの母数</t>
  </si>
  <si>
    <t>資料請求（月）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</si>
  <si>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</si>
  <si>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</si>
  <si>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</si>
  <si>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</si>
  <si>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</si>
  <si>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</si>
  <si>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友だち追加広告（CPF）は入れていない。友だちを月500人規模にするなら、LINE広告で月300人強（1人200円で月6〜7万円）が別に要る</t>
  </si>
  <si>
    <t>離脱防止＝UU×表示55%×クリック12%×追加12%（FMTの式）＝月約105人。今の来場特典のポップアップに加えて、来場前の方向けに情報で追加してもらう案内に作り直す想定</t>
  </si>
  <si>
    <t>サンクスLINE誘導＝（来場予約＋資料請求）×15%（FMTの式）＝月約6人。資料請求・来場予約の完了ページからLINEへ</t>
  </si>
  <si>
    <t>サイトのLINEボタン＝UU×0.5%（FMTのP15）＝月約66人。今はサイトにLINEの導線が無いので新しく置く</t>
  </si>
  <si>
    <t>ブロック率：28%（殿村さんの表）から前月の1.02倍ずつ上昇</t>
  </si>
  <si>
    <t>企画配信 月4本（有効な友だち×80%。4か月目からは反応しない方を外してさらに8割）</t>
  </si>
  <si>
    <t>ステップ配信5通（会社の特長→費用・住宅ローン→断熱性能・間取り→ルームツアー→見学会・来場予約）。対象＝その月の新しい友だち</t>
  </si>
  <si>
    <t>来場予約＝クリック×0.4〜0.8%（運用が育つ想定で月ごとに上げる）</t>
  </si>
  <si>
    <t>資料請求＝クリック×0.6〜1.0%（参考）</t>
  </si>
  <si>
    <t>従量課金は54行（新料金テーブル）で計算。65行の旧式は二重計上になるため0</t>
  </si>
  <si>
    <t>離脱防止：初期1.5万・月3万</t>
  </si>
  <si>
    <t>サンクスLINE誘導</t>
  </si>
  <si>
    <t>サンクスLINE誘導：初期15万・月3万〜。完了ページの件数が月40件ほどなので、1人あたりは約5,000円（目安の月100件を下回る）</t>
  </si>
  <si>
    <t>アカウント費：FMTの式。初期は0（アカウントは既にある）</t>
  </si>
  <si>
    <t>LINE運用コンサル</t>
  </si>
  <si>
    <t>LINE運用コンサル：初期10万円〜・月額20万円〜（費用目安）</t>
  </si>
  <si>
    <t>来場予約（もともと・月）</t>
  </si>
  <si>
    <t>来場予約（+LINEOA施策）</t>
  </si>
  <si>
    <t>CV①_来場予約（LINE経由）</t>
  </si>
  <si>
    <t>参考_資料請求（LINE経由）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</si>
</sst>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B14" zoomScale="55" zoomScaleNormal="55" workbookViewId="0">
      <selection activeCell="L43" sqref="L4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160</v>
      </c>
      <c r="B2" s="134">
        <v>46311</v>
      </c>
    </row>
    <row r="4" spans="1:25" ht="45.75" customHeight="1" x14ac:dyDescent="0.55000000000000004">
      <c r="A4" s="56" t="s">
        <v>161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162</v>
      </c>
      <c r="D8" s="33">
        <v>0</v>
      </c>
      <c r="G8" s="121" t="s">
        <v>66</v>
      </c>
      <c r="H8" s="122">
        <v>13228</v>
      </c>
      <c r="I8" s="123"/>
      <c r="J8" s="123" t="s">
        <v>71</v>
      </c>
      <c r="K8" s="129">
        <v>0</v>
      </c>
      <c r="N8" s="69" t="s">
        <v>163</v>
      </c>
      <c r="O8" s="35" t="s">
        <v>155</v>
      </c>
    </row>
    <row r="9" spans="1:25" ht="18" thickBot="1" x14ac:dyDescent="0.6">
      <c r="A9" s="138"/>
      <c r="B9" s="19" t="s">
        <v>8</v>
      </c>
      <c r="C9" s="38" t="s">
        <v>164</v>
      </c>
      <c r="D9" s="33">
        <v>0</v>
      </c>
      <c r="G9" s="124" t="s">
        <v>147</v>
      </c>
      <c r="H9" s="125">
        <v>0</v>
      </c>
      <c r="I9" s="22"/>
      <c r="J9" s="29"/>
      <c r="K9" s="118"/>
      <c r="N9" s="132" t="s">
        <v>165</v>
      </c>
      <c r="O9" s="130" t="s">
        <v>154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35</v>
      </c>
      <c r="I10" s="22" t="s">
        <v>153</v>
      </c>
      <c r="J10" s="29"/>
      <c r="K10" s="118"/>
      <c r="N10" s="132" t="s">
        <v>167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168</v>
      </c>
      <c r="H11" s="127">
        <v>8</v>
      </c>
      <c r="I11" s="128" t="s">
        <v>152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122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13228</v>
      </c>
      <c r="E14" s="43">
        <f>+D14</f>
        <v>13228</v>
      </c>
      <c r="F14" s="43">
        <f t="shared" ref="F14:J14" si="0">+E14</f>
        <v>13228</v>
      </c>
      <c r="G14" s="43">
        <f t="shared" si="0"/>
        <v>13228</v>
      </c>
      <c r="H14" s="43">
        <f t="shared" si="0"/>
        <v>13228</v>
      </c>
      <c r="I14" s="43">
        <f t="shared" si="0"/>
        <v>13228</v>
      </c>
      <c r="J14" s="43">
        <f t="shared" si="0"/>
        <v>13228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159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150</v>
      </c>
      <c r="C16" s="99"/>
      <c r="D16" s="42">
        <f>H10</f>
        <v>35</v>
      </c>
      <c r="E16" s="43">
        <f t="shared" si="2"/>
        <v>35</v>
      </c>
      <c r="F16" s="43">
        <f t="shared" si="2"/>
        <v>35</v>
      </c>
      <c r="G16" s="43">
        <f t="shared" si="2"/>
        <v>35</v>
      </c>
      <c r="H16" s="43">
        <f t="shared" si="2"/>
        <v>35</v>
      </c>
      <c r="I16" s="43">
        <f t="shared" si="2"/>
        <v>35</v>
      </c>
      <c r="J16" s="43">
        <f t="shared" si="2"/>
        <v>35</v>
      </c>
      <c r="K16" s="11"/>
      <c r="L16" s="7"/>
      <c r="N16" s="69" t="s">
        <v>158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157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115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157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113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114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104.76576</v>
      </c>
      <c r="F23" s="46">
        <f>IF(F18=FALSE,0,F15*$P$18*0.08*0.08+(F14-F15)*$P$19*0.12*0.12)</f>
        <v>104.76576</v>
      </c>
      <c r="G23" s="63">
        <f t="shared" ref="G23:J24" si="3">F23*1.01</f>
        <v>105.81341760000001</v>
      </c>
      <c r="H23" s="63">
        <f t="shared" si="3"/>
        <v>106.871551776</v>
      </c>
      <c r="I23" s="63">
        <f t="shared" si="3"/>
        <v>107.94026729376</v>
      </c>
      <c r="J23" s="63">
        <f t="shared" si="3"/>
        <v>109.01966996669761</v>
      </c>
      <c r="K23" s="11"/>
      <c r="L23" s="7"/>
      <c r="N23" s="69" t="s">
        <v>176</v>
      </c>
      <c r="O23" s="17" t="s">
        <v>42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115</v>
      </c>
      <c r="C24" s="17"/>
      <c r="D24" s="44" t="s">
        <v>21</v>
      </c>
      <c r="E24" s="46">
        <f>+IF(E19=FALSE,0,SUM(H10:H11)*0.15)</f>
        <v>6.45</v>
      </c>
      <c r="F24" s="63">
        <f>E24*1.01</f>
        <v>6.5145</v>
      </c>
      <c r="G24" s="63">
        <f t="shared" si="3"/>
        <v>6.5796450000000002</v>
      </c>
      <c r="H24" s="63">
        <f t="shared" si="3"/>
        <v>6.6454414499999999</v>
      </c>
      <c r="I24" s="63">
        <f t="shared" si="3"/>
        <v>6.7118958644999998</v>
      </c>
      <c r="J24" s="63">
        <f t="shared" si="3"/>
        <v>6.7790148231449994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121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177.35576</v>
      </c>
      <c r="F26" s="46">
        <f t="shared" ref="F26:J26" si="5">+SUM(F22:F25)+$H$9*$P$16+($H$8-$H$9)*$P$15</f>
        <v>177.42025999999998</v>
      </c>
      <c r="G26" s="46">
        <f>+SUM(G22:G25)+$H$9*$P$16+($H$8-$H$9)*$P$15</f>
        <v>178.53306259999999</v>
      </c>
      <c r="H26" s="46">
        <f t="shared" si="5"/>
        <v>179.656993226</v>
      </c>
      <c r="I26" s="46">
        <f t="shared" si="5"/>
        <v>180.79216315826</v>
      </c>
      <c r="J26" s="46">
        <f t="shared" si="5"/>
        <v>181.93868478984263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0.28000000000000003</v>
      </c>
      <c r="E27" s="47">
        <v>0.28000000000000003</v>
      </c>
      <c r="F27" s="47">
        <f>ROUND(E27*1.02,3)</f>
        <v>0.28599999999999998</v>
      </c>
      <c r="G27" s="47">
        <f>ROUND(F27*1.02,3)</f>
        <v>0.29199999999999998</v>
      </c>
      <c r="H27" s="47">
        <f>ROUND(G27*1.02,3)</f>
        <v>0.29799999999999999</v>
      </c>
      <c r="I27" s="47">
        <f>ROUND(H27*1.02,3)</f>
        <v>0.30399999999999999</v>
      </c>
      <c r="J27" s="47">
        <f>ROUND(I27*1.02,3)</f>
        <v>0.31</v>
      </c>
      <c r="K27" s="11"/>
      <c r="L27" s="7"/>
      <c r="N27" t="s">
        <v>179</v>
      </c>
      <c r="O27" s="17" t="s">
        <v>42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417</v>
      </c>
      <c r="E28" s="49">
        <f>+D28+E26</f>
        <v>594.35576000000003</v>
      </c>
      <c r="F28" s="49">
        <f t="shared" ref="F28:J28" si="6">+E28+F26</f>
        <v>771.77602000000002</v>
      </c>
      <c r="G28" s="49">
        <f t="shared" si="6"/>
        <v>950.30908260000001</v>
      </c>
      <c r="H28" s="49">
        <f t="shared" si="6"/>
        <v>1129.966075826</v>
      </c>
      <c r="I28" s="49">
        <f t="shared" si="6"/>
        <v>1310.7582389842601</v>
      </c>
      <c r="J28" s="49">
        <f t="shared" si="6"/>
        <v>1492.6969237741027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300.24</v>
      </c>
      <c r="E29" s="50">
        <f>+E28*(1-E27)</f>
        <v>427.93614719999999</v>
      </c>
      <c r="F29" s="50">
        <f t="shared" ref="F29:J29" si="7">+F28*(1-F27)</f>
        <v>551.04807828000003</v>
      </c>
      <c r="G29" s="50">
        <f t="shared" si="7"/>
        <v>672.81883048079999</v>
      </c>
      <c r="H29" s="50">
        <f t="shared" si="7"/>
        <v>793.23618522985191</v>
      </c>
      <c r="I29" s="50">
        <f t="shared" si="7"/>
        <v>912.28773433304491</v>
      </c>
      <c r="J29" s="50">
        <f t="shared" si="7"/>
        <v>1029.9608774041308</v>
      </c>
      <c r="K29" s="12"/>
      <c r="L29" s="7"/>
      <c r="N29" s="69" t="s">
        <v>130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180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0</v>
      </c>
      <c r="E31" s="63">
        <f>+E29*E30*$P$24*$P$22*$P$23*$P$36</f>
        <v>156.38471175363389</v>
      </c>
      <c r="F31" s="63">
        <f>+F29*F30*$P$24*$P$22*$P$23*$P$36</f>
        <v>201.37465705587323</v>
      </c>
      <c r="G31" s="63">
        <f>+G29*G30*$P$24*$P$22*$P$23*$P$36</f>
        <v>245.87448280685217</v>
      </c>
      <c r="H31" s="63">
        <f>+H29*H30*$P$24*$P$22*$P$23*$P$36*$Q$24</f>
        <v>231.90377908739097</v>
      </c>
      <c r="I31" s="63">
        <f>+I29*I30*$P$24*$P$22*$P$23*$P$36*$Q$24</f>
        <v>266.70867661641455</v>
      </c>
      <c r="J31" s="63">
        <f>+J29*J30*$P$24*$P$22*$P$23*$P$36*$Q$24</f>
        <v>301.11059509088335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123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  <v>112.95495717396004</v>
      </c>
      <c r="F33" s="63">
        <f t="shared" si="8"/>
        <v>112.99603615971002</v>
      </c>
      <c r="G33" s="63">
        <f t="shared" si="8"/>
        <v>113.70476177440713</v>
      </c>
      <c r="H33" s="63">
        <f t="shared" si="8"/>
        <v>114.42057464525119</v>
      </c>
      <c r="I33" s="63">
        <f t="shared" si="8"/>
        <v>115.14354564480372</v>
      </c>
      <c r="J33" s="63">
        <f t="shared" si="8"/>
        <v>115.87374635435179</v>
      </c>
      <c r="K33" s="11"/>
      <c r="L33" s="7"/>
      <c r="O33" s="17" t="s">
        <v>131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0</v>
      </c>
      <c r="E34" s="46">
        <f>+E29*E30*$P$24+E26*E32</f>
        <v>2256.1744710399998</v>
      </c>
      <c r="F34" s="46">
        <f>+F29*F30*$P$24+F26*F32</f>
        <v>2650.455150496</v>
      </c>
      <c r="G34" s="46">
        <f>+G29*G30*$P$24+G26*G32</f>
        <v>3045.6855705385601</v>
      </c>
      <c r="H34" s="46">
        <f>+H29*H30*$P$24*$Q$24+H26*H32</f>
        <v>2928.9696003184208</v>
      </c>
      <c r="I34" s="46">
        <f>+I29*I30*$P$24*$Q$24+I26*I32</f>
        <v>3239.4174156838949</v>
      </c>
      <c r="J34" s="46">
        <f>+J29*J30*$P$24*$Q$24+J26*J32</f>
        <v>3546.3932701037884</v>
      </c>
      <c r="K34" s="11"/>
      <c r="L34" s="7"/>
      <c r="O34" s="17" t="s">
        <v>132</v>
      </c>
      <c r="P34" s="75" t="b">
        <v>1</v>
      </c>
      <c r="Q34" s="73">
        <f t="shared" si="9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0</v>
      </c>
      <c r="E35" s="50">
        <f>+E31+E33+1.05*(E31+E33)</f>
        <v>552.14632130156758</v>
      </c>
      <c r="F35" s="50">
        <f t="shared" ref="F35:J35" si="10">+F31+F33+1.05*(F31+F33)</f>
        <v>644.45992109194572</v>
      </c>
      <c r="G35" s="50">
        <f t="shared" si="10"/>
        <v>737.13745139158164</v>
      </c>
      <c r="H35" s="50">
        <f t="shared" si="10"/>
        <v>709.96492515191653</v>
      </c>
      <c r="I35" s="50">
        <f t="shared" si="10"/>
        <v>782.79705563549749</v>
      </c>
      <c r="J35" s="50">
        <f t="shared" si="10"/>
        <v>854.8178999627321</v>
      </c>
      <c r="K35" s="11"/>
      <c r="L35" s="7"/>
      <c r="O35" s="17" t="s">
        <v>133</v>
      </c>
      <c r="P35" s="75" t="b">
        <v>1</v>
      </c>
      <c r="Q35" s="73">
        <f t="shared" si="9"/>
        <v>1.1000000000000001</v>
      </c>
    </row>
    <row r="36" spans="1:17" x14ac:dyDescent="0.55000000000000004">
      <c r="A36" s="150" t="s">
        <v>6</v>
      </c>
      <c r="B36" s="6" t="str">
        <f>+C8</f>
        <v>来場予約（LINE経由）</v>
      </c>
      <c r="C36" s="6"/>
      <c r="D36" s="11">
        <v>0</v>
      </c>
      <c r="E36" s="111">
        <v>5</v>
      </c>
      <c r="F36" s="111">
        <v>7</v>
      </c>
      <c r="G36" s="111">
        <v>10</v>
      </c>
      <c r="H36" s="111">
        <v>11</v>
      </c>
      <c r="I36" s="111">
        <v>14</v>
      </c>
      <c r="J36" s="111">
        <v>16</v>
      </c>
      <c r="K36" s="115">
        <f>SUM(E36:J36)</f>
        <v>63</v>
      </c>
      <c r="L36" s="7"/>
      <c r="N36" s="69" t="s">
        <v>182</v>
      </c>
      <c r="O36" s="17" t="s">
        <v>124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資料請求（LINE経由・参考）</v>
      </c>
      <c r="C37" s="6"/>
      <c r="D37" s="11">
        <v>0</v>
      </c>
      <c r="E37" s="111">
        <v>2</v>
      </c>
      <c r="F37" s="111">
        <v>4</v>
      </c>
      <c r="G37" s="111">
        <v>5</v>
      </c>
      <c r="H37" s="111">
        <v>6</v>
      </c>
      <c r="I37" s="111">
        <f>ROUND(I35*0.01,0)</f>
        <v>8</v>
      </c>
      <c r="J37" s="111">
        <v>9</v>
      </c>
      <c r="K37" s="115">
        <f>SUM(E37:J37)</f>
        <v>34</v>
      </c>
      <c r="L37" s="7"/>
      <c r="N37" s="69" t="s">
        <v>183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118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>SUM(D36:D39)</f>
        <v>0</v>
      </c>
      <c r="E40" s="10">
        <f>SUM(E36:E39)</f>
        <v>7</v>
      </c>
      <c r="F40" s="10">
        <f t="shared" ref="F40:J40" si="11">SUM(F36:F39)</f>
        <v>11</v>
      </c>
      <c r="G40" s="10">
        <f t="shared" si="11"/>
        <v>15</v>
      </c>
      <c r="H40" s="10">
        <f t="shared" si="11"/>
        <v>17</v>
      </c>
      <c r="I40" s="10">
        <f t="shared" si="11"/>
        <v>22</v>
      </c>
      <c r="J40" s="10">
        <f t="shared" si="11"/>
        <v>25</v>
      </c>
      <c r="K40" s="115">
        <f>SUM(E40:J40)</f>
        <v>97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IFERROR(E40/E35,0)</f>
        <v>1.2677798855019061E-2</v>
      </c>
      <c r="F41" s="18">
        <f t="shared" ref="F41:J41" si="13">IFERROR(F40/F35,0)</f>
        <v>1.706855560755751E-2</v>
      </c>
      <c r="G41" s="18">
        <f t="shared" si="13"/>
        <v>2.034898643622397E-2</v>
      </c>
      <c r="H41" s="18">
        <f t="shared" si="13"/>
        <v>2.3944844875769578E-2</v>
      </c>
      <c r="I41" s="18">
        <f t="shared" si="13"/>
        <v>2.8104346895045176E-2</v>
      </c>
      <c r="J41" s="18">
        <f t="shared" si="13"/>
        <v>2.9245994966986461E-2</v>
      </c>
      <c r="N41" s="69" t="s">
        <v>117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148</v>
      </c>
      <c r="D43" s="5" t="s">
        <v>149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44" t="s">
        <v>129</v>
      </c>
      <c r="B45" s="145"/>
      <c r="C45" s="104">
        <f>+SUM(C65:C72)</f>
        <v>0</v>
      </c>
      <c r="D45" s="80">
        <f>+SUM(D65:D72)</f>
        <v>265000</v>
      </c>
      <c r="E45" s="27">
        <f>SUM(E65:E69)+SUM(E71:E72)</f>
        <v>265000</v>
      </c>
      <c r="F45" s="27">
        <f t="shared" ref="F45:J45" si="15">SUM(F65:F69)+SUM(F71:F72)</f>
        <v>265000</v>
      </c>
      <c r="G45" s="27">
        <f t="shared" si="15"/>
        <v>265000</v>
      </c>
      <c r="H45" s="27">
        <f t="shared" si="15"/>
        <v>265000</v>
      </c>
      <c r="I45" s="27">
        <f t="shared" si="15"/>
        <v>265000</v>
      </c>
      <c r="J45" s="27">
        <f t="shared" si="15"/>
        <v>265000</v>
      </c>
      <c r="K45" s="11"/>
      <c r="L45" s="7"/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SUM(E65:E67)/(E28-D28)</f>
        <v>338.30308076828175</v>
      </c>
      <c r="F46" s="28">
        <f t="shared" si="16"/>
        <v>338.18009284847182</v>
      </c>
      <c r="G46" s="28">
        <f t="shared" si="16"/>
        <v>336.07220492502773</v>
      </c>
      <c r="H46" s="28">
        <f t="shared" si="16"/>
        <v>333.96974380241829</v>
      </c>
      <c r="I46" s="28">
        <f t="shared" si="16"/>
        <v>331.8727922264959</v>
      </c>
      <c r="J46" s="28">
        <f t="shared" si="16"/>
        <v>329.78143196597239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  <v>479.94524236857876</v>
      </c>
      <c r="F47" s="28">
        <f t="shared" si="17"/>
        <v>411.19702145479454</v>
      </c>
      <c r="G47" s="28">
        <f t="shared" si="17"/>
        <v>359.49876037329011</v>
      </c>
      <c r="H47" s="28">
        <f t="shared" si="17"/>
        <v>373.25787600464344</v>
      </c>
      <c r="I47" s="28">
        <f t="shared" si="17"/>
        <v>338.52963305395326</v>
      </c>
      <c r="J47" s="28">
        <f>+J51/J35</f>
        <v>310.0075466500565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>IFERROR(E40/E35,0)</f>
        <v>1.2677798855019061E-2</v>
      </c>
      <c r="F48" s="32">
        <f t="shared" ref="F48:J48" si="18">IFERROR(F40/F35,0)</f>
        <v>1.706855560755751E-2</v>
      </c>
      <c r="G48" s="32">
        <f t="shared" si="18"/>
        <v>2.034898643622397E-2</v>
      </c>
      <c r="H48" s="32">
        <f t="shared" si="18"/>
        <v>2.3944844875769578E-2</v>
      </c>
      <c r="I48" s="32">
        <f t="shared" si="18"/>
        <v>2.8104346895045176E-2</v>
      </c>
      <c r="J48" s="32">
        <f t="shared" si="18"/>
        <v>2.9245994966986461E-2</v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IFERROR(E51/E40,0)</f>
        <v>37857.142857142855</v>
      </c>
      <c r="F49" s="28">
        <f t="shared" ref="F49:J49" si="19">IFERROR(F51/F40,0)</f>
        <v>24090.909090909092</v>
      </c>
      <c r="G49" s="28">
        <f t="shared" si="19"/>
        <v>17666.666666666668</v>
      </c>
      <c r="H49" s="28">
        <f t="shared" si="19"/>
        <v>15588.235294117647</v>
      </c>
      <c r="I49" s="28">
        <f t="shared" si="19"/>
        <v>12045.454545454546</v>
      </c>
      <c r="J49" s="28">
        <f t="shared" si="19"/>
        <v>10600</v>
      </c>
      <c r="K49" s="11"/>
      <c r="L49" s="7"/>
    </row>
    <row r="50" spans="1:12" x14ac:dyDescent="0.55000000000000004">
      <c r="A50" s="152" t="s">
        <v>116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0">+F36*$D$8+F38*$D$10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265000</v>
      </c>
      <c r="F51" s="40">
        <f t="shared" ref="F51:I51" si="21">SUM(F45,F50)+F44</f>
        <v>265000</v>
      </c>
      <c r="G51" s="40">
        <f t="shared" si="21"/>
        <v>265000</v>
      </c>
      <c r="H51" s="40">
        <f t="shared" si="21"/>
        <v>265000</v>
      </c>
      <c r="I51" s="40">
        <f t="shared" si="21"/>
        <v>265000</v>
      </c>
      <c r="J51" s="40">
        <f>SUM(J45,J50)+J44</f>
        <v>265000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44" t="s">
        <v>129</v>
      </c>
      <c r="B55" s="145"/>
      <c r="C55" s="96"/>
      <c r="D55" s="27">
        <f>+SUM(D65:D72)</f>
        <v>265000</v>
      </c>
      <c r="E55" s="27">
        <f>SUM(E65:E72)+E54</f>
        <v>265000</v>
      </c>
      <c r="F55" s="27">
        <f t="shared" ref="F55:J55" si="23">SUM(F65:F72)+F54</f>
        <v>265000</v>
      </c>
      <c r="G55" s="27">
        <f t="shared" si="23"/>
        <v>265000</v>
      </c>
      <c r="H55" s="27">
        <f t="shared" si="23"/>
        <v>265000</v>
      </c>
      <c r="I55" s="27">
        <f t="shared" si="23"/>
        <v>265000</v>
      </c>
      <c r="J55" s="27">
        <f t="shared" si="23"/>
        <v>265000</v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SUM(E65:E67)/(E28-D28)</f>
        <v>338.30308076828175</v>
      </c>
      <c r="F56" s="28">
        <f t="shared" si="24"/>
        <v>338.18009284847182</v>
      </c>
      <c r="G56" s="28">
        <f t="shared" si="24"/>
        <v>336.07220492502773</v>
      </c>
      <c r="H56" s="28">
        <f t="shared" si="24"/>
        <v>333.96974380241829</v>
      </c>
      <c r="I56" s="28">
        <f t="shared" si="24"/>
        <v>331.8727922264959</v>
      </c>
      <c r="J56" s="28">
        <f t="shared" si="24"/>
        <v>329.78143196597239</v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479.94524236857876</v>
      </c>
      <c r="F57" s="28">
        <f t="shared" ref="F57:J57" si="25">+F61/F35</f>
        <v>411.19702145479454</v>
      </c>
      <c r="G57" s="28">
        <f t="shared" si="25"/>
        <v>359.49876037329011</v>
      </c>
      <c r="H57" s="28">
        <f t="shared" si="25"/>
        <v>373.25787600464344</v>
      </c>
      <c r="I57" s="28">
        <f t="shared" si="25"/>
        <v>338.52963305395326</v>
      </c>
      <c r="J57" s="28">
        <f t="shared" si="25"/>
        <v>310.0075466500565</v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+IFERROR(E36/E35,0)</f>
        <v>9.0555706107279012E-3</v>
      </c>
      <c r="F58" s="32">
        <f t="shared" si="26"/>
        <v>1.0861808113900234E-2</v>
      </c>
      <c r="G58" s="32">
        <f t="shared" si="26"/>
        <v>1.3565990957482645E-2</v>
      </c>
      <c r="H58" s="32">
        <f t="shared" si="26"/>
        <v>1.5493723154909727E-2</v>
      </c>
      <c r="I58" s="32">
        <f t="shared" si="26"/>
        <v>1.788458438775602E-2</v>
      </c>
      <c r="J58" s="32">
        <f t="shared" si="26"/>
        <v>1.8717436778871336E-2</v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 t="shared" ref="E59:J59" si="27">+IFERROR(E55/E36,0)</f>
        <v>53000</v>
      </c>
      <c r="F59" s="28">
        <f t="shared" si="27"/>
        <v>37857.142857142855</v>
      </c>
      <c r="G59" s="28">
        <f t="shared" si="27"/>
        <v>26500</v>
      </c>
      <c r="H59" s="28">
        <f t="shared" si="27"/>
        <v>24090.909090909092</v>
      </c>
      <c r="I59" s="28">
        <f t="shared" si="27"/>
        <v>18928.571428571428</v>
      </c>
      <c r="J59" s="28">
        <f t="shared" si="27"/>
        <v>16562.5</v>
      </c>
      <c r="K59" s="11"/>
      <c r="L59" s="7"/>
    </row>
    <row r="60" spans="1:12" hidden="1" x14ac:dyDescent="0.55000000000000004">
      <c r="A60" s="152" t="s">
        <v>116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265000</v>
      </c>
      <c r="F61" s="40">
        <f t="shared" ref="F61:J61" si="28">+SUM(F65:F72)+F54</f>
        <v>265000</v>
      </c>
      <c r="G61" s="40">
        <f t="shared" si="28"/>
        <v>265000</v>
      </c>
      <c r="H61" s="40">
        <f t="shared" si="28"/>
        <v>265000</v>
      </c>
      <c r="I61" s="40">
        <f t="shared" si="28"/>
        <v>265000</v>
      </c>
      <c r="J61" s="40">
        <f t="shared" si="28"/>
        <v>265000</v>
      </c>
      <c r="K61" s="11"/>
      <c r="L61" s="7"/>
    </row>
    <row r="62" spans="1:12" hidden="1" x14ac:dyDescent="0.55000000000000004"/>
    <row r="64" spans="1:12" x14ac:dyDescent="0.55000000000000004">
      <c r="C64" s="5" t="s">
        <v>148</v>
      </c>
      <c r="D64" s="5" t="s">
        <v>149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184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185</v>
      </c>
    </row>
    <row r="67" spans="1:16" x14ac:dyDescent="0.55000000000000004">
      <c r="B67" s="6" t="s">
        <v>186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187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188</v>
      </c>
      <c r="O68" s="17" t="s">
        <v>128</v>
      </c>
      <c r="P68" s="75">
        <v>5000</v>
      </c>
    </row>
    <row r="69" spans="1:16" x14ac:dyDescent="0.55000000000000004">
      <c r="A69" s="15"/>
      <c r="B69" s="6" t="s">
        <v>189</v>
      </c>
      <c r="C69" s="90">
        <v>0</v>
      </c>
      <c r="D69" s="51">
        <v>100000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190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127</v>
      </c>
    </row>
    <row r="71" spans="1:16" x14ac:dyDescent="0.55000000000000004">
      <c r="A71" s="15"/>
      <c r="B71" s="6" t="s">
        <v>125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126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151</v>
      </c>
      <c r="C73" s="113">
        <v>0</v>
      </c>
      <c r="D73" s="114">
        <f>SUM(D65:D72)</f>
        <v>265000</v>
      </c>
      <c r="E73" s="114">
        <f t="shared" ref="E73:J73" si="30">SUM(E65:E72)+E54</f>
        <v>265000</v>
      </c>
      <c r="F73" s="114">
        <f t="shared" si="30"/>
        <v>265000</v>
      </c>
      <c r="G73" s="114">
        <f t="shared" si="30"/>
        <v>265000</v>
      </c>
      <c r="H73" s="114">
        <f t="shared" si="30"/>
        <v>265000</v>
      </c>
      <c r="I73" s="114">
        <f t="shared" si="30"/>
        <v>265000</v>
      </c>
      <c r="J73" s="114">
        <f t="shared" si="30"/>
        <v>265000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142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137</v>
      </c>
      <c r="B4" s="7"/>
      <c r="C4" s="86" t="str">
        <f>+'SIM_離脱防止＋サンクスLINE'!D24</f>
        <v>--</v>
      </c>
      <c r="D4" s="28">
        <f>+'SIM_離脱防止＋サンクスLINE'!G51</f>
        <v>265000</v>
      </c>
      <c r="E4" s="28">
        <f>+'SIM_離脱防止＋サンクスLINE'!J51</f>
        <v>265000</v>
      </c>
      <c r="F4" s="28"/>
    </row>
    <row r="5" spans="1:25" x14ac:dyDescent="0.55000000000000004">
      <c r="A5" s="85" t="s">
        <v>138</v>
      </c>
      <c r="B5" s="7"/>
      <c r="C5" s="86" t="str">
        <f>+'SIM_離脱防止＋サンクスLINE'!D25</f>
        <v>--</v>
      </c>
      <c r="D5" s="28">
        <f>+'SIM_離脱防止＋サンクスLINE'!G61</f>
        <v>265000</v>
      </c>
      <c r="E5" s="28">
        <f>+'SIM_離脱防止＋サンクスLINE'!J61</f>
        <v>265000</v>
      </c>
      <c r="F5" s="27"/>
    </row>
    <row r="6" spans="1:25" x14ac:dyDescent="0.55000000000000004">
      <c r="A6" s="85" t="s">
        <v>76</v>
      </c>
      <c r="B6" s="7"/>
      <c r="C6" s="117">
        <f>+'SIM_離脱防止＋サンクスLINE'!D28</f>
        <v>417</v>
      </c>
      <c r="D6" s="87">
        <f>+'SIM_離脱防止＋サンクスLINE'!G28</f>
        <v>950.30908260000001</v>
      </c>
      <c r="E6" s="87">
        <f>+'SIM_離脱防止＋サンクスLINE'!J28</f>
        <v>1492.6969237741027</v>
      </c>
      <c r="F6" s="10"/>
    </row>
    <row r="7" spans="1:25" x14ac:dyDescent="0.55000000000000004">
      <c r="A7" s="85" t="s">
        <v>77</v>
      </c>
      <c r="B7" s="7"/>
      <c r="C7" s="88">
        <f>+'SIM_離脱防止＋サンクスLINE'!D27</f>
        <v>0.28000000000000003</v>
      </c>
      <c r="D7" s="89">
        <f>+'SIM_離脱防止＋サンクスLINE'!G27</f>
        <v>0.29199999999999998</v>
      </c>
      <c r="E7" s="89">
        <f>+'SIM_離脱防止＋サンクスLINE'!J27</f>
        <v>0.31</v>
      </c>
      <c r="F7" s="89"/>
    </row>
    <row r="8" spans="1:25" x14ac:dyDescent="0.55000000000000004">
      <c r="A8" s="85" t="s">
        <v>78</v>
      </c>
      <c r="B8" s="7"/>
      <c r="C8" s="117">
        <f>+'SIM_離脱防止＋サンクスLINE'!D29</f>
        <v>300.24</v>
      </c>
      <c r="D8" s="10">
        <f>+'SIM_離脱防止＋サンクスLINE'!G29</f>
        <v>672.81883048079999</v>
      </c>
      <c r="E8" s="10">
        <f>+'SIM_離脱防止＋サンクスLINE'!J29</f>
        <v>1029.9608774041308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+'SIM_離脱防止＋サンクスLINE'!D34</f>
        <v>0</v>
      </c>
      <c r="D10" s="10">
        <f>+'SIM_離脱防止＋サンクスLINE'!G34</f>
        <v>3045.6855705385601</v>
      </c>
      <c r="E10" s="10">
        <f>+'SIM_離脱防止＋サンクスLINE'!J34</f>
        <v>3546.3932701037884</v>
      </c>
      <c r="F10" s="10"/>
    </row>
    <row r="11" spans="1:25" x14ac:dyDescent="0.55000000000000004">
      <c r="A11" s="85" t="s">
        <v>81</v>
      </c>
      <c r="B11" s="7"/>
      <c r="C11" s="117">
        <f>+'SIM_離脱防止＋サンクスLINE'!D35</f>
        <v>0</v>
      </c>
      <c r="D11" s="10">
        <f>+'SIM_離脱防止＋サンクスLINE'!G35</f>
        <v>737.13745139158164</v>
      </c>
      <c r="E11" s="10">
        <f>+'SIM_離脱防止＋サンクスLINE'!J35</f>
        <v>854.8178999627321</v>
      </c>
      <c r="F11" s="10"/>
    </row>
    <row r="12" spans="1:25" x14ac:dyDescent="0.55000000000000004">
      <c r="A12" s="85" t="s">
        <v>144</v>
      </c>
      <c r="B12" s="7"/>
      <c r="C12" s="28">
        <f>+IFERROR(C5/C11,0)</f>
        <v>0</v>
      </c>
      <c r="D12" s="28">
        <f>+D4/D11</f>
        <v>359.49876037329011</v>
      </c>
      <c r="E12" s="28">
        <f t="shared" ref="E12" si="0">+E4/E11</f>
        <v>310.0075466500565</v>
      </c>
      <c r="F12" s="28"/>
    </row>
    <row r="13" spans="1:25" x14ac:dyDescent="0.55000000000000004">
      <c r="A13" s="85" t="s">
        <v>145</v>
      </c>
      <c r="B13" s="7"/>
      <c r="C13" s="28">
        <f>+IFERROR(C6/C12,0)</f>
        <v>0</v>
      </c>
      <c r="D13" s="28">
        <f>+D5/D11</f>
        <v>359.49876037329011</v>
      </c>
      <c r="E13" s="28">
        <f t="shared" ref="E13" si="1">+E5/E11</f>
        <v>310.0075466500565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191</v>
      </c>
      <c r="B15" s="7"/>
      <c r="C15" s="87">
        <f>+'SIM_離脱防止＋サンクスLINE'!D16</f>
        <v>35</v>
      </c>
      <c r="D15" s="87">
        <f>+'SIM_離脱防止＋サンクスLINE'!G16</f>
        <v>35</v>
      </c>
      <c r="E15" s="87">
        <f>+'SIM_離脱防止＋サンクスLINE'!J16</f>
        <v>35</v>
      </c>
      <c r="F15" s="87"/>
      <c r="R15" s="5" t="s">
        <v>58</v>
      </c>
    </row>
    <row r="16" spans="1:25" x14ac:dyDescent="0.55000000000000004">
      <c r="A16" s="85" t="s">
        <v>192</v>
      </c>
      <c r="B16" s="7"/>
      <c r="C16" s="87">
        <f>+C17</f>
        <v>0</v>
      </c>
      <c r="D16" s="87">
        <f>+D17</f>
        <v>10</v>
      </c>
      <c r="E16" s="87">
        <f>+E17</f>
        <v>16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193</v>
      </c>
      <c r="B17" s="7"/>
      <c r="C17" s="87">
        <f>+'SIM_離脱防止＋サンクスLINE'!D36</f>
        <v>0</v>
      </c>
      <c r="D17" s="87">
        <f>+'SIM_離脱防止＋サンクスLINE'!G36</f>
        <v>10</v>
      </c>
      <c r="E17" s="87">
        <f>+'SIM_離脱防止＋サンクスLINE'!J36</f>
        <v>16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194</v>
      </c>
      <c r="B18" s="7"/>
      <c r="C18" s="87">
        <f>+'SIM_離脱防止＋サンクスLINE'!D37</f>
        <v>0</v>
      </c>
      <c r="D18" s="87">
        <f>+'SIM_離脱防止＋サンクスLINE'!G37</f>
        <v>5</v>
      </c>
      <c r="E18" s="87">
        <f>+'SIM_離脱防止＋サンクスLINE'!J37</f>
        <v>9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+'SIM_離脱防止＋サンクスLINE'!D38</f>
        <v>0</v>
      </c>
      <c r="D19" s="87">
        <f>+'SIM_離脱防止＋サンクスLINE'!G38</f>
        <v>0</v>
      </c>
      <c r="E19" s="87">
        <f>+'SIM_離脱防止＋サンクスLINE'!J38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+'SIM_離脱防止＋サンクスLINE'!D39</f>
        <v>0</v>
      </c>
      <c r="D20" s="87">
        <f>+'SIM_離脱防止＋サンクスLINE'!G39</f>
        <v>0</v>
      </c>
      <c r="E20" s="87">
        <f>+'SIM_離脱防止＋サンクスLINE'!J39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139</v>
      </c>
      <c r="B22" s="7"/>
      <c r="C22" s="90" t="str">
        <f>+IFERROR(C4/C16,"--")</f>
        <v>--</v>
      </c>
      <c r="D22" s="90">
        <f t="shared" ref="D22:E22" si="2">+IFERROR(D4/D16,"--")</f>
        <v>26500</v>
      </c>
      <c r="E22" s="90">
        <f t="shared" si="2"/>
        <v>16562.5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140</v>
      </c>
      <c r="B23" s="7"/>
      <c r="C23" s="90" t="str">
        <f>+IFERROR(C5/C16,"--")</f>
        <v>--</v>
      </c>
      <c r="D23" s="90">
        <f t="shared" ref="D23" si="3">+IFERROR(D5/D16,"--")</f>
        <v>26500</v>
      </c>
      <c r="E23" s="90">
        <f t="shared" ref="E23" si="4">+IFERROR(E5/E16,"--")</f>
        <v>16562.5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146</v>
      </c>
      <c r="B25" s="7"/>
      <c r="C25" s="10">
        <f>+'SIM_離脱防止＋サンクスLINE'!E68+C29*C30</f>
        <v>5000</v>
      </c>
      <c r="D25" s="10">
        <f>+'SIM_離脱防止＋サンクスLINE'!G68+D29*D30</f>
        <v>5000</v>
      </c>
      <c r="E25" s="10">
        <f>+'SIM_離脱防止＋サンクスLINE'!J68+E29*E30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143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141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134</v>
      </c>
      <c r="D35" s="94" t="s">
        <v>135</v>
      </c>
      <c r="E35" s="94" t="s">
        <v>136</v>
      </c>
      <c r="F35" s="94" t="s">
        <v>136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2026-10-16T03:12:53Z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
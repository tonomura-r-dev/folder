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離脱防止＋サンクスLINE" sheetId="1" r:id="rId1"/>
    <sheet name="SIM_比較" sheetId="2" r:id="rId2"/>
    <sheet name="SIM考え方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<sst xmlns="http://schemas.openxmlformats.org/spreadsheetml/2006/main" count="278" uniqueCount="195">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</sst>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46311</v>
      </c>
    </row>
    <row r="4" spans="1:25" ht="45.75" customHeight="1" x14ac:dyDescent="0.4">
      <c r="A4" s="56" t="inlineStr">
        <is>
          <t xml:space="preserve">タナカホーム株式会社御中_LINEOA施策提案【SIM】（離脱防止＋サイトのボタン＋サンクスLINE）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来場予約（LINE経由）</t>
        </is>
      </c>
      <c r="D8" s="33">
        <v>0</v>
      </c>
      <c r="G8" s="143" t="s">
        <v>67</v>
      </c>
      <c r="H8" s="144">
        <v>13228</v>
      </c>
      <c r="I8" s="145"/>
      <c r="J8" s="145" t="s">
        <v>78</v>
      </c>
      <c r="K8" s="152">
        <v>0</v>
      </c>
      <c r="N8" s="69" t="inlineStr">
        <is>
          <t xml:space="preserve">サイトUU 13,228／友だち417人（2026-10-15〜16 殿村さん）。CVは来場予約（資料の軸＝資料請求の時点から来場・契約まで追う）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資料請求（LINE経由・参考）</t>
        </is>
      </c>
      <c r="D9" s="33">
        <v>0</v>
      </c>
      <c r="G9" s="146" t="s">
        <v>177</v>
      </c>
      <c r="H9" s="147">
        <v>0</v>
      </c>
      <c r="I9" s="148"/>
      <c r="J9" s="139"/>
      <c r="K9" s="140"/>
      <c r="N9" s="155" t="inlineStr">
        <is>
          <t xml:space="preserve">資料請求（LINE経由）は参考。合計CV・CVR・CPAには入れない</t>
        </is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来場予約（月）</t>
        </is>
      </c>
      <c r="H10" s="147">
        <v>35</v>
      </c>
      <c r="I10" s="148" t="s">
        <v>186</v>
      </c>
      <c r="J10" s="139"/>
      <c r="K10" s="140"/>
      <c r="N10" s="155" t="inlineStr">
        <is>
          <t xml:space="preserve">来場予約 月35件（議事録の現状35〜40件の下限）・資料請求 月8件（自社サイトは月一桁・仮に8件）＝サンクスLINEの母数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inlineStr">
        <is>
          <t xml:space="preserve">資料請求（月）</t>
        </is>
      </c>
      <c r="H11" s="150">
        <v>8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inlineStr">
        <is>
          <t xml:space="preserve">友だち追加広告（CPF）は入れていない。友だちを月500人規模にするなら、LINE広告で月300人強（1人200円で月6〜7万円）が別に要る</t>
        </is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s">
        <v>5</v>
      </c>
      <c r="C23" s="17"/>
      <c r="D23" s="44" t="s">
        <v>22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4">F23*1.01</f>
      </c>
      <c r="H23" s="63">
        <f t="shared" si="4"/>
      </c>
      <c r="I23" s="63">
        <f t="shared" si="4"/>
      </c>
      <c r="J23" s="63">
        <f t="shared" si="4"/>
      </c>
      <c r="K23" s="11"/>
      <c r="L23" s="7"/>
      <c r="N23" s="69" t="inlineStr">
        <is>
          <t xml:space="preserve">離脱防止＝UU×表示55%×クリック12%×追加12%（FMTの式）＝月約105人。今の来場特典のポップアップに加えて、来場前の方向けに情報で追加してもらう案内に作り直す想定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+IF(E19=FALSE,0,SUM(H10:H11)*0.15)</f>
      </c>
      <c r="F24" s="63">
        <f>E24*1.01</f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inlineStr">
        <is>
          <t xml:space="preserve">サンクスLINE誘導＝（来場予約＋資料請求）×15%（FMTの式）＝月約6人。資料請求・来場予約の完了ページからLINEへ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サイトのLINEボタン＝UU×0.5%（FMTのP15）＝月約66人。今はサイトにLINEの導線が無いので新しく置く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0.28</v>
      </c>
      <c r="E27" s="47">
        <v>0.28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inlineStr">
        <is>
          <t xml:space="preserve">ブロック率：28%（殿村さんの表）から前月の1.02倍ずつ上昇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417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inlineStr">
        <is>
          <t xml:space="preserve">企画配信 月4本（有効な友だち×80%。4か月目からは反応しない方を外してさらに8割）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inlineStr">
        <is>
          <t xml:space="preserve">ステップ配信5通（会社の特長→費用・住宅ローン→断熱性能・間取り→ルームツアー→見学会・来場予約）。対象＝その月の新しい友だち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+E26*E32*$P$26*$P$27*$P$36</f>
      </c>
      <c r="F33" s="63">
        <f>+F26*F32*$P$26*$P$27*$P$36</f>
      </c>
      <c r="G33" s="63">
        <f>+G26*G32*$P$26*$P$27*$P$36</f>
      </c>
      <c r="H33" s="63">
        <f>+H26*H32*$P$26*$P$27*$P$36</f>
      </c>
      <c r="I33" s="63">
        <f>+I26*I32*$P$26*$P$27*$P$36</f>
      </c>
      <c r="J33" s="63">
        <f>+J26*J32*$P$26*$P$27*$P$36</f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f>ROUND(E35*0.004,0)</f>
      </c>
      <c r="F36" s="111">
        <f>ROUND(F35*0.005,0)</f>
      </c>
      <c r="G36" s="111">
        <f>ROUND(G35*0.006,0)</f>
      </c>
      <c r="H36" s="111">
        <f>ROUND(H35*0.007,0)</f>
      </c>
      <c r="I36" s="111">
        <f>ROUND(I35*0.008,0)</f>
      </c>
      <c r="J36" s="111">
        <f>ROUND(J35*0.008,0)</f>
      </c>
      <c r="K36" s="115">
        <f>SUM(E36:J36)</f>
      </c>
      <c r="L36" s="7"/>
      <c r="N36" s="69" t="inlineStr">
        <is>
          <t xml:space="preserve">来場予約＝クリック×0.4〜0.8%（運用が育つ想定で月ごとに上げる）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f>ROUND(E35*0.006,0)</f>
      </c>
      <c r="F37" s="111">
        <f>ROUND(F35*0.007,0)</f>
      </c>
      <c r="G37" s="111">
        <f>ROUND(G35*0.008,0)</f>
      </c>
      <c r="H37" s="111">
        <f>ROUND(H35*0.009,0)</f>
      </c>
      <c r="I37" s="111">
        <f>ROUND(I35*0.01,0)</f>
      </c>
      <c r="J37" s="111">
        <f>ROUND(J35*0.01,0)</f>
      </c>
      <c r="K37" s="115">
        <f>SUM(E37:J37)</f>
      </c>
      <c r="L37" s="7"/>
      <c r="N37" s="69" t="inlineStr">
        <is>
          <t xml:space="preserve">資料請求＝クリック×0.6〜1.0%（参考）</t>
        </is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>+D36</f>
      </c>
      <c r="E40" s="10">
        <f>+E36</f>
      </c>
      <c r="F40" s="10">
        <f>+F36</f>
      </c>
      <c r="G40" s="10">
        <f>+G36</f>
      </c>
      <c r="H40" s="10">
        <f>+H36</f>
      </c>
      <c r="I40" s="10">
        <f>+I36</f>
      </c>
      <c r="J40" s="10">
        <f>+J36</f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+IFERROR(E36/E35,0)</f>
      </c>
      <c r="F41" s="18">
        <f>+IFERROR(F36/F35,0)</f>
      </c>
      <c r="G41" s="18">
        <f>+IFERROR(G36/G35,0)</f>
      </c>
      <c r="H41" s="18">
        <f>+IFERROR(H36/H35,0)</f>
      </c>
      <c r="I41" s="18">
        <f>+IFERROR(I36/I35,0)</f>
      </c>
      <c r="J41" s="18">
        <f>+IFERROR(J36/J35,0)</f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SUM(E65:E67)/(E28-D28)</f>
      </c>
      <c r="F46" s="28">
        <f>SUM(F65:F67)/(F28-E28)</f>
      </c>
      <c r="G46" s="28">
        <f>SUM(G65:G67)/(G28-F28)</f>
      </c>
      <c r="H46" s="28">
        <f>SUM(H65:H67)/(H28-G28)</f>
      </c>
      <c r="I46" s="28">
        <f>SUM(I65:I67)/(I28-H28)</f>
      </c>
      <c r="J46" s="28">
        <f>SUM(J65:J67)/(J28-I28)</f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>+IFERROR(E36/E35,0)</f>
      </c>
      <c r="F48" s="32">
        <f>+IFERROR(F36/F35,0)</f>
      </c>
      <c r="G48" s="32">
        <f>+IFERROR(G36/G35,0)</f>
      </c>
      <c r="H48" s="32">
        <f>+IFERROR(H36/H35,0)</f>
      </c>
      <c r="I48" s="32">
        <f>+IFERROR(I36/I35,0)</f>
      </c>
      <c r="J48" s="32">
        <f>+IFERROR(J36/J35,0)</f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+IFERROR(E51/E36,0)</f>
      </c>
      <c r="F49" s="28">
        <f>+IFERROR(F51/F36,0)</f>
      </c>
      <c r="G49" s="28">
        <f>+IFERROR(G51/G36,0)</f>
      </c>
      <c r="H49" s="28">
        <f>+IFERROR(H51/H36,0)</f>
      </c>
      <c r="I49" s="28">
        <f>+IFERROR(I51/I36,0)</f>
      </c>
      <c r="J49" s="28">
        <f>+IFERROR(J51/J36,0)</f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SUM(E65:E67)/(E28-D28)</f>
      </c>
      <c r="F56" s="28">
        <f>SUM(F65:F67)/(F28-E28)</f>
      </c>
      <c r="G56" s="28">
        <f>SUM(G65:G67)/(G28-F28)</f>
      </c>
      <c r="H56" s="28">
        <f>SUM(H65:H67)/(H28-G28)</f>
      </c>
      <c r="I56" s="28">
        <f>SUM(I65:I67)/(I28-H28)</f>
      </c>
      <c r="J56" s="28">
        <f>SUM(J65:J67)/(J28-I28)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>+IFERROR(E36/E35,0)</f>
      </c>
      <c r="F58" s="32">
        <f>+IFERROR(F36/F35,0)</f>
      </c>
      <c r="G58" s="32">
        <f>+IFERROR(G36/G35,0)</f>
      </c>
      <c r="H58" s="32">
        <f>+IFERROR(H36/H35,0)</f>
      </c>
      <c r="I58" s="32">
        <f>+IFERROR(I36/I35,0)</f>
      </c>
      <c r="J58" s="32">
        <f>+IFERROR(J36/J35,0)</f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+IFERROR(E55/E36,0)</f>
      </c>
      <c r="F59" s="28">
        <f>+IFERROR(F55/F36,0)</f>
      </c>
      <c r="G59" s="28">
        <f>+IFERROR(G55/G36,0)</f>
      </c>
      <c r="H59" s="28">
        <f>+IFERROR(H55/H36,0)</f>
      </c>
      <c r="I59" s="28">
        <f>+IFERROR(I55/I36,0)</f>
      </c>
      <c r="J59" s="28">
        <f>+IFERROR(J55/J36,0)</f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inlineStr">
        <is>
          <t xml:space="preserve">従量課金は54行（新料金テーブル）で計算。65行の旧式は二重計上になるため0</t>
        </is>
      </c>
    </row>
    <row r="66" spans="1:16" x14ac:dyDescent="0.4">
      <c r="A66" s="53" t="s">
        <v>51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離脱防止：初期1.5万・月3万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サンクスLINE誘導：初期15万・月3万〜。完了ページの件数が月40件ほどなので、1人あたりは約5,000円（目安の月100件を下回る）</t>
        </is>
      </c>
    </row>
    <row r="68" spans="1:16" x14ac:dyDescent="0.4">
      <c r="A68" s="15"/>
      <c r="B68" s="6" t="s">
        <v>49</v>
      </c>
      <c r="C68" s="90">
        <v>0</v>
      </c>
      <c r="D68" s="51">
        <v>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アカウント費：FMTの式。初期は0（アカウントは既にある）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</t>
        </is>
      </c>
      <c r="C69" s="90">
        <v>0</v>
      </c>
      <c r="D69" s="51">
        <v>100000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inlineStr">
        <is>
          <t xml:space="preserve">LINE運用コンサル：初期10万円〜・月額20万円〜（費用目安）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+'SIM_離脱防止＋サンクスLINE'!D24</f>
      </c>
      <c r="D4" s="28">
        <f>+'SIM_離脱防止＋サンクスLINE'!G51</f>
      </c>
      <c r="E4" s="28">
        <f>+'SIM_離脱防止＋サンクスLINE'!J51</f>
      </c>
      <c r="F4" s="28"/>
    </row>
    <row r="5" spans="1:25" x14ac:dyDescent="0.4">
      <c r="A5" s="85" t="s">
        <v>167</v>
      </c>
      <c r="B5" s="7"/>
      <c r="C5" s="86">
        <f>+'SIM_離脱防止＋サンクスLINE'!D25</f>
      </c>
      <c r="D5" s="28">
        <f>+'SIM_離脱防止＋サンクスLINE'!G61</f>
      </c>
      <c r="E5" s="28">
        <f>+'SIM_離脱防止＋サンクスLINE'!J61</f>
      </c>
      <c r="F5" s="27"/>
    </row>
    <row r="6" spans="1:25" x14ac:dyDescent="0.4">
      <c r="A6" s="85" t="s">
        <v>83</v>
      </c>
      <c r="B6" s="7"/>
      <c r="C6" s="117">
        <f>+'SIM_離脱防止＋サンクスLINE'!D28</f>
      </c>
      <c r="D6" s="87">
        <f>+'SIM_離脱防止＋サンクスLINE'!G28</f>
      </c>
      <c r="E6" s="87">
        <f>+'SIM_離脱防止＋サンクスLINE'!J28</f>
      </c>
      <c r="F6" s="10"/>
    </row>
    <row r="7" spans="1:25" x14ac:dyDescent="0.4">
      <c r="A7" s="85" t="s">
        <v>84</v>
      </c>
      <c r="B7" s="7"/>
      <c r="C7" s="88">
        <f>+'SIM_離脱防止＋サンクスLINE'!D27</f>
      </c>
      <c r="D7" s="89">
        <f>+'SIM_離脱防止＋サンクスLINE'!G27</f>
      </c>
      <c r="E7" s="89">
        <f>+'SIM_離脱防止＋サンクスLINE'!J27</f>
      </c>
      <c r="F7" s="89"/>
    </row>
    <row r="8" spans="1:25" x14ac:dyDescent="0.4">
      <c r="A8" s="85" t="s">
        <v>85</v>
      </c>
      <c r="B8" s="7"/>
      <c r="C8" s="117">
        <f>+'SIM_離脱防止＋サンクスLINE'!D29</f>
      </c>
      <c r="D8" s="10">
        <f>+'SIM_離脱防止＋サンクスLINE'!G29</f>
      </c>
      <c r="E8" s="10">
        <f>+'SIM_離脱防止＋サンクスLINE'!J29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+'SIM_離脱防止＋サンクスLINE'!D34</f>
      </c>
      <c r="D10" s="10">
        <f>+'SIM_離脱防止＋サンクスLINE'!G34</f>
      </c>
      <c r="E10" s="10">
        <f>+'SIM_離脱防止＋サンクスLINE'!J34</f>
      </c>
      <c r="F10" s="10"/>
    </row>
    <row r="11" spans="1:25" x14ac:dyDescent="0.4">
      <c r="A11" s="85" t="s">
        <v>90</v>
      </c>
      <c r="B11" s="7"/>
      <c r="C11" s="117">
        <f>+'SIM_離脱防止＋サンクスLINE'!D35</f>
      </c>
      <c r="D11" s="10">
        <f>+'SIM_離脱防止＋サンクスLINE'!G35</f>
      </c>
      <c r="E11" s="10">
        <f>+'SIM_離脱防止＋サンクスLINE'!J35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来場予約（もともと・月）</t>
        </is>
      </c>
      <c r="B15" s="7"/>
      <c r="C15" s="87">
        <f>+'SIM_離脱防止＋サンクスLINE'!D16</f>
      </c>
      <c r="D15" s="87">
        <f>+'SIM_離脱防止＋サンクスLINE'!G16</f>
      </c>
      <c r="E15" s="87">
        <f>+'SIM_離脱防止＋サンクスLINE'!J16</f>
      </c>
      <c r="F15" s="87"/>
      <c r="R15" s="5" t="s">
        <v>59</v>
      </c>
    </row>
    <row r="16" spans="1:25" x14ac:dyDescent="0.4">
      <c r="A16" s="85" t="inlineStr">
        <is>
          <t xml:space="preserve">来場予約（+LINEOA施策）</t>
        </is>
      </c>
      <c r="B16" s="7"/>
      <c r="C16" s="87">
        <f>+C17</f>
      </c>
      <c r="D16" s="87">
        <f>+D17</f>
      </c>
      <c r="E16" s="87">
        <f>+E17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CV①_来場予約（LINE経由）</t>
        </is>
      </c>
      <c r="B17" s="7"/>
      <c r="C17" s="87">
        <f>+'SIM_離脱防止＋サンクスLINE'!D36</f>
      </c>
      <c r="D17" s="87">
        <f>+'SIM_離脱防止＋サンクスLINE'!G36</f>
      </c>
      <c r="E17" s="87">
        <f>+'SIM_離脱防止＋サンクスLINE'!J36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参考_資料請求（LINE経由）</t>
        </is>
      </c>
      <c r="B18" s="7"/>
      <c r="C18" s="87">
        <f>+'SIM_離脱防止＋サンクスLINE'!D37</f>
      </c>
      <c r="D18" s="87">
        <f>+'SIM_離脱防止＋サンクスLINE'!G37</f>
      </c>
      <c r="E18" s="87">
        <f>+'SIM_離脱防止＋サンクスLINE'!J37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+'SIM_離脱防止＋サンクスLINE'!D38</f>
      </c>
      <c r="D19" s="87">
        <f>+'SIM_離脱防止＋サンクスLINE'!G38</f>
      </c>
      <c r="E19" s="87">
        <f>+'SIM_離脱防止＋サンクスLINE'!J38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+'SIM_離脱防止＋サンクスLINE'!D39</f>
      </c>
      <c r="D20" s="87">
        <f>+'SIM_離脱防止＋サンクスLINE'!G39</f>
      </c>
      <c r="E20" s="87">
        <f>+'SIM_離脱防止＋サンクスLINE'!J39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+'SIM_離脱防止＋サンクスLINE'!E68+C29*C30</f>
      </c>
      <c r="D25" s="10">
        <f>+'SIM_離脱防止＋サンクスLINE'!G68+D29*D30</f>
      </c>
      <c r="E25" s="10">
        <f>+'SIM_離脱防止＋サンクスLINE'!J68+E29*E30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SIM_離脱防止＋サンクスLINE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
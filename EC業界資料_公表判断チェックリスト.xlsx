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" sheetId="1" state="visible" r:id="rId3"/>
    <sheet name="判定一覧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<sst xmlns="http://schemas.openxmlformats.org/spreadsheetml/2006/main" count="214" uniqueCount="124">
  <si>
    <r>
      <rPr>
        <b val="true"/>
        <sz val="14"/>
        <color rgb="FF1F285A"/>
        <rFont val="Arial"/>
        <family val="0"/>
        <charset val="1"/>
      </rPr>
      <t xml:space="preserve">EC</t>
    </r>
    <r>
      <rPr>
        <b val="true"/>
        <sz val="14"/>
        <color rgb="FF1F285A"/>
        <rFont val="WenQuanYi Zen Hei"/>
        <family val="2"/>
      </rPr>
      <t xml:space="preserve">業界</t>
    </r>
    <r>
      <rPr>
        <b val="true"/>
        <sz val="14"/>
        <color rgb="FF1F285A"/>
        <rFont val="Arial"/>
        <family val="0"/>
        <charset val="1"/>
      </rPr>
      <t xml:space="preserve">_LINEOA</t>
    </r>
    <r>
      <rPr>
        <b val="true"/>
        <sz val="14"/>
        <color rgb="FF1F285A"/>
        <rFont val="WenQuanYi Zen Hei"/>
        <family val="2"/>
      </rPr>
      <t xml:space="preserve">施策提案（</t>
    </r>
    <r>
      <rPr>
        <b val="true"/>
        <sz val="14"/>
        <color rgb="FF1F285A"/>
        <rFont val="Arial"/>
        <family val="0"/>
        <charset val="1"/>
      </rPr>
      <t xml:space="preserve">36</t>
    </r>
    <r>
      <rPr>
        <b val="true"/>
        <sz val="14"/>
        <color rgb="FF1F285A"/>
        <rFont val="WenQuanYi Zen Hei"/>
        <family val="2"/>
      </rPr>
      <t xml:space="preserve">枚）｜公表判断チェックリスト</t>
    </r>
  </si>
  <si>
    <r>
      <rPr>
        <sz val="9"/>
        <color rgb="FF7F7F7F"/>
        <rFont val="WenQuanYi Zen Hei"/>
        <family val="2"/>
      </rPr>
      <t xml:space="preserve">作成日：</t>
    </r>
    <r>
      <rPr>
        <sz val="9"/>
        <color rgb="FF7F7F7F"/>
        <rFont val="Arial"/>
        <family val="0"/>
        <charset val="1"/>
      </rPr>
      <t xml:space="preserve">2026-08-31</t>
    </r>
    <r>
      <rPr>
        <sz val="9"/>
        <color rgb="FF7F7F7F"/>
        <rFont val="WenQuanYi Zen Hei"/>
        <family val="2"/>
      </rPr>
      <t xml:space="preserve">　対象ファイル：</t>
    </r>
    <r>
      <rPr>
        <sz val="9"/>
        <color rgb="FF7F7F7F"/>
        <rFont val="Arial"/>
        <family val="0"/>
        <charset val="1"/>
      </rPr>
      <t xml:space="preserve">EC</t>
    </r>
    <r>
      <rPr>
        <sz val="9"/>
        <color rgb="FF7F7F7F"/>
        <rFont val="WenQuanYi Zen Hei"/>
        <family val="2"/>
      </rPr>
      <t xml:space="preserve">業界</t>
    </r>
    <r>
      <rPr>
        <sz val="9"/>
        <color rgb="FF7F7F7F"/>
        <rFont val="Arial"/>
        <family val="0"/>
        <charset val="1"/>
      </rPr>
      <t xml:space="preserve">_LINEOA</t>
    </r>
    <r>
      <rPr>
        <sz val="9"/>
        <color rgb="FF7F7F7F"/>
        <rFont val="WenQuanYi Zen Hei"/>
        <family val="2"/>
      </rPr>
      <t xml:space="preserve">施策提案</t>
    </r>
    <r>
      <rPr>
        <sz val="9"/>
        <color rgb="FF7F7F7F"/>
        <rFont val="Arial"/>
        <family val="0"/>
        <charset val="1"/>
      </rPr>
      <t xml:space="preserve">.pptx</t>
    </r>
  </si>
  <si>
    <r>
      <rPr>
        <b val="true"/>
        <sz val="10"/>
        <color rgb="FF1F285A"/>
        <rFont val="WenQuanYi Zen Hei"/>
        <family val="2"/>
      </rPr>
      <t xml:space="preserve">背骨（この資料が言っていること・</t>
    </r>
    <r>
      <rPr>
        <b val="true"/>
        <sz val="10"/>
        <color rgb="FF1F285A"/>
        <rFont val="Arial"/>
        <family val="0"/>
        <charset val="1"/>
      </rPr>
      <t xml:space="preserve">1</t>
    </r>
    <r>
      <rPr>
        <b val="true"/>
        <sz val="10"/>
        <color rgb="FF1F285A"/>
        <rFont val="WenQuanYi Zen Hei"/>
        <family val="2"/>
      </rPr>
      <t xml:space="preserve">文）</t>
    </r>
  </si>
  <si>
    <r>
      <rPr>
        <sz val="10"/>
        <rFont val="WenQuanYi Zen Hei"/>
        <family val="2"/>
      </rPr>
      <t xml:space="preserve">新規獲得の単価は上がり続けている。もう「集める」では勝てない。</t>
    </r>
    <r>
      <rPr>
        <sz val="10"/>
        <rFont val="Arial"/>
        <family val="0"/>
        <charset val="1"/>
      </rPr>
      <t xml:space="preserve">Web</t>
    </r>
    <r>
      <rPr>
        <sz val="10"/>
        <rFont val="WenQuanYi Zen Hei"/>
        <family val="2"/>
      </rPr>
      <t xml:space="preserve">マーケでできるのは、いま取りこぼしている購入と、一度きりで終わっている顧客を、追加の広告費ゼロで拾い直すこと。勝負は</t>
    </r>
    <r>
      <rPr>
        <sz val="10"/>
        <rFont val="Arial"/>
        <family val="0"/>
        <charset val="1"/>
      </rPr>
      <t xml:space="preserve">CPO</t>
    </r>
    <r>
      <rPr>
        <sz val="10"/>
        <rFont val="WenQuanYi Zen Hei"/>
        <family val="2"/>
      </rPr>
      <t xml:space="preserve">ではなく、</t>
    </r>
    <r>
      <rPr>
        <sz val="10"/>
        <rFont val="Arial"/>
        <family val="0"/>
        <charset val="1"/>
      </rPr>
      <t xml:space="preserve">LTV÷CPO</t>
    </r>
    <r>
      <rPr>
        <sz val="10"/>
        <rFont val="WenQuanYi Zen Hei"/>
        <family val="2"/>
      </rPr>
      <t xml:space="preserve">。</t>
    </r>
  </si>
  <si>
    <t xml:space="preserve">判定サマリ</t>
  </si>
  <si>
    <t xml:space="preserve">緑（そのまま公表可）</t>
  </si>
  <si>
    <t xml:space="preserve">枚</t>
  </si>
  <si>
    <t xml:space="preserve">黄（未取得・仮説明記のうえ公表可）</t>
  </si>
  <si>
    <t xml:space="preserve">赤（出典確定まで公表不可）</t>
  </si>
  <si>
    <t xml:space="preserve">合計</t>
  </si>
  <si>
    <t xml:space="preserve">納品条件</t>
  </si>
  <si>
    <r>
      <rPr>
        <b val="true"/>
        <sz val="10"/>
        <color rgb="FF1F285A"/>
        <rFont val="WenQuanYi Zen Hei"/>
        <family val="2"/>
      </rPr>
      <t xml:space="preserve">★ 上司確認が必要な</t>
    </r>
    <r>
      <rPr>
        <b val="true"/>
        <sz val="10"/>
        <color rgb="FF1F285A"/>
        <rFont val="Arial"/>
        <family val="0"/>
        <charset val="1"/>
      </rPr>
      <t xml:space="preserve">3</t>
    </r>
    <r>
      <rPr>
        <b val="true"/>
        <sz val="10"/>
        <color rgb="FF1F285A"/>
        <rFont val="WenQuanYi Zen Hei"/>
        <family val="2"/>
      </rPr>
      <t xml:space="preserve">点</t>
    </r>
  </si>
  <si>
    <r>
      <rPr>
        <sz val="9.5"/>
        <rFont val="Arial"/>
        <family val="0"/>
        <charset val="1"/>
      </rPr>
      <t xml:space="preserve">① DYM</t>
    </r>
    <r>
      <rPr>
        <sz val="9.5"/>
        <rFont val="WenQuanYi Zen Hei"/>
        <family val="2"/>
      </rPr>
      <t xml:space="preserve">社内の</t>
    </r>
    <r>
      <rPr>
        <sz val="9.5"/>
        <rFont val="Arial"/>
        <family val="0"/>
        <charset val="1"/>
      </rPr>
      <t xml:space="preserve">EC</t>
    </r>
    <r>
      <rPr>
        <sz val="9.5"/>
        <rFont val="WenQuanYi Zen Hei"/>
        <family val="2"/>
      </rPr>
      <t xml:space="preserve">広告実績（カート投入／初回購入／定期引上の</t>
    </r>
    <r>
      <rPr>
        <sz val="9.5"/>
        <rFont val="Arial"/>
        <family val="0"/>
        <charset val="1"/>
      </rPr>
      <t xml:space="preserve">CV</t>
    </r>
    <r>
      <rPr>
        <sz val="9.5"/>
        <rFont val="WenQuanYi Zen Hei"/>
        <family val="2"/>
      </rPr>
      <t xml:space="preserve">地点別</t>
    </r>
    <r>
      <rPr>
        <sz val="9.5"/>
        <rFont val="Arial"/>
        <family val="0"/>
        <charset val="1"/>
      </rPr>
      <t xml:space="preserve">CPC</t>
    </r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CVR</t>
    </r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CPO</t>
    </r>
    <r>
      <rPr>
        <sz val="9.5"/>
        <rFont val="WenQuanYi Zen Hei"/>
        <family val="2"/>
      </rPr>
      <t xml:space="preserve">）→ </t>
    </r>
    <r>
      <rPr>
        <sz val="9.5"/>
        <rFont val="Arial"/>
        <family val="0"/>
        <charset val="1"/>
      </rPr>
      <t xml:space="preserve">S8</t>
    </r>
    <r>
      <rPr>
        <sz val="9.5"/>
        <rFont val="WenQuanYi Zen Hei"/>
        <family val="2"/>
      </rPr>
      <t xml:space="preserve">が実測になる</t>
    </r>
  </si>
  <si>
    <r>
      <rPr>
        <sz val="9.5"/>
        <rFont val="WenQuanYi Zen Hei"/>
        <family val="2"/>
      </rPr>
      <t xml:space="preserve">② 出典未確定・仮説の扱い（</t>
    </r>
    <r>
      <rPr>
        <sz val="9.5"/>
        <rFont val="Arial"/>
        <family val="0"/>
        <charset val="1"/>
      </rPr>
      <t xml:space="preserve">S33</t>
    </r>
    <r>
      <rPr>
        <sz val="9.5"/>
        <rFont val="WenQuanYi Zen Hei"/>
        <family val="2"/>
      </rPr>
      <t xml:space="preserve">の</t>
    </r>
    <r>
      <rPr>
        <sz val="9.5"/>
        <rFont val="Arial"/>
        <family val="0"/>
        <charset val="1"/>
      </rPr>
      <t xml:space="preserve">D</t>
    </r>
    <r>
      <rPr>
        <sz val="9.5"/>
        <rFont val="WenQuanYi Zen Hei"/>
        <family val="2"/>
      </rPr>
      <t xml:space="preserve">案「解約」不安）→ </t>
    </r>
    <r>
      <rPr>
        <sz val="9.5"/>
        <rFont val="Arial"/>
        <family val="0"/>
        <charset val="1"/>
      </rPr>
      <t xml:space="preserve">S11</t>
    </r>
    <r>
      <rPr>
        <sz val="9.5"/>
        <rFont val="WenQuanYi Zen Hei"/>
        <family val="2"/>
      </rPr>
      <t xml:space="preserve">のデータで裏付けが取れれば本提案化、取れなければ仮説のまま </t>
    </r>
    <r>
      <rPr>
        <sz val="9.5"/>
        <rFont val="Arial"/>
        <family val="0"/>
        <charset val="1"/>
      </rPr>
      <t xml:space="preserve">or </t>
    </r>
    <r>
      <rPr>
        <sz val="9.5"/>
        <rFont val="WenQuanYi Zen Hei"/>
        <family val="2"/>
      </rPr>
      <t xml:space="preserve">削除</t>
    </r>
  </si>
  <si>
    <r>
      <rPr>
        <sz val="9.5"/>
        <rFont val="WenQuanYi Zen Hei"/>
        <family val="2"/>
      </rPr>
      <t xml:space="preserve">③ 競合</t>
    </r>
    <r>
      <rPr>
        <sz val="9.5"/>
        <rFont val="Arial"/>
        <family val="0"/>
        <charset val="1"/>
      </rPr>
      <t xml:space="preserve">10</t>
    </r>
    <r>
      <rPr>
        <sz val="9.5"/>
        <rFont val="WenQuanYi Zen Hei"/>
        <family val="2"/>
      </rPr>
      <t xml:space="preserve">社・</t>
    </r>
    <r>
      <rPr>
        <sz val="9.5"/>
        <rFont val="Arial"/>
        <family val="0"/>
        <charset val="1"/>
      </rPr>
      <t xml:space="preserve">LY</t>
    </r>
    <r>
      <rPr>
        <sz val="9.5"/>
        <rFont val="WenQuanYi Zen Hei"/>
        <family val="2"/>
      </rPr>
      <t xml:space="preserve">公式</t>
    </r>
    <r>
      <rPr>
        <sz val="9.5"/>
        <rFont val="Arial"/>
        <family val="0"/>
        <charset val="1"/>
      </rPr>
      <t xml:space="preserve">EC</t>
    </r>
    <r>
      <rPr>
        <sz val="9.5"/>
        <rFont val="WenQuanYi Zen Hei"/>
        <family val="2"/>
      </rPr>
      <t xml:space="preserve">事例の実名掲載</t>
    </r>
    <r>
      <rPr>
        <sz val="9.5"/>
        <rFont val="Arial"/>
        <family val="0"/>
        <charset val="1"/>
      </rPr>
      <t xml:space="preserve">OK</t>
    </r>
    <r>
      <rPr>
        <sz val="9.5"/>
        <rFont val="WenQuanYi Zen Hei"/>
        <family val="2"/>
      </rPr>
      <t xml:space="preserve">（</t>
    </r>
    <r>
      <rPr>
        <sz val="9.5"/>
        <rFont val="Arial"/>
        <family val="0"/>
        <charset val="1"/>
      </rPr>
      <t xml:space="preserve">S12</t>
    </r>
    <r>
      <rPr>
        <sz val="9.5"/>
        <rFont val="WenQuanYi Zen Hei"/>
        <family val="2"/>
      </rPr>
      <t xml:space="preserve">／</t>
    </r>
    <r>
      <rPr>
        <sz val="9.5"/>
        <rFont val="Arial"/>
        <family val="0"/>
        <charset val="1"/>
      </rPr>
      <t xml:space="preserve">S35</t>
    </r>
    <r>
      <rPr>
        <sz val="9.5"/>
        <rFont val="WenQuanYi Zen Hei"/>
        <family val="2"/>
      </rPr>
      <t xml:space="preserve">）→ </t>
    </r>
    <r>
      <rPr>
        <sz val="9.5"/>
        <rFont val="Arial"/>
        <family val="0"/>
        <charset val="1"/>
      </rPr>
      <t xml:space="preserve">NG</t>
    </r>
    <r>
      <rPr>
        <sz val="9.5"/>
        <rFont val="WenQuanYi Zen Hei"/>
        <family val="2"/>
      </rPr>
      <t xml:space="preserve">なら「</t>
    </r>
    <r>
      <rPr>
        <sz val="9.5"/>
        <rFont val="Arial"/>
        <family val="0"/>
        <charset val="1"/>
      </rPr>
      <t xml:space="preserve">A</t>
    </r>
    <r>
      <rPr>
        <sz val="9.5"/>
        <rFont val="WenQuanYi Zen Hei"/>
        <family val="2"/>
      </rPr>
      <t xml:space="preserve">社／</t>
    </r>
    <r>
      <rPr>
        <sz val="9.5"/>
        <rFont val="Arial"/>
        <family val="0"/>
        <charset val="1"/>
      </rPr>
      <t xml:space="preserve">B</t>
    </r>
    <r>
      <rPr>
        <sz val="9.5"/>
        <rFont val="WenQuanYi Zen Hei"/>
        <family val="2"/>
      </rPr>
      <t xml:space="preserve">社」表記に変更</t>
    </r>
  </si>
  <si>
    <r>
      <rPr>
        <b val="true"/>
        <sz val="10"/>
        <color rgb="FF1F285A"/>
        <rFont val="WenQuanYi Zen Hei"/>
        <family val="2"/>
      </rPr>
      <t xml:space="preserve">△ データ待ち（人が集める素材・</t>
    </r>
    <r>
      <rPr>
        <b val="true"/>
        <sz val="10"/>
        <color rgb="FF1F285A"/>
        <rFont val="Arial"/>
        <family val="0"/>
        <charset val="1"/>
      </rPr>
      <t xml:space="preserve">5</t>
    </r>
    <r>
      <rPr>
        <b val="true"/>
        <sz val="10"/>
        <color rgb="FF1F285A"/>
        <rFont val="WenQuanYi Zen Hei"/>
        <family val="2"/>
      </rPr>
      <t xml:space="preserve">種に限定）</t>
    </r>
  </si>
  <si>
    <r>
      <rPr>
        <sz val="9.5"/>
        <rFont val="Arial"/>
        <family val="0"/>
        <charset val="1"/>
      </rPr>
      <t xml:space="preserve">1. Google</t>
    </r>
    <r>
      <rPr>
        <sz val="9.5"/>
        <rFont val="WenQuanYi Zen Hei"/>
        <family val="2"/>
      </rPr>
      <t xml:space="preserve">トレンド（福袋／ブラックフライデー／セール／母の日・一語・</t>
    </r>
    <r>
      <rPr>
        <sz val="9.5"/>
        <rFont val="Arial"/>
        <family val="0"/>
        <charset val="1"/>
      </rPr>
      <t xml:space="preserve">5</t>
    </r>
    <r>
      <rPr>
        <sz val="9.5"/>
        <rFont val="WenQuanYi Zen Hei"/>
        <family val="2"/>
      </rPr>
      <t xml:space="preserve">年＋</t>
    </r>
    <r>
      <rPr>
        <sz val="9.5"/>
        <rFont val="Arial"/>
        <family val="0"/>
        <charset val="1"/>
      </rPr>
      <t xml:space="preserve">1</t>
    </r>
    <r>
      <rPr>
        <sz val="9.5"/>
        <rFont val="WenQuanYi Zen Hei"/>
        <family val="2"/>
      </rPr>
      <t xml:space="preserve">年。「セール」は単独グラフ）→ </t>
    </r>
    <r>
      <rPr>
        <sz val="9.5"/>
        <rFont val="Arial"/>
        <family val="0"/>
        <charset val="1"/>
      </rPr>
      <t xml:space="preserve">S10</t>
    </r>
    <r>
      <rPr>
        <sz val="9.5"/>
        <rFont val="WenQuanYi Zen Hei"/>
        <family val="2"/>
      </rPr>
      <t xml:space="preserve">が黄→緑</t>
    </r>
  </si>
  <si>
    <r>
      <rPr>
        <sz val="9.5"/>
        <rFont val="Arial"/>
        <family val="0"/>
        <charset val="1"/>
      </rPr>
      <t xml:space="preserve">2. </t>
    </r>
    <r>
      <rPr>
        <sz val="9.5"/>
        <rFont val="WenQuanYi Zen Hei"/>
        <family val="2"/>
      </rPr>
      <t xml:space="preserve">上司確認</t>
    </r>
    <r>
      <rPr>
        <sz val="9.5"/>
        <rFont val="Arial"/>
        <family val="0"/>
        <charset val="1"/>
      </rPr>
      <t xml:space="preserve">3</t>
    </r>
    <r>
      <rPr>
        <sz val="9.5"/>
        <rFont val="WenQuanYi Zen Hei"/>
        <family val="2"/>
      </rPr>
      <t xml:space="preserve">点セット（上記★）→ </t>
    </r>
    <r>
      <rPr>
        <sz val="9.5"/>
        <rFont val="Arial"/>
        <family val="0"/>
        <charset val="1"/>
      </rPr>
      <t xml:space="preserve">S8</t>
    </r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S12</t>
    </r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S33</t>
    </r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S35</t>
    </r>
    <r>
      <rPr>
        <sz val="9.5"/>
        <rFont val="WenQuanYi Zen Hei"/>
        <family val="2"/>
      </rPr>
      <t xml:space="preserve">が黄→緑</t>
    </r>
  </si>
  <si>
    <r>
      <rPr>
        <sz val="9.5"/>
        <rFont val="Arial"/>
        <family val="0"/>
        <charset val="1"/>
      </rPr>
      <t xml:space="preserve">3. LINE</t>
    </r>
    <r>
      <rPr>
        <sz val="9.5"/>
        <rFont val="WenQuanYi Zen Hei"/>
        <family val="2"/>
      </rPr>
      <t xml:space="preserve">ヤフーの前後検索データ（通販／定期便／解約／口コミ）→ </t>
    </r>
    <r>
      <rPr>
        <sz val="9.5"/>
        <rFont val="Arial"/>
        <family val="0"/>
        <charset val="1"/>
      </rPr>
      <t xml:space="preserve">S11</t>
    </r>
    <r>
      <rPr>
        <sz val="9.5"/>
        <rFont val="WenQuanYi Zen Hei"/>
        <family val="2"/>
      </rPr>
      <t xml:space="preserve">が黄→緑</t>
    </r>
  </si>
  <si>
    <r>
      <rPr>
        <sz val="9.5"/>
        <rFont val="Arial"/>
        <family val="0"/>
        <charset val="1"/>
      </rPr>
      <t xml:space="preserve">4. </t>
    </r>
    <r>
      <rPr>
        <sz val="9.5"/>
        <rFont val="WenQuanYi Zen Hei"/>
        <family val="2"/>
      </rPr>
      <t xml:space="preserve">競合の友だち数実測（</t>
    </r>
    <r>
      <rPr>
        <sz val="9.5"/>
        <rFont val="Arial"/>
        <family val="0"/>
        <charset val="1"/>
      </rPr>
      <t xml:space="preserve">10</t>
    </r>
    <r>
      <rPr>
        <sz val="9.5"/>
        <rFont val="WenQuanYi Zen Hei"/>
        <family val="2"/>
      </rPr>
      <t xml:space="preserve">社。</t>
    </r>
    <r>
      <rPr>
        <sz val="9.5"/>
        <rFont val="Arial"/>
        <family val="0"/>
        <charset val="1"/>
      </rPr>
      <t xml:space="preserve">page.line.me</t>
    </r>
    <r>
      <rPr>
        <sz val="9.5"/>
        <rFont val="WenQuanYi Zen Hei"/>
        <family val="2"/>
      </rPr>
      <t xml:space="preserve">から取得日つき。</t>
    </r>
    <r>
      <rPr>
        <sz val="9.5"/>
        <rFont val="Arial"/>
        <family val="0"/>
        <charset val="1"/>
      </rPr>
      <t xml:space="preserve">ID</t>
    </r>
    <r>
      <rPr>
        <sz val="9.5"/>
        <rFont val="WenQuanYi Zen Hei"/>
        <family val="2"/>
      </rPr>
      <t xml:space="preserve">連携の有無も記録）→ </t>
    </r>
    <r>
      <rPr>
        <sz val="9.5"/>
        <rFont val="Arial"/>
        <family val="0"/>
        <charset val="1"/>
      </rPr>
      <t xml:space="preserve">S12</t>
    </r>
    <r>
      <rPr>
        <sz val="9.5"/>
        <rFont val="WenQuanYi Zen Hei"/>
        <family val="2"/>
      </rPr>
      <t xml:space="preserve">が黄→緑</t>
    </r>
  </si>
  <si>
    <r>
      <rPr>
        <sz val="9.5"/>
        <rFont val="Arial"/>
        <family val="0"/>
        <charset val="1"/>
      </rPr>
      <t xml:space="preserve">5. LINE</t>
    </r>
    <r>
      <rPr>
        <sz val="9.5"/>
        <rFont val="WenQuanYi Zen Hei"/>
        <family val="2"/>
      </rPr>
      <t xml:space="preserve">ヤフー公式の</t>
    </r>
    <r>
      <rPr>
        <sz val="9.5"/>
        <rFont val="Arial"/>
        <family val="0"/>
        <charset val="1"/>
      </rPr>
      <t xml:space="preserve">EC</t>
    </r>
    <r>
      <rPr>
        <sz val="9.5"/>
        <rFont val="WenQuanYi Zen Hei"/>
        <family val="2"/>
      </rPr>
      <t xml:space="preserve">導入事例（</t>
    </r>
    <r>
      <rPr>
        <sz val="9.5"/>
        <rFont val="Arial"/>
        <family val="0"/>
        <charset val="1"/>
      </rPr>
      <t xml:space="preserve">lycbiz.com/jp/service/line-official-account/case-study/ec/</t>
    </r>
    <r>
      <rPr>
        <sz val="9.5"/>
        <rFont val="WenQuanYi Zen Hei"/>
        <family val="2"/>
      </rPr>
      <t xml:space="preserve">）→ </t>
    </r>
    <r>
      <rPr>
        <sz val="9.5"/>
        <rFont val="Arial"/>
        <family val="0"/>
        <charset val="1"/>
      </rPr>
      <t xml:space="preserve">S35</t>
    </r>
    <r>
      <rPr>
        <sz val="9.5"/>
        <rFont val="WenQuanYi Zen Hei"/>
        <family val="2"/>
      </rPr>
      <t xml:space="preserve">が黄→緑</t>
    </r>
  </si>
  <si>
    <t xml:space="preserve">凡例（このファイルの使い方）</t>
  </si>
  <si>
    <r>
      <rPr>
        <sz val="9.5"/>
        <rFont val="WenQuanYi Zen Hei"/>
        <family val="2"/>
      </rPr>
      <t xml:space="preserve">・「判定一覧」タブの</t>
    </r>
    <r>
      <rPr>
        <sz val="9.5"/>
        <rFont val="Arial"/>
        <family val="0"/>
        <charset val="1"/>
      </rPr>
      <t xml:space="preserve">F</t>
    </r>
    <r>
      <rPr>
        <sz val="9.5"/>
        <rFont val="WenQuanYi Zen Hei"/>
        <family val="2"/>
      </rPr>
      <t xml:space="preserve">列（残タスク）が、この資料を完成させるための</t>
    </r>
    <r>
      <rPr>
        <sz val="9.5"/>
        <rFont val="Arial"/>
        <family val="0"/>
        <charset val="1"/>
      </rPr>
      <t xml:space="preserve">TODO</t>
    </r>
    <r>
      <rPr>
        <sz val="9.5"/>
        <rFont val="WenQuanYi Zen Hei"/>
        <family val="2"/>
      </rPr>
      <t xml:space="preserve">です。</t>
    </r>
  </si>
  <si>
    <r>
      <rPr>
        <sz val="9.5"/>
        <rFont val="WenQuanYi Zen Hei"/>
        <family val="2"/>
      </rPr>
      <t xml:space="preserve">・黄色で塗られたセルが記入欄です。データが入ったら</t>
    </r>
    <r>
      <rPr>
        <sz val="9.5"/>
        <rFont val="Arial"/>
        <family val="0"/>
        <charset val="1"/>
      </rPr>
      <t xml:space="preserve">D</t>
    </r>
    <r>
      <rPr>
        <sz val="9.5"/>
        <rFont val="WenQuanYi Zen Hei"/>
        <family val="2"/>
      </rPr>
      <t xml:space="preserve">列の判定を「緑」に書き換えてください。</t>
    </r>
  </si>
  <si>
    <r>
      <rPr>
        <sz val="9.5"/>
        <rFont val="WenQuanYi Zen Hei"/>
        <family val="2"/>
      </rPr>
      <t xml:space="preserve">・</t>
    </r>
    <r>
      <rPr>
        <sz val="9.5"/>
        <rFont val="Arial"/>
        <family val="0"/>
        <charset val="1"/>
      </rPr>
      <t xml:space="preserve">D</t>
    </r>
    <r>
      <rPr>
        <sz val="9.5"/>
        <rFont val="WenQuanYi Zen Hei"/>
        <family val="2"/>
      </rPr>
      <t xml:space="preserve">列を書き換えると、このサマリの集計と納品条件の判定が自動で更新されます。</t>
    </r>
  </si>
  <si>
    <t xml:space="preserve">スライドタイトル</t>
  </si>
  <si>
    <t xml:space="preserve">主張の種類</t>
  </si>
  <si>
    <t xml:space="preserve">判定</t>
  </si>
  <si>
    <t xml:space="preserve">根拠・出典</t>
  </si>
  <si>
    <t xml:space="preserve">残タスク（これが埋まれば緑）</t>
  </si>
  <si>
    <t xml:space="preserve">表紙</t>
  </si>
  <si>
    <t xml:space="preserve">意見</t>
  </si>
  <si>
    <t xml:space="preserve">緑</t>
  </si>
  <si>
    <t xml:space="preserve">提案タイトル。数値なし</t>
  </si>
  <si>
    <t xml:space="preserve">宛先社名を差し込む</t>
  </si>
  <si>
    <t xml:space="preserve">資料アジェンダ</t>
  </si>
  <si>
    <r>
      <rPr>
        <sz val="9.5"/>
        <rFont val="WenQuanYi Zen Hei"/>
        <family val="2"/>
      </rPr>
      <t xml:space="preserve">全</t>
    </r>
    <r>
      <rPr>
        <sz val="9.5"/>
        <rFont val="Arial"/>
        <family val="0"/>
        <charset val="1"/>
      </rPr>
      <t xml:space="preserve">8</t>
    </r>
    <r>
      <rPr>
        <sz val="9.5"/>
        <rFont val="WenQuanYi Zen Hei"/>
        <family val="2"/>
      </rPr>
      <t xml:space="preserve">章の目次</t>
    </r>
  </si>
  <si>
    <t xml:space="preserve">―</t>
  </si>
  <si>
    <t xml:space="preserve">市場データ｜ニーズ全体図</t>
  </si>
  <si>
    <t xml:space="preserve">事実</t>
  </si>
  <si>
    <r>
      <rPr>
        <sz val="9.5"/>
        <rFont val="WenQuanYi Zen Hei"/>
        <family val="2"/>
      </rPr>
      <t xml:space="preserve">経産省「令和</t>
    </r>
    <r>
      <rPr>
        <sz val="9.5"/>
        <rFont val="Arial"/>
        <family val="0"/>
        <charset val="1"/>
      </rPr>
      <t xml:space="preserve">6</t>
    </r>
    <r>
      <rPr>
        <sz val="9.5"/>
        <rFont val="WenQuanYi Zen Hei"/>
        <family val="2"/>
      </rPr>
      <t xml:space="preserve">年度 電子商取引に関する市場調査」</t>
    </r>
    <r>
      <rPr>
        <sz val="9.5"/>
        <rFont val="Arial"/>
        <family val="0"/>
        <charset val="1"/>
      </rPr>
      <t xml:space="preserve">2025</t>
    </r>
    <r>
      <rPr>
        <sz val="9.5"/>
        <rFont val="WenQuanYi Zen Hei"/>
        <family val="2"/>
      </rPr>
      <t xml:space="preserve">年</t>
    </r>
    <r>
      <rPr>
        <sz val="9.5"/>
        <rFont val="Arial"/>
        <family val="0"/>
        <charset val="1"/>
      </rPr>
      <t xml:space="preserve">8</t>
    </r>
    <r>
      <rPr>
        <sz val="9.5"/>
        <rFont val="WenQuanYi Zen Hei"/>
        <family val="2"/>
      </rPr>
      <t xml:space="preserve">月</t>
    </r>
    <r>
      <rPr>
        <sz val="9.5"/>
        <rFont val="Arial"/>
        <family val="0"/>
        <charset val="1"/>
      </rPr>
      <t xml:space="preserve">26</t>
    </r>
    <r>
      <rPr>
        <sz val="9.5"/>
        <rFont val="WenQuanYi Zen Hei"/>
        <family val="2"/>
      </rPr>
      <t xml:space="preserve">日公表</t>
    </r>
  </si>
  <si>
    <r>
      <rPr>
        <sz val="9.5"/>
        <rFont val="WenQuanYi Zen Hei"/>
        <family val="2"/>
      </rPr>
      <t xml:space="preserve">提案時に最新年度（令和</t>
    </r>
    <r>
      <rPr>
        <sz val="9.5"/>
        <rFont val="Arial"/>
        <family val="0"/>
        <charset val="1"/>
      </rPr>
      <t xml:space="preserve">7</t>
    </r>
    <r>
      <rPr>
        <sz val="9.5"/>
        <rFont val="WenQuanYi Zen Hei"/>
        <family val="2"/>
      </rPr>
      <t xml:space="preserve">年度）を確認</t>
    </r>
  </si>
  <si>
    <r>
      <rPr>
        <sz val="9.5"/>
        <rFont val="Arial"/>
        <family val="0"/>
        <charset val="1"/>
      </rPr>
      <t xml:space="preserve">EC</t>
    </r>
    <r>
      <rPr>
        <sz val="9.5"/>
        <rFont val="WenQuanYi Zen Hei"/>
        <family val="2"/>
      </rPr>
      <t xml:space="preserve">の</t>
    </r>
    <r>
      <rPr>
        <sz val="9.5"/>
        <rFont val="Arial"/>
        <family val="0"/>
        <charset val="1"/>
      </rPr>
      <t xml:space="preserve">Web</t>
    </r>
    <r>
      <rPr>
        <sz val="9.5"/>
        <rFont val="WenQuanYi Zen Hei"/>
        <family val="2"/>
      </rPr>
      <t xml:space="preserve">マーケ構造｜</t>
    </r>
    <r>
      <rPr>
        <sz val="9.5"/>
        <rFont val="Arial"/>
        <family val="0"/>
        <charset val="1"/>
      </rPr>
      <t xml:space="preserve">3</t>
    </r>
    <r>
      <rPr>
        <sz val="9.5"/>
        <rFont val="WenQuanYi Zen Hei"/>
        <family val="2"/>
      </rPr>
      <t xml:space="preserve">つの壁</t>
    </r>
  </si>
  <si>
    <r>
      <rPr>
        <sz val="9.5"/>
        <rFont val="WenQuanYi Zen Hei"/>
        <family val="2"/>
      </rPr>
      <t xml:space="preserve">カゴ落ち率：</t>
    </r>
    <r>
      <rPr>
        <sz val="9.5"/>
        <rFont val="Arial"/>
        <family val="0"/>
        <charset val="1"/>
      </rPr>
      <t xml:space="preserve">Baymard Institute</t>
    </r>
    <r>
      <rPr>
        <sz val="9.5"/>
        <rFont val="WenQuanYi Zen Hei"/>
        <family val="2"/>
      </rPr>
      <t xml:space="preserve">／イー・エージェンシー。</t>
    </r>
    <r>
      <rPr>
        <sz val="9.5"/>
        <rFont val="Arial"/>
        <family val="0"/>
        <charset val="1"/>
      </rPr>
      <t xml:space="preserve">CPC</t>
    </r>
    <r>
      <rPr>
        <sz val="9.5"/>
        <rFont val="WenQuanYi Zen Hei"/>
        <family val="2"/>
      </rPr>
      <t xml:space="preserve">はキーワードマーケティング調べ</t>
    </r>
  </si>
  <si>
    <r>
      <rPr>
        <sz val="9.5"/>
        <rFont val="Arial"/>
        <family val="0"/>
        <charset val="1"/>
      </rPr>
      <t xml:space="preserve">EC</t>
    </r>
    <r>
      <rPr>
        <sz val="9.5"/>
        <rFont val="WenQuanYi Zen Hei"/>
        <family val="2"/>
      </rPr>
      <t xml:space="preserve">購入者の心理</t>
    </r>
  </si>
  <si>
    <r>
      <rPr>
        <sz val="9.5"/>
        <rFont val="WenQuanYi Zen Hei"/>
        <family val="2"/>
      </rPr>
      <t xml:space="preserve">カゴ落ち理由：</t>
    </r>
    <r>
      <rPr>
        <sz val="9.5"/>
        <rFont val="Arial"/>
        <family val="0"/>
        <charset val="1"/>
      </rPr>
      <t xml:space="preserve">Baymard Institute</t>
    </r>
    <r>
      <rPr>
        <sz val="9.5"/>
        <rFont val="WenQuanYi Zen Hei"/>
        <family val="2"/>
      </rPr>
      <t xml:space="preserve">。メルマガ開封率は業界一般値</t>
    </r>
  </si>
  <si>
    <t xml:space="preserve">できること／できないこと＋スコープ宣言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</si>
  <si>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提案のスコープ宣言。数値なし</t>
    </r>
  </si>
  <si>
    <r>
      <rPr>
        <sz val="9.5"/>
        <rFont val="WenQuanYi Zen Hei"/>
        <family val="2"/>
      </rPr>
      <t xml:space="preserve">市場環境｜検索広告</t>
    </r>
    <r>
      <rPr>
        <sz val="9.5"/>
        <rFont val="Arial"/>
        <family val="0"/>
        <charset val="1"/>
      </rPr>
      <t xml:space="preserve">CPC</t>
    </r>
    <r>
      <rPr>
        <sz val="9.5"/>
        <rFont val="WenQuanYi Zen Hei"/>
        <family val="2"/>
      </rPr>
      <t xml:space="preserve">の推移</t>
    </r>
  </si>
  <si>
    <r>
      <rPr>
        <sz val="9.5"/>
        <rFont val="WenQuanYi Zen Hei"/>
        <family val="2"/>
      </rPr>
      <t xml:space="preserve">電通「</t>
    </r>
    <r>
      <rPr>
        <sz val="9.5"/>
        <rFont val="Arial"/>
        <family val="0"/>
        <charset val="1"/>
      </rPr>
      <t xml:space="preserve">2025</t>
    </r>
    <r>
      <rPr>
        <sz val="9.5"/>
        <rFont val="WenQuanYi Zen Hei"/>
        <family val="2"/>
      </rPr>
      <t xml:space="preserve">年 日本の広告費」</t>
    </r>
    <r>
      <rPr>
        <sz val="9.5"/>
        <rFont val="Arial"/>
        <family val="0"/>
        <charset val="1"/>
      </rPr>
      <t xml:space="preserve">2026</t>
    </r>
    <r>
      <rPr>
        <sz val="9.5"/>
        <rFont val="WenQuanYi Zen Hei"/>
        <family val="2"/>
      </rPr>
      <t xml:space="preserve">年</t>
    </r>
    <r>
      <rPr>
        <sz val="9.5"/>
        <rFont val="Arial"/>
        <family val="0"/>
        <charset val="1"/>
      </rPr>
      <t xml:space="preserve">3</t>
    </r>
    <r>
      <rPr>
        <sz val="9.5"/>
        <rFont val="WenQuanYi Zen Hei"/>
        <family val="2"/>
      </rPr>
      <t xml:space="preserve">月</t>
    </r>
    <r>
      <rPr>
        <sz val="9.5"/>
        <rFont val="Arial"/>
        <family val="0"/>
        <charset val="1"/>
      </rPr>
      <t xml:space="preserve">5</t>
    </r>
    <r>
      <rPr>
        <sz val="9.5"/>
        <rFont val="WenQuanYi Zen Hei"/>
        <family val="2"/>
      </rPr>
      <t xml:space="preserve">日発表／キーワードマーケティング</t>
    </r>
  </si>
  <si>
    <r>
      <rPr>
        <sz val="9.5"/>
        <rFont val="WenQuanYi Zen Hei"/>
        <family val="2"/>
      </rPr>
      <t xml:space="preserve">市場環境｜広告実績</t>
    </r>
    <r>
      <rPr>
        <sz val="9.5"/>
        <rFont val="Arial"/>
        <family val="0"/>
        <charset val="1"/>
      </rPr>
      <t xml:space="preserve">CVR</t>
    </r>
    <r>
      <rPr>
        <sz val="9.5"/>
        <rFont val="WenQuanYi Zen Hei"/>
        <family val="2"/>
      </rPr>
      <t xml:space="preserve">（</t>
    </r>
    <r>
      <rPr>
        <sz val="9.5"/>
        <rFont val="Arial"/>
        <family val="0"/>
        <charset val="1"/>
      </rPr>
      <t xml:space="preserve">CV</t>
    </r>
    <r>
      <rPr>
        <sz val="9.5"/>
        <rFont val="WenQuanYi Zen Hei"/>
        <family val="2"/>
      </rPr>
      <t xml:space="preserve">地点記載）</t>
    </r>
  </si>
  <si>
    <t xml:space="preserve">推定</t>
  </si>
  <si>
    <t xml:space="preserve">黄</t>
  </si>
  <si>
    <t xml:space="preserve">★差込枠。数値は未記入（捏造なし）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</si>
  <si>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社内の</t>
    </r>
    <r>
      <rPr>
        <sz val="9.5"/>
        <rFont val="Arial"/>
        <family val="0"/>
        <charset val="1"/>
      </rPr>
      <t xml:space="preserve">EC</t>
    </r>
    <r>
      <rPr>
        <sz val="9.5"/>
        <rFont val="WenQuanYi Zen Hei"/>
        <family val="2"/>
      </rPr>
      <t xml:space="preserve">広告実績を</t>
    </r>
    <r>
      <rPr>
        <sz val="9.5"/>
        <rFont val="Arial"/>
        <family val="0"/>
        <charset val="1"/>
      </rPr>
      <t xml:space="preserve">CV</t>
    </r>
    <r>
      <rPr>
        <sz val="9.5"/>
        <rFont val="WenQuanYi Zen Hei"/>
        <family val="2"/>
      </rPr>
      <t xml:space="preserve">地点別に取得（上司確認①）</t>
    </r>
  </si>
  <si>
    <t xml:space="preserve">市場環境｜広告審査面の懸念</t>
  </si>
  <si>
    <r>
      <rPr>
        <sz val="9.5"/>
        <rFont val="WenQuanYi Zen Hei"/>
        <family val="2"/>
      </rPr>
      <t xml:space="preserve">薬機法の広告</t>
    </r>
    <r>
      <rPr>
        <sz val="9.5"/>
        <rFont val="Arial"/>
        <family val="0"/>
        <charset val="1"/>
      </rPr>
      <t xml:space="preserve">3</t>
    </r>
    <r>
      <rPr>
        <sz val="9.5"/>
        <rFont val="WenQuanYi Zen Hei"/>
        <family val="2"/>
      </rPr>
      <t xml:space="preserve">要件（薬監発第</t>
    </r>
    <r>
      <rPr>
        <sz val="9.5"/>
        <rFont val="Arial"/>
        <family val="0"/>
        <charset val="1"/>
      </rPr>
      <t xml:space="preserve">148</t>
    </r>
    <r>
      <rPr>
        <sz val="9.5"/>
        <rFont val="WenQuanYi Zen Hei"/>
        <family val="2"/>
      </rPr>
      <t xml:space="preserve">号）／京都府「広告の３要件」</t>
    </r>
  </si>
  <si>
    <r>
      <rPr>
        <sz val="9.5"/>
        <rFont val="WenQuanYi Zen Hei"/>
        <family val="2"/>
      </rPr>
      <t xml:space="preserve">薬機法の審査落ち実例（社内</t>
    </r>
    <r>
      <rPr>
        <sz val="9.5"/>
        <rFont val="Arial"/>
        <family val="0"/>
        <charset val="1"/>
      </rPr>
      <t xml:space="preserve">1</t>
    </r>
    <r>
      <rPr>
        <sz val="9.5"/>
        <rFont val="WenQuanYi Zen Hei"/>
        <family val="2"/>
      </rPr>
      <t xml:space="preserve">〜</t>
    </r>
    <r>
      <rPr>
        <sz val="9.5"/>
        <rFont val="Arial"/>
        <family val="0"/>
        <charset val="1"/>
      </rPr>
      <t xml:space="preserve">2</t>
    </r>
    <r>
      <rPr>
        <sz val="9.5"/>
        <rFont val="WenQuanYi Zen Hei"/>
        <family val="2"/>
      </rPr>
      <t xml:space="preserve">例）があれば説得力が上がる（任意）</t>
    </r>
  </si>
  <si>
    <t xml:space="preserve">ニーズ調査｜シーズナリティ</t>
  </si>
  <si>
    <r>
      <rPr>
        <sz val="9.5"/>
        <rFont val="WenQuanYi Zen Hei"/>
        <family val="2"/>
      </rPr>
      <t xml:space="preserve">年間商戦カレンダーは公開の商戦・セール時期（事実）。</t>
    </r>
    <r>
      <rPr>
        <sz val="9.5"/>
        <rFont val="Arial"/>
        <family val="0"/>
        <charset val="1"/>
      </rPr>
      <t xml:space="preserve">Google</t>
    </r>
    <r>
      <rPr>
        <sz val="9.5"/>
        <rFont val="WenQuanYi Zen Hei"/>
        <family val="2"/>
      </rPr>
      <t xml:space="preserve">トレンドは★差込枠</t>
    </r>
  </si>
  <si>
    <r>
      <rPr>
        <sz val="9.5"/>
        <rFont val="Arial"/>
        <family val="0"/>
        <charset val="1"/>
      </rPr>
      <t xml:space="preserve">Google</t>
    </r>
    <r>
      <rPr>
        <sz val="9.5"/>
        <rFont val="WenQuanYi Zen Hei"/>
        <family val="2"/>
      </rPr>
      <t xml:space="preserve">トレンド実データ（福袋／ブラックフライデー／セール／母の日・一語・</t>
    </r>
    <r>
      <rPr>
        <sz val="9.5"/>
        <rFont val="Arial"/>
        <family val="0"/>
        <charset val="1"/>
      </rPr>
      <t xml:space="preserve">5</t>
    </r>
    <r>
      <rPr>
        <sz val="9.5"/>
        <rFont val="WenQuanYi Zen Hei"/>
        <family val="2"/>
      </rPr>
      <t xml:space="preserve">年＋</t>
    </r>
    <r>
      <rPr>
        <sz val="9.5"/>
        <rFont val="Arial"/>
        <family val="0"/>
        <charset val="1"/>
      </rPr>
      <t xml:space="preserve">1</t>
    </r>
    <r>
      <rPr>
        <sz val="9.5"/>
        <rFont val="WenQuanYi Zen Hei"/>
        <family val="2"/>
      </rPr>
      <t xml:space="preserve">年）</t>
    </r>
  </si>
  <si>
    <t xml:space="preserve">ニーズ調査｜前後検索</t>
  </si>
  <si>
    <r>
      <rPr>
        <sz val="9.5"/>
        <rFont val="WenQuanYi Zen Hei"/>
        <family val="2"/>
      </rPr>
      <t xml:space="preserve">★差込枠。</t>
    </r>
    <r>
      <rPr>
        <sz val="9.5"/>
        <rFont val="Arial"/>
        <family val="0"/>
        <charset val="1"/>
      </rPr>
      <t xml:space="preserve">KW</t>
    </r>
    <r>
      <rPr>
        <sz val="9.5"/>
        <rFont val="WenQuanYi Zen Hei"/>
        <family val="2"/>
      </rPr>
      <t xml:space="preserve">のみ提示、データ未記入</t>
    </r>
  </si>
  <si>
    <r>
      <rPr>
        <sz val="9.5"/>
        <rFont val="Arial"/>
        <family val="0"/>
        <charset val="1"/>
      </rPr>
      <t xml:space="preserve">LINE</t>
    </r>
    <r>
      <rPr>
        <sz val="9.5"/>
        <rFont val="WenQuanYi Zen Hei"/>
        <family val="2"/>
      </rPr>
      <t xml:space="preserve">ヤフー前後検索データ（通販／定期便／解約／口コミ）</t>
    </r>
  </si>
  <si>
    <r>
      <rPr>
        <sz val="9.5"/>
        <rFont val="WenQuanYi Zen Hei"/>
        <family val="2"/>
      </rPr>
      <t xml:space="preserve">他社分析｜競合</t>
    </r>
    <r>
      <rPr>
        <sz val="9.5"/>
        <rFont val="Arial"/>
        <family val="0"/>
        <charset val="1"/>
      </rPr>
      <t xml:space="preserve">10</t>
    </r>
    <r>
      <rPr>
        <sz val="9.5"/>
        <rFont val="WenQuanYi Zen Hei"/>
        <family val="2"/>
      </rPr>
      <t xml:space="preserve">社の</t>
    </r>
    <r>
      <rPr>
        <sz val="9.5"/>
        <rFont val="Arial"/>
        <family val="0"/>
        <charset val="1"/>
      </rPr>
      <t xml:space="preserve">LINE</t>
    </r>
    <r>
      <rPr>
        <sz val="9.5"/>
        <rFont val="WenQuanYi Zen Hei"/>
        <family val="2"/>
      </rPr>
      <t xml:space="preserve">運用ステータス</t>
    </r>
  </si>
  <si>
    <r>
      <rPr>
        <sz val="9.5"/>
        <rFont val="Arial"/>
        <family val="0"/>
        <charset val="1"/>
      </rPr>
      <t xml:space="preserve">10</t>
    </r>
    <r>
      <rPr>
        <sz val="9.5"/>
        <rFont val="WenQuanYi Zen Hei"/>
        <family val="2"/>
      </rPr>
      <t xml:space="preserve">社選定は知名度優先（事実）。友だち数・</t>
    </r>
    <r>
      <rPr>
        <sz val="9.5"/>
        <rFont val="Arial"/>
        <family val="0"/>
        <charset val="1"/>
      </rPr>
      <t xml:space="preserve">ID</t>
    </r>
    <r>
      <rPr>
        <sz val="9.5"/>
        <rFont val="WenQuanYi Zen Hei"/>
        <family val="2"/>
      </rPr>
      <t xml:space="preserve">連携は★未取得</t>
    </r>
  </si>
  <si>
    <r>
      <rPr>
        <sz val="9.5"/>
        <rFont val="Arial"/>
        <family val="0"/>
        <charset val="1"/>
      </rPr>
      <t xml:space="preserve">page.line.me</t>
    </r>
    <r>
      <rPr>
        <sz val="9.5"/>
        <rFont val="WenQuanYi Zen Hei"/>
        <family val="2"/>
      </rPr>
      <t xml:space="preserve">から取得日つきで実測（友だち数・</t>
    </r>
    <r>
      <rPr>
        <sz val="9.5"/>
        <rFont val="Arial"/>
        <family val="0"/>
        <charset val="1"/>
      </rPr>
      <t xml:space="preserve">ID</t>
    </r>
    <r>
      <rPr>
        <sz val="9.5"/>
        <rFont val="WenQuanYi Zen Hei"/>
        <family val="2"/>
      </rPr>
      <t xml:space="preserve">連携）</t>
    </r>
  </si>
  <si>
    <r>
      <rPr>
        <sz val="9.5"/>
        <rFont val="WenQuanYi Zen Hei"/>
        <family val="2"/>
      </rPr>
      <t xml:space="preserve">全体設計｜カスタマージャーニー</t>
    </r>
    <r>
      <rPr>
        <sz val="9.5"/>
        <rFont val="Arial"/>
        <family val="0"/>
        <charset val="1"/>
      </rPr>
      <t xml:space="preserve">×CV3</t>
    </r>
    <r>
      <rPr>
        <sz val="9.5"/>
        <rFont val="WenQuanYi Zen Hei"/>
        <family val="2"/>
      </rPr>
      <t xml:space="preserve">段</t>
    </r>
  </si>
  <si>
    <r>
      <rPr>
        <sz val="9.5"/>
        <rFont val="Arial"/>
        <family val="0"/>
        <charset val="1"/>
      </rPr>
      <t xml:space="preserve">CV3</t>
    </r>
    <r>
      <rPr>
        <sz val="9.5"/>
        <rFont val="WenQuanYi Zen Hei"/>
        <family val="2"/>
      </rPr>
      <t xml:space="preserve">段は</t>
    </r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設計。数値なし</t>
    </r>
  </si>
  <si>
    <r>
      <rPr>
        <sz val="9.5"/>
        <rFont val="WenQuanYi Zen Hei"/>
        <family val="2"/>
      </rPr>
      <t xml:space="preserve">貴社の</t>
    </r>
    <r>
      <rPr>
        <sz val="9.5"/>
        <rFont val="Arial"/>
        <family val="0"/>
        <charset val="1"/>
      </rPr>
      <t xml:space="preserve">CV</t>
    </r>
    <r>
      <rPr>
        <sz val="9.5"/>
        <rFont val="WenQuanYi Zen Hei"/>
        <family val="2"/>
      </rPr>
      <t xml:space="preserve">定義とすり合わせ</t>
    </r>
  </si>
  <si>
    <t xml:space="preserve">全体設計｜施策全体像・対策領域マップ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</si>
  <si>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提案の対策領域マップ</t>
    </r>
  </si>
  <si>
    <t xml:space="preserve">全体設計｜施策展開図（初期・月次）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</si>
  <si>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標準の展開図を</t>
    </r>
    <r>
      <rPr>
        <sz val="9.5"/>
        <rFont val="Arial"/>
        <family val="0"/>
        <charset val="1"/>
      </rPr>
      <t xml:space="preserve">EC</t>
    </r>
    <r>
      <rPr>
        <sz val="9.5"/>
        <rFont val="WenQuanYi Zen Hei"/>
        <family val="2"/>
      </rPr>
      <t xml:space="preserve">施策に置換</t>
    </r>
  </si>
  <si>
    <t xml:space="preserve">構築｜友だち追加動線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</si>
  <si>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提案の動線設計</t>
    </r>
  </si>
  <si>
    <t xml:space="preserve">構築｜あいさつメッセージ</t>
  </si>
  <si>
    <r>
      <rPr>
        <sz val="9.5"/>
        <rFont val="WenQuanYi Zen Hei"/>
        <family val="2"/>
      </rPr>
      <t xml:space="preserve">配信文面は初稿。カゴ落ち理由の出典は</t>
    </r>
    <r>
      <rPr>
        <sz val="9.5"/>
        <rFont val="Arial"/>
        <family val="0"/>
        <charset val="1"/>
      </rPr>
      <t xml:space="preserve">S5</t>
    </r>
  </si>
  <si>
    <t xml:space="preserve">担当者名・実際のクーポン条件に差し替え</t>
  </si>
  <si>
    <t xml:space="preserve">構築｜診断・アンケート</t>
  </si>
  <si>
    <t xml:space="preserve">診断設計。数値なし</t>
  </si>
  <si>
    <t xml:space="preserve">構築｜リッチメニュー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</si>
  <si>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提案のリッチメニュー設計</t>
    </r>
  </si>
  <si>
    <r>
      <rPr>
        <sz val="9.5"/>
        <rFont val="WenQuanYi Zen Hei"/>
        <family val="2"/>
      </rPr>
      <t xml:space="preserve">構築｜</t>
    </r>
    <r>
      <rPr>
        <sz val="9.5"/>
        <rFont val="Arial"/>
        <family val="0"/>
        <charset val="1"/>
      </rPr>
      <t xml:space="preserve">LINE ID</t>
    </r>
    <r>
      <rPr>
        <sz val="9.5"/>
        <rFont val="WenQuanYi Zen Hei"/>
        <family val="2"/>
      </rPr>
      <t xml:space="preserve">連携（★心臓部）</t>
    </r>
  </si>
  <si>
    <t xml:space="preserve">仕組みの説明。数値なし</t>
  </si>
  <si>
    <r>
      <rPr>
        <sz val="9.5"/>
        <rFont val="WenQuanYi Zen Hei"/>
        <family val="2"/>
      </rPr>
      <t xml:space="preserve">配信設計｜シナリオ</t>
    </r>
    <r>
      <rPr>
        <sz val="9.5"/>
        <rFont val="Arial"/>
        <family val="0"/>
        <charset val="1"/>
      </rPr>
      <t xml:space="preserve">2</t>
    </r>
    <r>
      <rPr>
        <sz val="9.5"/>
        <rFont val="WenQuanYi Zen Hei"/>
        <family val="2"/>
      </rPr>
      <t xml:space="preserve">本の設計表</t>
    </r>
  </si>
  <si>
    <t xml:space="preserve">配信設計。日数は初稿（★想定）</t>
  </si>
  <si>
    <r>
      <rPr>
        <sz val="9.5"/>
        <rFont val="Arial"/>
        <family val="0"/>
        <charset val="1"/>
      </rPr>
      <t xml:space="preserve">F2</t>
    </r>
    <r>
      <rPr>
        <sz val="9.5"/>
        <rFont val="WenQuanYi Zen Hei"/>
        <family val="2"/>
      </rPr>
      <t xml:space="preserve">オファーのタイミングは商材ごとに調整</t>
    </r>
  </si>
  <si>
    <t xml:space="preserve">配信設計｜実文面①｜未購入者</t>
  </si>
  <si>
    <t xml:space="preserve">配信文面は初稿</t>
  </si>
  <si>
    <t xml:space="preserve">実際のクーポン条件・期限に差し替え</t>
  </si>
  <si>
    <t xml:space="preserve">配信設計｜実文面②｜購入者</t>
  </si>
  <si>
    <t xml:space="preserve">配信設計｜カゴ落ちリマインドの設計</t>
  </si>
  <si>
    <t xml:space="preserve">通数・タイミングは初稿（★想定）</t>
  </si>
  <si>
    <t xml:space="preserve">実運用データで配信間隔を調整</t>
  </si>
  <si>
    <t xml:space="preserve">配信設計｜年間の企画投稿カレンダー</t>
  </si>
  <si>
    <r>
      <rPr>
        <sz val="9.5"/>
        <rFont val="WenQuanYi Zen Hei"/>
        <family val="2"/>
      </rPr>
      <t xml:space="preserve">商戦カレンダー（</t>
    </r>
    <r>
      <rPr>
        <sz val="9.5"/>
        <rFont val="Arial"/>
        <family val="0"/>
        <charset val="1"/>
      </rPr>
      <t xml:space="preserve">S10</t>
    </r>
    <r>
      <rPr>
        <sz val="9.5"/>
        <rFont val="WenQuanYi Zen Hei"/>
        <family val="2"/>
      </rPr>
      <t xml:space="preserve">）に基づく企画案</t>
    </r>
  </si>
  <si>
    <r>
      <rPr>
        <sz val="9.5"/>
        <rFont val="Arial"/>
        <family val="0"/>
        <charset val="1"/>
      </rPr>
      <t xml:space="preserve">S10</t>
    </r>
    <r>
      <rPr>
        <sz val="9.5"/>
        <rFont val="WenQuanYi Zen Hei"/>
        <family val="2"/>
      </rPr>
      <t xml:space="preserve">の</t>
    </r>
    <r>
      <rPr>
        <sz val="9.5"/>
        <rFont val="Arial"/>
        <family val="0"/>
        <charset val="1"/>
      </rPr>
      <t xml:space="preserve">Google</t>
    </r>
    <r>
      <rPr>
        <sz val="9.5"/>
        <rFont val="WenQuanYi Zen Hei"/>
        <family val="2"/>
      </rPr>
      <t xml:space="preserve">トレンド確定後に時期を微調整</t>
    </r>
  </si>
  <si>
    <t xml:space="preserve">配信設計｜通知メッセージ</t>
  </si>
  <si>
    <t xml:space="preserve">利用シーンの設計</t>
  </si>
  <si>
    <r>
      <rPr>
        <sz val="9.5"/>
        <rFont val="WenQuanYi Zen Hei"/>
        <family val="2"/>
      </rPr>
      <t xml:space="preserve">電話番号・</t>
    </r>
    <r>
      <rPr>
        <sz val="9.5"/>
        <rFont val="Arial"/>
        <family val="0"/>
        <charset val="1"/>
      </rPr>
      <t xml:space="preserve">LINE ID</t>
    </r>
    <r>
      <rPr>
        <sz val="9.5"/>
        <rFont val="WenQuanYi Zen Hei"/>
        <family val="2"/>
      </rPr>
      <t xml:space="preserve">取得の同意状況を確認</t>
    </r>
  </si>
  <si>
    <r>
      <rPr>
        <sz val="9.5"/>
        <rFont val="WenQuanYi Zen Hei"/>
        <family val="2"/>
      </rPr>
      <t xml:space="preserve">歩留まり・工数｜</t>
    </r>
    <r>
      <rPr>
        <sz val="9.5"/>
        <rFont val="Arial"/>
        <family val="0"/>
        <charset val="1"/>
      </rPr>
      <t xml:space="preserve">F2</t>
    </r>
    <r>
      <rPr>
        <sz val="9.5"/>
        <rFont val="WenQuanYi Zen Hei"/>
        <family val="2"/>
      </rPr>
      <t xml:space="preserve">転換率の改善（★本資料の山）</t>
    </r>
  </si>
  <si>
    <r>
      <rPr>
        <sz val="9.5"/>
        <rFont val="Arial"/>
        <family val="0"/>
        <charset val="1"/>
      </rPr>
      <t xml:space="preserve">F2</t>
    </r>
    <r>
      <rPr>
        <sz val="9.5"/>
        <rFont val="WenQuanYi Zen Hei"/>
        <family val="2"/>
      </rPr>
      <t xml:space="preserve">転換率・定期引上率は業界水準（出典明記）</t>
    </r>
  </si>
  <si>
    <t xml:space="preserve">歩留まり・工数｜工数削減＋改善モデル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</si>
  <si>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提案の改善モデル</t>
    </r>
  </si>
  <si>
    <t xml:space="preserve">成果と体制｜効果測定の設計</t>
  </si>
  <si>
    <r>
      <rPr>
        <sz val="9.5"/>
        <rFont val="WenQuanYi Zen Hei"/>
        <family val="2"/>
      </rPr>
      <t xml:space="preserve">数値は入れない（業界汎用のため</t>
    </r>
    <r>
      <rPr>
        <sz val="9.5"/>
        <rFont val="Arial"/>
        <family val="0"/>
        <charset val="1"/>
      </rPr>
      <t xml:space="preserve">SIM</t>
    </r>
    <r>
      <rPr>
        <sz val="9.5"/>
        <rFont val="WenQuanYi Zen Hei"/>
        <family val="2"/>
      </rPr>
      <t xml:space="preserve">は作らない）</t>
    </r>
  </si>
  <si>
    <r>
      <rPr>
        <sz val="9.5"/>
        <rFont val="WenQuanYi Zen Hei"/>
        <family val="2"/>
      </rPr>
      <t xml:space="preserve">御社の実績をいただければ</t>
    </r>
    <r>
      <rPr>
        <sz val="9.5"/>
        <rFont val="Arial"/>
        <family val="0"/>
        <charset val="1"/>
      </rPr>
      <t xml:space="preserve">SIM</t>
    </r>
    <r>
      <rPr>
        <sz val="9.5"/>
        <rFont val="WenQuanYi Zen Hei"/>
        <family val="2"/>
      </rPr>
      <t xml:space="preserve">を作成</t>
    </r>
  </si>
  <si>
    <t xml:space="preserve">成果と体制｜費用プラン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</si>
  <si>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標準プラン（</t>
    </r>
    <r>
      <rPr>
        <sz val="9.5"/>
        <rFont val="Arial"/>
        <family val="0"/>
        <charset val="1"/>
      </rPr>
      <t xml:space="preserve">6</t>
    </r>
    <r>
      <rPr>
        <sz val="9.5"/>
        <rFont val="WenQuanYi Zen Hei"/>
        <family val="2"/>
      </rPr>
      <t xml:space="preserve">ヶ月〜・税抜）</t>
    </r>
  </si>
  <si>
    <t xml:space="preserve">成果と体制｜運用スケジュール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</si>
  <si>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標準の運用スケジュール</t>
    </r>
  </si>
  <si>
    <t xml:space="preserve">成果と体制｜サポート体制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</si>
  <si>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標準のサポート体制</t>
    </r>
  </si>
  <si>
    <t xml:space="preserve">締め｜飛び道具</t>
  </si>
  <si>
    <r>
      <rPr>
        <sz val="9.5"/>
        <rFont val="Arial"/>
        <family val="0"/>
        <charset val="1"/>
      </rPr>
      <t xml:space="preserve">A</t>
    </r>
    <r>
      <rPr>
        <sz val="9.5"/>
        <rFont val="WenQuanYi Zen Hei"/>
        <family val="2"/>
      </rPr>
      <t xml:space="preserve">〜</t>
    </r>
    <r>
      <rPr>
        <sz val="9.5"/>
        <rFont val="Arial"/>
        <family val="0"/>
        <charset val="1"/>
      </rPr>
      <t xml:space="preserve">C</t>
    </r>
    <r>
      <rPr>
        <sz val="9.5"/>
        <rFont val="WenQuanYi Zen Hei"/>
        <family val="2"/>
      </rPr>
      <t xml:space="preserve">は施策アイデア（意見）。</t>
    </r>
    <r>
      <rPr>
        <sz val="9.5"/>
        <rFont val="Arial"/>
        <family val="0"/>
        <charset val="1"/>
      </rPr>
      <t xml:space="preserve">D</t>
    </r>
    <r>
      <rPr>
        <sz val="9.5"/>
        <rFont val="WenQuanYi Zen Hei"/>
        <family val="2"/>
      </rPr>
      <t xml:space="preserve">案は仮説バッジ付き</t>
    </r>
  </si>
  <si>
    <r>
      <rPr>
        <sz val="9.5"/>
        <rFont val="Arial"/>
        <family val="0"/>
        <charset val="1"/>
      </rPr>
      <t xml:space="preserve">D</t>
    </r>
    <r>
      <rPr>
        <sz val="9.5"/>
        <rFont val="WenQuanYi Zen Hei"/>
        <family val="2"/>
      </rPr>
      <t xml:space="preserve">案は</t>
    </r>
    <r>
      <rPr>
        <sz val="9.5"/>
        <rFont val="Arial"/>
        <family val="0"/>
        <charset val="1"/>
      </rPr>
      <t xml:space="preserve">S11</t>
    </r>
    <r>
      <rPr>
        <sz val="9.5"/>
        <rFont val="WenQuanYi Zen Hei"/>
        <family val="2"/>
      </rPr>
      <t xml:space="preserve">（前後検索）で「解約」不安の実在を確認後に本提案化</t>
    </r>
  </si>
  <si>
    <r>
      <rPr>
        <sz val="9.5"/>
        <rFont val="WenQuanYi Zen Hei"/>
        <family val="2"/>
      </rPr>
      <t xml:space="preserve">締め｜第</t>
    </r>
    <r>
      <rPr>
        <sz val="9.5"/>
        <rFont val="Arial"/>
        <family val="0"/>
        <charset val="1"/>
      </rPr>
      <t xml:space="preserve">2</t>
    </r>
    <r>
      <rPr>
        <sz val="9.5"/>
        <rFont val="WenQuanYi Zen Hei"/>
        <family val="2"/>
      </rPr>
      <t xml:space="preserve">の提案軸｜</t>
    </r>
    <r>
      <rPr>
        <sz val="9.5"/>
        <rFont val="Arial"/>
        <family val="0"/>
        <charset val="1"/>
      </rPr>
      <t xml:space="preserve">LINE</t>
    </r>
    <r>
      <rPr>
        <sz val="9.5"/>
        <rFont val="WenQuanYi Zen Hei"/>
        <family val="2"/>
      </rPr>
      <t xml:space="preserve">ミニアプリ・</t>
    </r>
    <r>
      <rPr>
        <sz val="9.5"/>
        <rFont val="Arial"/>
        <family val="0"/>
        <charset val="1"/>
      </rPr>
      <t xml:space="preserve">LINE</t>
    </r>
    <r>
      <rPr>
        <sz val="9.5"/>
        <rFont val="WenQuanYi Zen Hei"/>
        <family val="2"/>
      </rPr>
      <t xml:space="preserve">ギフト</t>
    </r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</si>
  <si>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提案の第</t>
    </r>
    <r>
      <rPr>
        <sz val="9.5"/>
        <rFont val="Arial"/>
        <family val="0"/>
        <charset val="1"/>
      </rPr>
      <t xml:space="preserve">2</t>
    </r>
    <r>
      <rPr>
        <sz val="9.5"/>
        <rFont val="WenQuanYi Zen Hei"/>
        <family val="2"/>
      </rPr>
      <t xml:space="preserve">軸</t>
    </r>
  </si>
  <si>
    <r>
      <rPr>
        <sz val="9.5"/>
        <rFont val="WenQuanYi Zen Hei"/>
        <family val="2"/>
      </rPr>
      <t xml:space="preserve">締め｜</t>
    </r>
    <r>
      <rPr>
        <sz val="9.5"/>
        <rFont val="Arial"/>
        <family val="0"/>
        <charset val="1"/>
      </rPr>
      <t xml:space="preserve">LINEOA</t>
    </r>
    <r>
      <rPr>
        <sz val="9.5"/>
        <rFont val="WenQuanYi Zen Hei"/>
        <family val="2"/>
      </rPr>
      <t xml:space="preserve">実績</t>
    </r>
  </si>
  <si>
    <r>
      <rPr>
        <sz val="9.5"/>
        <rFont val="Arial"/>
        <family val="0"/>
        <charset val="1"/>
      </rPr>
      <t xml:space="preserve">LINE</t>
    </r>
    <r>
      <rPr>
        <sz val="9.5"/>
        <rFont val="WenQuanYi Zen Hei"/>
        <family val="2"/>
      </rPr>
      <t xml:space="preserve">国内</t>
    </r>
    <r>
      <rPr>
        <sz val="9.5"/>
        <rFont val="Arial"/>
        <family val="0"/>
        <charset val="1"/>
      </rPr>
      <t xml:space="preserve">MAU</t>
    </r>
    <r>
      <rPr>
        <sz val="9.5"/>
        <rFont val="WenQuanYi Zen Hei"/>
        <family val="2"/>
      </rPr>
      <t xml:space="preserve">・開封率は</t>
    </r>
    <r>
      <rPr>
        <sz val="9.5"/>
        <rFont val="Arial"/>
        <family val="0"/>
        <charset val="1"/>
      </rPr>
      <t xml:space="preserve">LINE</t>
    </r>
    <r>
      <rPr>
        <sz val="9.5"/>
        <rFont val="WenQuanYi Zen Hei"/>
        <family val="2"/>
      </rPr>
      <t xml:space="preserve">ヤフー公式値（緑相当）。</t>
    </r>
    <r>
      <rPr>
        <sz val="9.5"/>
        <rFont val="Arial"/>
        <family val="0"/>
        <charset val="1"/>
      </rPr>
      <t xml:space="preserve">EC</t>
    </r>
    <r>
      <rPr>
        <sz val="9.5"/>
        <rFont val="WenQuanYi Zen Hei"/>
        <family val="2"/>
      </rPr>
      <t xml:space="preserve">事例は★未取得</t>
    </r>
  </si>
  <si>
    <r>
      <rPr>
        <sz val="9.5"/>
        <rFont val="Arial"/>
        <family val="0"/>
        <charset val="1"/>
      </rPr>
      <t xml:space="preserve">lycbiz.com EC</t>
    </r>
    <r>
      <rPr>
        <sz val="9.5"/>
        <rFont val="WenQuanYi Zen Hei"/>
        <family val="2"/>
      </rPr>
      <t xml:space="preserve">専用ページから事例取得</t>
    </r>
  </si>
  <si>
    <t xml:space="preserve">裏表紙</t>
  </si>
  <si>
    <r>
      <rPr>
        <sz val="9.5"/>
        <rFont val="Arial"/>
        <family val="0"/>
        <charset val="1"/>
      </rPr>
      <t xml:space="preserve">DYM</t>
    </r>
    <r>
      <rPr>
        <sz val="9.5"/>
        <rFont val="WenQuanYi Zen Hei"/>
        <family val="2"/>
      </rPr>
      <t xml:space="preserve">会社情報（原本のまま）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</si>
</sst>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85A"/>
      <name val="Arial"/>
      <family val="0"/>
      <charset val="1"/>
    </font>
    <font>
      <b val="true"/>
      <sz val="14"/>
      <color rgb="FF1F285A"/>
      <name val="WenQuanYi Zen Hei"/>
      <family val="2"/>
    </font>
    <font>
      <sz val="9"/>
      <color rgb="FF7F7F7F"/>
      <name val="WenQuanYi Zen Hei"/>
      <family val="2"/>
    </font>
    <font>
      <sz val="9"/>
      <color rgb="FF7F7F7F"/>
      <name val="Arial"/>
      <family val="0"/>
      <charset val="1"/>
    </font>
    <font>
      <b val="true"/>
      <sz val="10"/>
      <color rgb="FF1F285A"/>
      <name val="WenQuanYi Zen Hei"/>
      <family val="2"/>
    </font>
    <font>
      <b val="true"/>
      <sz val="10"/>
      <color rgb="FF1F285A"/>
      <name val="Arial"/>
      <family val="0"/>
      <charset val="1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color rgb="FFC00000"/>
      <name val="Arial"/>
      <family val="0"/>
      <charset val="1"/>
    </font>
    <font>
      <sz val="9.5"/>
      <name val="Arial"/>
      <family val="0"/>
      <charset val="1"/>
    </font>
    <font>
      <sz val="9.5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9.5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  <fill>
      <patternFill patternType="solid">
        <fgColor rgb="FF1F285A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8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6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40"/>
  </cols>
  <sheetData>
    <row r="2" customFormat="false" ht="19.4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31.5" hidden="false" customHeight="true" outlineLevel="0" collapsed="false">
      <c r="B6" s="4" t="s">
        <v>3</v>
      </c>
      <c r="C6" s="4"/>
      <c r="D6" s="4"/>
      <c r="E6" s="4"/>
      <c r="F6" s="4"/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5" t="s">
        <v>5</v>
      </c>
      <c r="D9" s="6" t="n">
        <f aca="false">COUNTIF(判定一覧!$D$3:$D$38,"緑")</f>
        <v>29</v>
      </c>
      <c r="E9" s="5" t="s">
        <v>6</v>
      </c>
    </row>
    <row r="10" customFormat="false" ht="15" hidden="false" customHeight="false" outlineLevel="0" collapsed="false">
      <c r="B10" s="5" t="s">
        <v>7</v>
      </c>
      <c r="D10" s="7" t="n">
        <f aca="false">COUNTIF(判定一覧!$D$3:$D$38,"黄")</f>
        <v>7</v>
      </c>
      <c r="E10" s="5" t="s">
        <v>6</v>
      </c>
    </row>
    <row r="11" customFormat="false" ht="15" hidden="false" customHeight="false" outlineLevel="0" collapsed="false">
      <c r="B11" s="5" t="s">
        <v>8</v>
      </c>
      <c r="D11" s="8" t="n">
        <f aca="false">COUNTIF(判定一覧!$D$3:$D$38,"赤")</f>
        <v>0</v>
      </c>
      <c r="E11" s="5" t="s">
        <v>6</v>
      </c>
    </row>
    <row r="12" customFormat="false" ht="15" hidden="false" customHeight="false" outlineLevel="0" collapsed="false">
      <c r="B12" s="9" t="s">
        <v>9</v>
      </c>
      <c r="D12" s="10" t="n">
        <f aca="false">SUM(D9:D11)</f>
        <v>36</v>
      </c>
      <c r="E12" s="5" t="s">
        <v>6</v>
      </c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11" t="str">
        <f aca="false">IF(D11=0,"OK：赤0件。対外提出可（黄は未取得データの明記つきで提出可）","NG：赤"&amp;D11&amp;"件。出典を確定または該当数値を削除するまで対外提出不可")</f>
        <v>OK：赤0件。対外提出可（黄は未取得データの明記つきで提出可）</v>
      </c>
      <c r="C15" s="11"/>
      <c r="D15" s="11"/>
      <c r="E15" s="11"/>
      <c r="F15" s="11"/>
    </row>
    <row r="17" customFormat="false" ht="15" hidden="false" customHeight="false" outlineLevel="0" collapsed="false">
      <c r="B17" s="3" t="s">
        <v>11</v>
      </c>
    </row>
    <row r="18" customFormat="false" ht="15" hidden="false" customHeight="false" outlineLevel="0" collapsed="false">
      <c r="B18" s="12" t="s">
        <v>12</v>
      </c>
      <c r="C18" s="12"/>
      <c r="D18" s="12"/>
      <c r="E18" s="12"/>
      <c r="F18" s="12"/>
    </row>
    <row r="19" customFormat="false" ht="15" hidden="false" customHeight="false" outlineLevel="0" collapsed="false">
      <c r="B19" s="13" t="s">
        <v>13</v>
      </c>
      <c r="C19" s="13"/>
      <c r="D19" s="13"/>
      <c r="E19" s="13"/>
      <c r="F19" s="13"/>
    </row>
    <row r="20" customFormat="false" ht="15" hidden="false" customHeight="false" outlineLevel="0" collapsed="false">
      <c r="B20" s="13" t="s">
        <v>14</v>
      </c>
      <c r="C20" s="13"/>
      <c r="D20" s="13"/>
      <c r="E20" s="13"/>
      <c r="F20" s="13"/>
    </row>
    <row r="22" customFormat="false" ht="15" hidden="false" customHeight="false" outlineLevel="0" collapsed="false">
      <c r="B22" s="3" t="s">
        <v>15</v>
      </c>
    </row>
    <row r="23" customFormat="false" ht="15" hidden="false" customHeight="false" outlineLevel="0" collapsed="false">
      <c r="B23" s="12" t="s">
        <v>16</v>
      </c>
      <c r="C23" s="12"/>
      <c r="D23" s="12"/>
      <c r="E23" s="12"/>
      <c r="F23" s="12"/>
    </row>
    <row r="24" customFormat="false" ht="15" hidden="false" customHeight="false" outlineLevel="0" collapsed="false">
      <c r="B24" s="12" t="s">
        <v>17</v>
      </c>
      <c r="C24" s="12"/>
      <c r="D24" s="12"/>
      <c r="E24" s="12"/>
      <c r="F24" s="12"/>
    </row>
    <row r="25" customFormat="false" ht="15" hidden="false" customHeight="false" outlineLevel="0" collapsed="false">
      <c r="B25" s="12" t="s">
        <v>18</v>
      </c>
      <c r="C25" s="12"/>
      <c r="D25" s="12"/>
      <c r="E25" s="12"/>
      <c r="F25" s="12"/>
    </row>
    <row r="26" customFormat="false" ht="15" hidden="false" customHeight="false" outlineLevel="0" collapsed="false">
      <c r="B26" s="12" t="s">
        <v>19</v>
      </c>
      <c r="C26" s="12"/>
      <c r="D26" s="12"/>
      <c r="E26" s="12"/>
      <c r="F26" s="12"/>
    </row>
    <row r="27" customFormat="false" ht="15" hidden="false" customHeight="false" outlineLevel="0" collapsed="false">
      <c r="B27" s="12" t="s">
        <v>20</v>
      </c>
      <c r="C27" s="12"/>
      <c r="D27" s="12"/>
      <c r="E27" s="12"/>
      <c r="F27" s="12"/>
    </row>
    <row r="29" customFormat="false" ht="15" hidden="false" customHeight="false" outlineLevel="0" collapsed="false">
      <c r="B29" s="3" t="s">
        <v>21</v>
      </c>
    </row>
    <row r="30" customFormat="false" ht="15" hidden="false" customHeight="false" outlineLevel="0" collapsed="false">
      <c r="B30" s="14" t="s">
        <v>22</v>
      </c>
    </row>
    <row r="31" customFormat="false" ht="15" hidden="false" customHeight="false" outlineLevel="0" collapsed="false">
      <c r="B31" s="14" t="s">
        <v>23</v>
      </c>
    </row>
    <row r="32" customFormat="false" ht="15" hidden="false" customHeight="false" outlineLevel="0" collapsed="false">
      <c r="B32" s="14" t="s">
        <v>24</v>
      </c>
    </row>
  </sheetData>
  <mergeCells count="10">
    <mergeCell ref="B6:F6"/>
    <mergeCell ref="B15:F15"/>
    <mergeCell ref="B18:F18"/>
    <mergeCell ref="B19:F19"/>
    <mergeCell ref="B20:F20"/>
    <mergeCell ref="B23:F23"/>
    <mergeCell ref="B24:F24"/>
    <mergeCell ref="B25:F25"/>
    <mergeCell ref="B26:F26"/>
    <mergeCell ref="B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52"/>
    <col collapsed="false" customWidth="true" hidden="false" outlineLevel="0" max="6" min="6" style="0" width="46"/>
  </cols>
  <sheetData>
    <row r="2" customFormat="false" ht="15" hidden="false" customHeight="false" outlineLevel="0" collapsed="false">
      <c r="A2" s="15" t="s">
        <v>6</v>
      </c>
      <c r="B2" s="15" t="s">
        <v>25</v>
      </c>
      <c r="C2" s="15" t="s">
        <v>26</v>
      </c>
      <c r="D2" s="15" t="s">
        <v>27</v>
      </c>
      <c r="E2" s="15" t="s">
        <v>28</v>
      </c>
      <c r="F2" s="15" t="s">
        <v>29</v>
      </c>
    </row>
    <row r="3" customFormat="false" ht="30" hidden="false" customHeight="true" outlineLevel="0" collapsed="false">
      <c r="A3" s="16" t="n">
        <v>1</v>
      </c>
      <c r="B3" s="17" t="s">
        <v>30</v>
      </c>
      <c r="C3" s="18" t="s">
        <v>31</v>
      </c>
      <c r="D3" s="19" t="s">
        <v>32</v>
      </c>
      <c r="E3" s="17" t="s">
        <v>33</v>
      </c>
      <c r="F3" s="17" t="s">
        <v>34</v>
      </c>
    </row>
    <row r="4" customFormat="false" ht="30" hidden="false" customHeight="true" outlineLevel="0" collapsed="false">
      <c r="A4" s="16" t="n">
        <v>2</v>
      </c>
      <c r="B4" s="17" t="s">
        <v>35</v>
      </c>
      <c r="C4" s="18" t="s">
        <v>31</v>
      </c>
      <c r="D4" s="19" t="s">
        <v>32</v>
      </c>
      <c r="E4" s="17" t="s">
        <v>36</v>
      </c>
      <c r="F4" s="20" t="s">
        <v>37</v>
      </c>
    </row>
    <row r="5" customFormat="false" ht="30" hidden="false" customHeight="true" outlineLevel="0" collapsed="false">
      <c r="A5" s="16" t="n">
        <v>3</v>
      </c>
      <c r="B5" s="17" t="s">
        <v>38</v>
      </c>
      <c r="C5" s="18" t="s">
        <v>39</v>
      </c>
      <c r="D5" s="19" t="s">
        <v>32</v>
      </c>
      <c r="E5" s="17" t="s">
        <v>40</v>
      </c>
      <c r="F5" s="17" t="s">
        <v>41</v>
      </c>
    </row>
    <row r="6" customFormat="false" ht="30" hidden="false" customHeight="true" outlineLevel="0" collapsed="false">
      <c r="A6" s="16" t="n">
        <v>4</v>
      </c>
      <c r="B6" s="20" t="s">
        <v>42</v>
      </c>
      <c r="C6" s="18" t="s">
        <v>39</v>
      </c>
      <c r="D6" s="19" t="s">
        <v>32</v>
      </c>
      <c r="E6" s="17" t="s">
        <v>43</v>
      </c>
      <c r="F6" s="20" t="s">
        <v>37</v>
      </c>
    </row>
    <row r="7" customFormat="false" ht="30" hidden="false" customHeight="true" outlineLevel="0" collapsed="false">
      <c r="A7" s="16" t="n">
        <v>5</v>
      </c>
      <c r="B7" s="20" t="s">
        <v>44</v>
      </c>
      <c r="C7" s="18" t="s">
        <v>39</v>
      </c>
      <c r="D7" s="19" t="s">
        <v>32</v>
      </c>
      <c r="E7" s="17" t="s">
        <v>45</v>
      </c>
      <c r="F7" s="20" t="s">
        <v>37</v>
      </c>
    </row>
    <row r="8" customFormat="false" ht="30" hidden="false" customHeight="true" outlineLevel="0" collapsed="false">
      <c r="A8" s="16" t="n">
        <v>6</v>
      </c>
      <c r="B8" s="17" t="s">
        <v>46</v>
      </c>
      <c r="C8" s="18" t="s">
        <v>31</v>
      </c>
      <c r="D8" s="19" t="s">
        <v>32</v>
      </c>
      <c r="E8" s="20" t="s">
        <v>47</v>
      </c>
      <c r="F8" s="20" t="s">
        <v>37</v>
      </c>
    </row>
    <row r="9" customFormat="false" ht="30" hidden="false" customHeight="true" outlineLevel="0" collapsed="false">
      <c r="A9" s="16" t="n">
        <v>7</v>
      </c>
      <c r="B9" s="17" t="s">
        <v>48</v>
      </c>
      <c r="C9" s="18" t="s">
        <v>39</v>
      </c>
      <c r="D9" s="19" t="s">
        <v>32</v>
      </c>
      <c r="E9" s="17" t="s">
        <v>49</v>
      </c>
      <c r="F9" s="20" t="s">
        <v>37</v>
      </c>
    </row>
    <row r="10" customFormat="false" ht="30" hidden="false" customHeight="true" outlineLevel="0" collapsed="false">
      <c r="A10" s="16" t="n">
        <v>8</v>
      </c>
      <c r="B10" s="17" t="s">
        <v>50</v>
      </c>
      <c r="C10" s="18" t="s">
        <v>51</v>
      </c>
      <c r="D10" s="21" t="s">
        <v>52</v>
      </c>
      <c r="E10" s="17" t="s">
        <v>53</v>
      </c>
      <c r="F10" s="22" t="s">
        <v>54</v>
      </c>
    </row>
    <row r="11" customFormat="false" ht="30" hidden="false" customHeight="true" outlineLevel="0" collapsed="false">
      <c r="A11" s="16" t="n">
        <v>9</v>
      </c>
      <c r="B11" s="17" t="s">
        <v>55</v>
      </c>
      <c r="C11" s="18" t="s">
        <v>39</v>
      </c>
      <c r="D11" s="19" t="s">
        <v>32</v>
      </c>
      <c r="E11" s="17" t="s">
        <v>56</v>
      </c>
      <c r="F11" s="17" t="s">
        <v>57</v>
      </c>
    </row>
    <row r="12" customFormat="false" ht="30" hidden="false" customHeight="true" outlineLevel="0" collapsed="false">
      <c r="A12" s="16" t="n">
        <v>10</v>
      </c>
      <c r="B12" s="17" t="s">
        <v>58</v>
      </c>
      <c r="C12" s="18" t="s">
        <v>51</v>
      </c>
      <c r="D12" s="21" t="s">
        <v>52</v>
      </c>
      <c r="E12" s="17" t="s">
        <v>59</v>
      </c>
      <c r="F12" s="22" t="s">
        <v>60</v>
      </c>
    </row>
    <row r="13" customFormat="false" ht="30" hidden="false" customHeight="true" outlineLevel="0" collapsed="false">
      <c r="A13" s="16" t="n">
        <v>11</v>
      </c>
      <c r="B13" s="17" t="s">
        <v>61</v>
      </c>
      <c r="C13" s="18" t="s">
        <v>51</v>
      </c>
      <c r="D13" s="21" t="s">
        <v>52</v>
      </c>
      <c r="E13" s="17" t="s">
        <v>62</v>
      </c>
      <c r="F13" s="22" t="s">
        <v>63</v>
      </c>
    </row>
    <row r="14" customFormat="false" ht="30" hidden="false" customHeight="true" outlineLevel="0" collapsed="false">
      <c r="A14" s="16" t="n">
        <v>12</v>
      </c>
      <c r="B14" s="17" t="s">
        <v>64</v>
      </c>
      <c r="C14" s="18" t="s">
        <v>39</v>
      </c>
      <c r="D14" s="21" t="s">
        <v>52</v>
      </c>
      <c r="E14" s="20" t="s">
        <v>65</v>
      </c>
      <c r="F14" s="22" t="s">
        <v>66</v>
      </c>
    </row>
    <row r="15" customFormat="false" ht="30" hidden="false" customHeight="true" outlineLevel="0" collapsed="false">
      <c r="A15" s="16" t="n">
        <v>13</v>
      </c>
      <c r="B15" s="17" t="s">
        <v>67</v>
      </c>
      <c r="C15" s="18" t="s">
        <v>31</v>
      </c>
      <c r="D15" s="19" t="s">
        <v>32</v>
      </c>
      <c r="E15" s="20" t="s">
        <v>68</v>
      </c>
      <c r="F15" s="17" t="s">
        <v>69</v>
      </c>
    </row>
    <row r="16" customFormat="false" ht="30" hidden="false" customHeight="true" outlineLevel="0" collapsed="false">
      <c r="A16" s="16" t="n">
        <v>14</v>
      </c>
      <c r="B16" s="17" t="s">
        <v>70</v>
      </c>
      <c r="C16" s="18" t="s">
        <v>31</v>
      </c>
      <c r="D16" s="19" t="s">
        <v>32</v>
      </c>
      <c r="E16" s="20" t="s">
        <v>71</v>
      </c>
      <c r="F16" s="20" t="s">
        <v>37</v>
      </c>
    </row>
    <row r="17" customFormat="false" ht="30" hidden="false" customHeight="true" outlineLevel="0" collapsed="false">
      <c r="A17" s="16" t="n">
        <v>15</v>
      </c>
      <c r="B17" s="17" t="s">
        <v>72</v>
      </c>
      <c r="C17" s="18" t="s">
        <v>31</v>
      </c>
      <c r="D17" s="19" t="s">
        <v>32</v>
      </c>
      <c r="E17" s="20" t="s">
        <v>73</v>
      </c>
      <c r="F17" s="20" t="s">
        <v>37</v>
      </c>
    </row>
    <row r="18" customFormat="false" ht="30" hidden="false" customHeight="true" outlineLevel="0" collapsed="false">
      <c r="A18" s="16" t="n">
        <v>16</v>
      </c>
      <c r="B18" s="17" t="s">
        <v>74</v>
      </c>
      <c r="C18" s="18" t="s">
        <v>31</v>
      </c>
      <c r="D18" s="19" t="s">
        <v>32</v>
      </c>
      <c r="E18" s="20" t="s">
        <v>75</v>
      </c>
      <c r="F18" s="20" t="s">
        <v>37</v>
      </c>
    </row>
    <row r="19" customFormat="false" ht="30" hidden="false" customHeight="true" outlineLevel="0" collapsed="false">
      <c r="A19" s="16" t="n">
        <v>17</v>
      </c>
      <c r="B19" s="17" t="s">
        <v>76</v>
      </c>
      <c r="C19" s="18" t="s">
        <v>31</v>
      </c>
      <c r="D19" s="19" t="s">
        <v>32</v>
      </c>
      <c r="E19" s="17" t="s">
        <v>77</v>
      </c>
      <c r="F19" s="17" t="s">
        <v>78</v>
      </c>
    </row>
    <row r="20" customFormat="false" ht="30" hidden="false" customHeight="true" outlineLevel="0" collapsed="false">
      <c r="A20" s="16" t="n">
        <v>18</v>
      </c>
      <c r="B20" s="17" t="s">
        <v>79</v>
      </c>
      <c r="C20" s="18" t="s">
        <v>31</v>
      </c>
      <c r="D20" s="19" t="s">
        <v>32</v>
      </c>
      <c r="E20" s="17" t="s">
        <v>80</v>
      </c>
      <c r="F20" s="20" t="s">
        <v>37</v>
      </c>
    </row>
    <row r="21" customFormat="false" ht="30" hidden="false" customHeight="true" outlineLevel="0" collapsed="false">
      <c r="A21" s="16" t="n">
        <v>19</v>
      </c>
      <c r="B21" s="17" t="s">
        <v>81</v>
      </c>
      <c r="C21" s="18" t="s">
        <v>31</v>
      </c>
      <c r="D21" s="19" t="s">
        <v>32</v>
      </c>
      <c r="E21" s="20" t="s">
        <v>82</v>
      </c>
      <c r="F21" s="20" t="s">
        <v>37</v>
      </c>
    </row>
    <row r="22" customFormat="false" ht="30" hidden="false" customHeight="true" outlineLevel="0" collapsed="false">
      <c r="A22" s="16" t="n">
        <v>20</v>
      </c>
      <c r="B22" s="17" t="s">
        <v>83</v>
      </c>
      <c r="C22" s="18" t="s">
        <v>31</v>
      </c>
      <c r="D22" s="19" t="s">
        <v>32</v>
      </c>
      <c r="E22" s="17" t="s">
        <v>84</v>
      </c>
      <c r="F22" s="20" t="s">
        <v>37</v>
      </c>
    </row>
    <row r="23" customFormat="false" ht="30" hidden="false" customHeight="true" outlineLevel="0" collapsed="false">
      <c r="A23" s="16" t="n">
        <v>21</v>
      </c>
      <c r="B23" s="17" t="s">
        <v>85</v>
      </c>
      <c r="C23" s="18" t="s">
        <v>31</v>
      </c>
      <c r="D23" s="19" t="s">
        <v>32</v>
      </c>
      <c r="E23" s="17" t="s">
        <v>86</v>
      </c>
      <c r="F23" s="20" t="s">
        <v>87</v>
      </c>
    </row>
    <row r="24" customFormat="false" ht="30" hidden="false" customHeight="true" outlineLevel="0" collapsed="false">
      <c r="A24" s="16" t="n">
        <v>22</v>
      </c>
      <c r="B24" s="17" t="s">
        <v>88</v>
      </c>
      <c r="C24" s="18" t="s">
        <v>31</v>
      </c>
      <c r="D24" s="19" t="s">
        <v>32</v>
      </c>
      <c r="E24" s="17" t="s">
        <v>89</v>
      </c>
      <c r="F24" s="17" t="s">
        <v>90</v>
      </c>
    </row>
    <row r="25" customFormat="false" ht="30" hidden="false" customHeight="true" outlineLevel="0" collapsed="false">
      <c r="A25" s="16" t="n">
        <v>23</v>
      </c>
      <c r="B25" s="17" t="s">
        <v>91</v>
      </c>
      <c r="C25" s="18" t="s">
        <v>31</v>
      </c>
      <c r="D25" s="19" t="s">
        <v>32</v>
      </c>
      <c r="E25" s="17" t="s">
        <v>89</v>
      </c>
      <c r="F25" s="20" t="s">
        <v>37</v>
      </c>
    </row>
    <row r="26" customFormat="false" ht="30" hidden="false" customHeight="true" outlineLevel="0" collapsed="false">
      <c r="A26" s="16" t="n">
        <v>24</v>
      </c>
      <c r="B26" s="17" t="s">
        <v>92</v>
      </c>
      <c r="C26" s="18" t="s">
        <v>31</v>
      </c>
      <c r="D26" s="19" t="s">
        <v>32</v>
      </c>
      <c r="E26" s="17" t="s">
        <v>93</v>
      </c>
      <c r="F26" s="17" t="s">
        <v>94</v>
      </c>
    </row>
    <row r="27" customFormat="false" ht="30" hidden="false" customHeight="true" outlineLevel="0" collapsed="false">
      <c r="A27" s="16" t="n">
        <v>25</v>
      </c>
      <c r="B27" s="17" t="s">
        <v>95</v>
      </c>
      <c r="C27" s="18" t="s">
        <v>51</v>
      </c>
      <c r="D27" s="21" t="s">
        <v>52</v>
      </c>
      <c r="E27" s="17" t="s">
        <v>96</v>
      </c>
      <c r="F27" s="22" t="s">
        <v>97</v>
      </c>
    </row>
    <row r="28" customFormat="false" ht="30" hidden="false" customHeight="true" outlineLevel="0" collapsed="false">
      <c r="A28" s="16" t="n">
        <v>26</v>
      </c>
      <c r="B28" s="17" t="s">
        <v>98</v>
      </c>
      <c r="C28" s="18" t="s">
        <v>31</v>
      </c>
      <c r="D28" s="19" t="s">
        <v>32</v>
      </c>
      <c r="E28" s="17" t="s">
        <v>99</v>
      </c>
      <c r="F28" s="17" t="s">
        <v>100</v>
      </c>
    </row>
    <row r="29" customFormat="false" ht="30" hidden="false" customHeight="true" outlineLevel="0" collapsed="false">
      <c r="A29" s="16" t="n">
        <v>27</v>
      </c>
      <c r="B29" s="17" t="s">
        <v>101</v>
      </c>
      <c r="C29" s="18" t="s">
        <v>39</v>
      </c>
      <c r="D29" s="19" t="s">
        <v>32</v>
      </c>
      <c r="E29" s="20" t="s">
        <v>102</v>
      </c>
      <c r="F29" s="20" t="s">
        <v>37</v>
      </c>
    </row>
    <row r="30" customFormat="false" ht="30" hidden="false" customHeight="true" outlineLevel="0" collapsed="false">
      <c r="A30" s="16" t="n">
        <v>28</v>
      </c>
      <c r="B30" s="17" t="s">
        <v>103</v>
      </c>
      <c r="C30" s="18" t="s">
        <v>31</v>
      </c>
      <c r="D30" s="19" t="s">
        <v>32</v>
      </c>
      <c r="E30" s="20" t="s">
        <v>104</v>
      </c>
      <c r="F30" s="20" t="s">
        <v>37</v>
      </c>
    </row>
    <row r="31" customFormat="false" ht="30" hidden="false" customHeight="true" outlineLevel="0" collapsed="false">
      <c r="A31" s="16" t="n">
        <v>29</v>
      </c>
      <c r="B31" s="17" t="s">
        <v>105</v>
      </c>
      <c r="C31" s="18" t="s">
        <v>31</v>
      </c>
      <c r="D31" s="19" t="s">
        <v>32</v>
      </c>
      <c r="E31" s="17" t="s">
        <v>106</v>
      </c>
      <c r="F31" s="17" t="s">
        <v>107</v>
      </c>
    </row>
    <row r="32" customFormat="false" ht="30" hidden="false" customHeight="true" outlineLevel="0" collapsed="false">
      <c r="A32" s="16" t="n">
        <v>30</v>
      </c>
      <c r="B32" s="17" t="s">
        <v>108</v>
      </c>
      <c r="C32" s="18" t="s">
        <v>31</v>
      </c>
      <c r="D32" s="19" t="s">
        <v>32</v>
      </c>
      <c r="E32" s="20" t="s">
        <v>109</v>
      </c>
      <c r="F32" s="20" t="s">
        <v>37</v>
      </c>
    </row>
    <row r="33" customFormat="false" ht="30" hidden="false" customHeight="true" outlineLevel="0" collapsed="false">
      <c r="A33" s="16" t="n">
        <v>31</v>
      </c>
      <c r="B33" s="17" t="s">
        <v>110</v>
      </c>
      <c r="C33" s="18" t="s">
        <v>31</v>
      </c>
      <c r="D33" s="19" t="s">
        <v>32</v>
      </c>
      <c r="E33" s="20" t="s">
        <v>111</v>
      </c>
      <c r="F33" s="20" t="s">
        <v>37</v>
      </c>
    </row>
    <row r="34" customFormat="false" ht="30" hidden="false" customHeight="true" outlineLevel="0" collapsed="false">
      <c r="A34" s="16" t="n">
        <v>32</v>
      </c>
      <c r="B34" s="17" t="s">
        <v>112</v>
      </c>
      <c r="C34" s="18" t="s">
        <v>31</v>
      </c>
      <c r="D34" s="19" t="s">
        <v>32</v>
      </c>
      <c r="E34" s="20" t="s">
        <v>113</v>
      </c>
      <c r="F34" s="20" t="s">
        <v>37</v>
      </c>
    </row>
    <row r="35" customFormat="false" ht="30" hidden="false" customHeight="true" outlineLevel="0" collapsed="false">
      <c r="A35" s="16" t="n">
        <v>33</v>
      </c>
      <c r="B35" s="17" t="s">
        <v>114</v>
      </c>
      <c r="C35" s="18" t="s">
        <v>31</v>
      </c>
      <c r="D35" s="21" t="s">
        <v>52</v>
      </c>
      <c r="E35" s="20" t="s">
        <v>115</v>
      </c>
      <c r="F35" s="22" t="s">
        <v>116</v>
      </c>
    </row>
    <row r="36" customFormat="false" ht="30" hidden="false" customHeight="true" outlineLevel="0" collapsed="false">
      <c r="A36" s="16" t="n">
        <v>34</v>
      </c>
      <c r="B36" s="17" t="s">
        <v>117</v>
      </c>
      <c r="C36" s="18" t="s">
        <v>31</v>
      </c>
      <c r="D36" s="19" t="s">
        <v>32</v>
      </c>
      <c r="E36" s="20" t="s">
        <v>118</v>
      </c>
      <c r="F36" s="20" t="s">
        <v>37</v>
      </c>
    </row>
    <row r="37" customFormat="false" ht="30" hidden="false" customHeight="true" outlineLevel="0" collapsed="false">
      <c r="A37" s="16" t="n">
        <v>35</v>
      </c>
      <c r="B37" s="17" t="s">
        <v>119</v>
      </c>
      <c r="C37" s="18" t="s">
        <v>39</v>
      </c>
      <c r="D37" s="21" t="s">
        <v>52</v>
      </c>
      <c r="E37" s="20" t="s">
        <v>120</v>
      </c>
      <c r="F37" s="22" t="s">
        <v>121</v>
      </c>
    </row>
    <row r="38" customFormat="false" ht="30" hidden="false" customHeight="true" outlineLevel="0" collapsed="false">
      <c r="A38" s="16" t="n">
        <v>36</v>
      </c>
      <c r="B38" s="17" t="s">
        <v>122</v>
      </c>
      <c r="C38" s="18" t="s">
        <v>39</v>
      </c>
      <c r="D38" s="19" t="s">
        <v>32</v>
      </c>
      <c r="E38" s="20" t="s">
        <v>123</v>
      </c>
      <c r="F38" s="2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2026-08-31T04:16:32Z</dcterms:created>
  <dc:creator>openpyxl</dc:creator>
  <dc:description/>
  <dc:language>en-US</dc:language>
  <cp:lastModifiedBy/>
  <dcterms:modified xsi:type="dcterms:W3CDTF">2026-08-31T04:16:32Z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
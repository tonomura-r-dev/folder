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IM3_LINE登録2%" sheetId="1" state="visible" r:id="rId1"/>
    <sheet xmlns:r="http://schemas.openxmlformats.org/officeDocument/2006/relationships" name="SIM3_比較" sheetId="2" state="visible" r:id="rId2"/>
    <sheet xmlns:r="http://schemas.openxmlformats.org/officeDocument/2006/relationships" name="SIM考え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¥&quot;#,##0;[Red]&quot;¥&quot;\-#,##0"/>
  </numFmts>
  <fonts count="2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メイリオ"/>
      <charset val="128"/>
      <family val="3"/>
      <b val="1"/>
      <color theme="1"/>
      <sz val="14"/>
    </font>
    <font>
      <name val="メイリオ"/>
      <charset val="128"/>
      <family val="3"/>
      <color theme="1"/>
      <sz val="14"/>
    </font>
    <font>
      <name val="メイリオ"/>
      <charset val="128"/>
      <family val="3"/>
      <b val="1"/>
      <color theme="0"/>
      <sz val="11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0" tint="-0.3499862666707358"/>
      <sz val="11"/>
    </font>
    <font>
      <name val="メイリオ"/>
      <charset val="128"/>
      <family val="3"/>
      <b val="1"/>
      <color theme="1"/>
      <sz val="11"/>
    </font>
    <font>
      <name val="メイリオ"/>
      <charset val="128"/>
      <family val="3"/>
      <color theme="1"/>
      <sz val="10"/>
    </font>
    <font>
      <name val="メイリオ"/>
      <charset val="128"/>
      <family val="3"/>
      <color theme="1"/>
      <sz val="9"/>
    </font>
    <font>
      <name val="メイリオ"/>
      <charset val="128"/>
      <family val="3"/>
      <color rgb="FFFF0000"/>
      <sz val="11"/>
    </font>
    <font>
      <name val="メイリオ"/>
      <charset val="128"/>
      <family val="3"/>
      <b val="1"/>
      <color rgb="FFFF0000"/>
      <sz val="11"/>
    </font>
    <font>
      <name val="メイリオ"/>
      <charset val="128"/>
      <family val="3"/>
      <b val="1"/>
      <color theme="1"/>
      <sz val="10"/>
    </font>
    <font>
      <name val="メイリオ"/>
      <charset val="128"/>
      <family val="3"/>
      <color theme="2" tint="-0.499984740745262"/>
      <sz val="11"/>
    </font>
    <font>
      <name val="メイリオ"/>
      <charset val="128"/>
      <family val="3"/>
      <b val="1"/>
      <color theme="1"/>
      <sz val="20"/>
    </font>
    <font>
      <name val="メイリオ"/>
      <charset val="128"/>
      <family val="3"/>
      <color rgb="FF000000"/>
      <sz val="11"/>
    </font>
    <font>
      <name val="メイリオ"/>
      <charset val="128"/>
      <family val="3"/>
      <color rgb="FF000000"/>
      <sz val="12"/>
    </font>
    <font>
      <name val="Arial"/>
      <family val="2"/>
      <sz val="12"/>
    </font>
    <font>
      <name val="メイリオ"/>
      <charset val="128"/>
      <family val="3"/>
      <color rgb="FFFF0000"/>
      <sz val="12"/>
    </font>
    <font>
      <name val="メイリオ"/>
      <charset val="128"/>
      <family val="3"/>
      <b val="1"/>
      <color rgb="FF000000"/>
      <sz val="12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メイリオ"/>
      <charset val="128"/>
      <family val="3"/>
      <color theme="2" tint="-0.749992370372631"/>
      <sz val="11"/>
    </font>
    <font>
      <name val="メイリオ"/>
      <charset val="128"/>
      <family val="3"/>
      <color theme="0" tint="-0.249977111117893"/>
      <sz val="11"/>
    </font>
    <font>
      <name val="メイリオ"/>
      <charset val="128"/>
      <family val="3"/>
      <color rgb="FFFF0000"/>
      <sz val="9"/>
    </font>
  </fonts>
  <fills count="1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0.0999786370433668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9" fontId="1" fillId="0" borderId="0" applyAlignment="1">
      <alignment vertical="center"/>
    </xf>
  </cellStyleXfs>
  <cellXfs count="19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right" vertical="center"/>
    </xf>
    <xf numFmtId="38" fontId="6" fillId="0" borderId="1" applyAlignment="1" pivotButton="0" quotePrefix="0" xfId="1">
      <alignment vertical="center"/>
    </xf>
    <xf numFmtId="0" fontId="6" fillId="9" borderId="1" applyAlignment="1" pivotButton="0" quotePrefix="0" xfId="0">
      <alignment vertical="center"/>
    </xf>
    <xf numFmtId="38" fontId="6" fillId="9" borderId="1" applyAlignment="1" pivotButton="0" quotePrefix="0" xfId="1">
      <alignment vertical="center"/>
    </xf>
    <xf numFmtId="0" fontId="8" fillId="8" borderId="1" applyAlignment="1" pivotButton="0" quotePrefix="0" xfId="0">
      <alignment vertical="center"/>
    </xf>
    <xf numFmtId="0" fontId="7" fillId="9" borderId="1" applyAlignment="1" pivotButton="0" quotePrefix="1" xfId="0">
      <alignment horizontal="right" vertical="center"/>
    </xf>
    <xf numFmtId="0" fontId="10" fillId="0" borderId="0" applyAlignment="1" pivotButton="0" quotePrefix="0" xfId="0">
      <alignment vertical="center"/>
    </xf>
    <xf numFmtId="0" fontId="6" fillId="0" borderId="1" applyAlignment="1" pivotButton="0" quotePrefix="1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0" fontId="6" fillId="0" borderId="0" applyAlignment="1" pivotButton="0" quotePrefix="0" xfId="3">
      <alignment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6" fillId="0" borderId="0" applyAlignment="1" pivotButton="0" quotePrefix="0" xfId="3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0" fontId="6" fillId="0" borderId="1" applyAlignment="1" pivotButton="0" quotePrefix="0" xfId="3">
      <alignment vertical="center"/>
    </xf>
    <xf numFmtId="165" fontId="8" fillId="0" borderId="1" applyAlignment="1" pivotButton="0" quotePrefix="0" xfId="2">
      <alignment horizontal="center" vertical="center"/>
    </xf>
    <xf numFmtId="3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55" fontId="5" fillId="3" borderId="1" applyAlignment="1" pivotButton="0" quotePrefix="0" xfId="0">
      <alignment horizontal="center" vertical="center"/>
    </xf>
    <xf numFmtId="165" fontId="6" fillId="0" borderId="0" applyAlignment="1" pivotButton="0" quotePrefix="0" xfId="2">
      <alignment vertical="center"/>
    </xf>
    <xf numFmtId="0" fontId="8" fillId="0" borderId="1" applyAlignment="1" pivotButton="0" quotePrefix="1" xfId="0">
      <alignment horizontal="center"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3">
      <alignment vertical="center"/>
    </xf>
    <xf numFmtId="38" fontId="11" fillId="0" borderId="0" applyAlignment="1" pivotButton="0" quotePrefix="0" xfId="1">
      <alignment vertical="center"/>
    </xf>
    <xf numFmtId="3" fontId="17" fillId="12" borderId="7" applyAlignment="1" pivotButton="0" quotePrefix="0" xfId="0">
      <alignment horizontal="center" vertical="center" wrapText="1" readingOrder="1"/>
    </xf>
    <xf numFmtId="3" fontId="17" fillId="0" borderId="7" applyAlignment="1" pivotButton="0" quotePrefix="0" xfId="0">
      <alignment horizontal="center" vertical="center" wrapText="1" readingOrder="1"/>
    </xf>
    <xf numFmtId="0" fontId="17" fillId="12" borderId="7" applyAlignment="1" pivotButton="0" quotePrefix="0" xfId="0">
      <alignment horizontal="right" vertical="center" wrapText="1" readingOrder="1"/>
    </xf>
    <xf numFmtId="0" fontId="17" fillId="0" borderId="7" applyAlignment="1" pivotButton="0" quotePrefix="0" xfId="0">
      <alignment horizontal="right" vertical="center" wrapText="1" readingOrder="1"/>
    </xf>
    <xf numFmtId="3" fontId="17" fillId="0" borderId="7" applyAlignment="1" pivotButton="0" quotePrefix="0" xfId="0">
      <alignment horizontal="right" vertical="center" wrapText="1" readingOrder="1"/>
    </xf>
    <xf numFmtId="10" fontId="17" fillId="0" borderId="7" applyAlignment="1" pivotButton="0" quotePrefix="0" xfId="0">
      <alignment horizontal="right" vertical="center" wrapText="1" readingOrder="1"/>
    </xf>
    <xf numFmtId="0" fontId="19" fillId="12" borderId="7" applyAlignment="1" pivotButton="0" quotePrefix="0" xfId="0">
      <alignment horizontal="right" vertical="center" wrapText="1" readingOrder="1"/>
    </xf>
    <xf numFmtId="3" fontId="19" fillId="0" borderId="7" applyAlignment="1" pivotButton="0" quotePrefix="0" xfId="0">
      <alignment horizontal="right" vertical="center" wrapText="1" readingOrder="1"/>
    </xf>
    <xf numFmtId="3" fontId="20" fillId="0" borderId="7" applyAlignment="1" pivotButton="0" quotePrefix="0" xfId="0">
      <alignment horizontal="right" vertical="center" wrapText="1" readingOrder="1"/>
    </xf>
    <xf numFmtId="165" fontId="6" fillId="10" borderId="1" applyAlignment="1" pivotButton="0" quotePrefix="0" xfId="2">
      <alignment vertical="center"/>
    </xf>
    <xf numFmtId="0" fontId="9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5" fillId="0" borderId="0" applyAlignment="1" pivotButton="0" quotePrefix="1" xfId="0">
      <alignment vertical="center"/>
    </xf>
    <xf numFmtId="0" fontId="18" fillId="0" borderId="7" applyAlignment="1" pivotButton="0" quotePrefix="0" xfId="0">
      <alignment horizontal="center" vertical="center" wrapText="1"/>
    </xf>
    <xf numFmtId="0" fontId="18" fillId="10" borderId="7" applyAlignment="1" pivotButton="0" quotePrefix="0" xfId="0">
      <alignment horizontal="center" vertical="center" wrapText="1"/>
    </xf>
    <xf numFmtId="0" fontId="22" fillId="13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  <xf numFmtId="38" fontId="17" fillId="0" borderId="7" applyAlignment="1" pivotButton="0" quotePrefix="0" xfId="1">
      <alignment horizontal="right" vertical="center" wrapText="1" readingOrder="1"/>
    </xf>
    <xf numFmtId="0" fontId="8" fillId="0" borderId="1" applyAlignment="1" pivotButton="0" quotePrefix="1" xfId="0">
      <alignment horizontal="right" vertical="center"/>
    </xf>
    <xf numFmtId="165" fontId="8" fillId="0" borderId="1" applyAlignment="1" pivotButton="0" quotePrefix="0" xfId="2">
      <alignment vertical="center"/>
    </xf>
    <xf numFmtId="0" fontId="21" fillId="0" borderId="0" applyAlignment="1" pivotButton="0" quotePrefix="0" xfId="0">
      <alignment horizontal="center" vertical="center"/>
    </xf>
    <xf numFmtId="0" fontId="21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12" fillId="10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9" fontId="11" fillId="0" borderId="0" applyAlignment="1" pivotButton="0" quotePrefix="0" xfId="3">
      <alignment horizontal="center" vertical="center"/>
    </xf>
    <xf numFmtId="0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164" fontId="8" fillId="7" borderId="0" applyAlignment="1" pivotButton="0" quotePrefix="0" xfId="3">
      <alignment horizontal="center" vertical="center"/>
    </xf>
    <xf numFmtId="9" fontId="6" fillId="7" borderId="0" applyAlignment="1" pivotButton="0" quotePrefix="0" xfId="0">
      <alignment horizontal="center" vertical="center"/>
    </xf>
    <xf numFmtId="10" fontId="6" fillId="7" borderId="0" applyAlignment="1" pivotButton="0" quotePrefix="0" xfId="3">
      <alignment horizontal="center" vertical="center"/>
    </xf>
    <xf numFmtId="165" fontId="6" fillId="0" borderId="1" applyAlignment="1" pivotButton="0" quotePrefix="1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5" fontId="6" fillId="10" borderId="1" applyAlignment="1" pivotButton="0" quotePrefix="0" xfId="2">
      <alignment horizontal="right" vertical="center"/>
    </xf>
    <xf numFmtId="3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3">
      <alignment vertical="center"/>
    </xf>
    <xf numFmtId="165" fontId="6" fillId="0" borderId="1" applyAlignment="1" pivotButton="0" quotePrefix="0" xfId="2">
      <alignment horizontal="right" vertical="center"/>
    </xf>
    <xf numFmtId="38" fontId="6" fillId="0" borderId="0" applyAlignment="1" pivotButton="0" quotePrefix="0" xfId="1">
      <alignment vertical="center"/>
    </xf>
    <xf numFmtId="0" fontId="8" fillId="11" borderId="0" applyAlignment="1" pivotButton="0" quotePrefix="0" xfId="0">
      <alignment vertical="center"/>
    </xf>
    <xf numFmtId="0" fontId="8" fillId="13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2" borderId="6" applyAlignment="1" pivotButton="0" quotePrefix="0" xfId="0">
      <alignment horizontal="right" vertical="center"/>
    </xf>
    <xf numFmtId="165" fontId="6" fillId="2" borderId="6" applyAlignment="1" pivotButton="0" quotePrefix="0" xfId="0">
      <alignment horizontal="right" vertical="center"/>
    </xf>
    <xf numFmtId="0" fontId="8" fillId="7" borderId="6" applyAlignment="1" pivotButton="0" quotePrefix="0" xfId="0">
      <alignment horizontal="right" vertical="center"/>
    </xf>
    <xf numFmtId="38" fontId="19" fillId="12" borderId="7" applyAlignment="1" pivotButton="0" quotePrefix="0" xfId="1">
      <alignment horizontal="right" vertical="center" wrapText="1" readingOrder="1"/>
    </xf>
    <xf numFmtId="164" fontId="17" fillId="12" borderId="7" applyAlignment="1" pivotButton="0" quotePrefix="0" xfId="3">
      <alignment horizontal="right" vertical="center" wrapText="1" readingOrder="1"/>
    </xf>
    <xf numFmtId="38" fontId="17" fillId="12" borderId="7" applyAlignment="1" pivotButton="0" quotePrefix="0" xfId="1">
      <alignment horizontal="right" vertical="center" wrapText="1" readingOrder="1"/>
    </xf>
    <xf numFmtId="38" fontId="20" fillId="12" borderId="7" applyAlignment="1" pivotButton="0" quotePrefix="0" xfId="1">
      <alignment horizontal="right" vertical="center" wrapText="1" readingOrder="1"/>
    </xf>
    <xf numFmtId="165" fontId="5" fillId="5" borderId="6" applyAlignment="1" pivotButton="0" quotePrefix="0" xfId="0">
      <alignment horizontal="right" vertical="center"/>
    </xf>
    <xf numFmtId="38" fontId="16" fillId="0" borderId="7" applyAlignment="1" pivotButton="0" quotePrefix="0" xfId="1">
      <alignment horizontal="right" vertical="center" wrapText="1" readingOrder="1"/>
    </xf>
    <xf numFmtId="0" fontId="6" fillId="8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38" fontId="6" fillId="9" borderId="1" applyAlignment="1" pivotButton="0" quotePrefix="0" xfId="0">
      <alignment vertical="center"/>
    </xf>
    <xf numFmtId="9" fontId="8" fillId="0" borderId="0" applyAlignment="1" pivotButton="0" quotePrefix="0" xfId="3">
      <alignment vertical="center"/>
    </xf>
    <xf numFmtId="38" fontId="6" fillId="0" borderId="1" applyAlignment="1" pivotButton="0" quotePrefix="0" xfId="0">
      <alignment vertical="center"/>
    </xf>
    <xf numFmtId="0" fontId="5" fillId="5" borderId="5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38" fontId="8" fillId="7" borderId="9" applyAlignment="1" pivotButton="0" quotePrefix="0" xfId="1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38" fontId="8" fillId="7" borderId="0" applyAlignment="1" pivotButton="0" quotePrefix="0" xfId="1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38" fontId="8" fillId="7" borderId="14" applyAlignment="1" pivotButton="0" quotePrefix="0" xfId="1">
      <alignment horizontal="center" vertical="center"/>
    </xf>
    <xf numFmtId="0" fontId="8" fillId="0" borderId="14" applyAlignment="1" pivotButton="0" quotePrefix="0" xfId="0">
      <alignment horizontal="center" vertical="center"/>
    </xf>
    <xf numFmtId="38" fontId="8" fillId="7" borderId="10" applyAlignment="1" pivotButton="0" quotePrefix="0" xfId="1">
      <alignment horizontal="center" vertical="center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14" fontId="8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" applyAlignment="1" pivotButton="0" quotePrefix="0" xfId="0">
      <alignment horizontal="center" vertical="center" wrapText="1"/>
    </xf>
    <xf numFmtId="164" fontId="6" fillId="0" borderId="0" applyAlignment="1" pivotButton="0" quotePrefix="0" xfId="3">
      <alignment horizontal="center" vertical="center"/>
    </xf>
    <xf numFmtId="164" fontId="8" fillId="7" borderId="0" applyAlignment="1" pivotButton="0" quotePrefix="0" xfId="3">
      <alignment horizontal="center" vertical="center"/>
    </xf>
    <xf numFmtId="164" fontId="17" fillId="12" borderId="7" applyAlignment="1" pivotButton="0" quotePrefix="0" xfId="3">
      <alignment horizontal="right" vertical="center" wrapText="1" readingOrder="1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0" fontId="6" fillId="7" borderId="1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65" fontId="6" fillId="2" borderId="6" applyAlignment="1" pivotButton="0" quotePrefix="0" xfId="0">
      <alignment horizontal="right" vertical="center"/>
    </xf>
    <xf numFmtId="165" fontId="6" fillId="0" borderId="1" applyAlignment="1" pivotButton="0" quotePrefix="1" xfId="0">
      <alignment horizontal="right"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165" fontId="8" fillId="0" borderId="1" applyAlignment="1" pivotButton="0" quotePrefix="0" xfId="2">
      <alignment vertical="center"/>
    </xf>
    <xf numFmtId="165" fontId="5" fillId="5" borderId="6" applyAlignment="1" pivotButton="0" quotePrefix="0" xfId="0">
      <alignment horizontal="right" vertical="center"/>
    </xf>
    <xf numFmtId="165" fontId="6" fillId="0" borderId="1" applyAlignment="1" pivotButton="0" quotePrefix="0" xfId="3">
      <alignment vertical="center"/>
    </xf>
    <xf numFmtId="165" fontId="6" fillId="0" borderId="0" applyAlignment="1" pivotButton="0" quotePrefix="0" xfId="2">
      <alignment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2">
      <alignment horizontal="right" vertical="center"/>
    </xf>
    <xf numFmtId="165" fontId="6" fillId="10" borderId="1" applyAlignment="1" pivotButton="0" quotePrefix="0" xfId="2">
      <alignment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165" fontId="6" fillId="10" borderId="1" applyAlignment="1" pivotButton="0" quotePrefix="0" xfId="2">
      <alignment horizontal="right" vertical="center"/>
    </xf>
    <xf numFmtId="164" fontId="6" fillId="0" borderId="1" applyAlignment="1" pivotButton="0" quotePrefix="0" xfId="3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</cellXfs>
  <cellStyles count="4">
    <cellStyle name="標準" xfId="0" builtinId="0"/>
    <cellStyle name="桁区切り" xfId="1" builtinId="6"/>
    <cellStyle name="通貨" xfId="2" builtinId="7"/>
    <cellStyle name="パーセント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76"/>
  <sheetViews>
    <sheetView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株式会社チェングロウス御中_LINEOA施策提案【SIM】（通知メッセージ無・LINEで登録2.0%）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会員登録（LINEで登録・Profile+）</t>
        </is>
      </c>
      <c r="D8" s="160" t="n">
        <v>0</v>
      </c>
      <c r="G8" s="143" t="inlineStr">
        <is>
          <t>UU</t>
        </is>
      </c>
      <c r="H8" s="144" t="n">
        <v>6100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求人応募（LINE経由）</t>
        </is>
      </c>
      <c r="D9" s="160" t="n">
        <v>0</v>
      </c>
      <c r="G9" s="146" t="inlineStr">
        <is>
          <t>広告・アフィUU</t>
        </is>
      </c>
      <c r="H9" s="147" t="n">
        <v>5000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サイト応募（広告経由）</t>
        </is>
      </c>
      <c r="H10" s="147" t="n">
        <v>45</v>
      </c>
      <c r="I10" s="148" t="n"/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n"/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1か月目（4月）</t>
        </is>
      </c>
      <c r="F13" s="36" t="inlineStr">
        <is>
          <t>2か月目（5月）</t>
        </is>
      </c>
      <c r="G13" s="36" t="inlineStr">
        <is>
          <t>3か月目（6月）</t>
        </is>
      </c>
      <c r="H13" s="36" t="inlineStr">
        <is>
          <t>4か月目（7月）</t>
        </is>
      </c>
      <c r="I13" s="36" t="inlineStr">
        <is>
          <t>5か月目（8月）</t>
        </is>
      </c>
      <c r="J13" s="36" t="inlineStr">
        <is>
          <t>6か月目（9月）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 t="n">
        <v>6207</v>
      </c>
      <c r="F14" s="43" t="n">
        <v>6112</v>
      </c>
      <c r="G14" s="43" t="n">
        <v>6066</v>
      </c>
      <c r="H14" s="43" t="n">
        <v>6179</v>
      </c>
      <c r="I14" s="43" t="n">
        <v>6005</v>
      </c>
      <c r="J14" s="43" t="n">
        <v>6243</v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 t="n">
        <v>5088</v>
      </c>
      <c r="F15" s="43" t="n">
        <v>5010</v>
      </c>
      <c r="G15" s="43" t="n">
        <v>4972</v>
      </c>
      <c r="H15" s="43" t="n">
        <v>5065</v>
      </c>
      <c r="I15" s="43" t="n">
        <v>4922</v>
      </c>
      <c r="J15" s="43" t="n">
        <v>5118</v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 t="n">
        <v>40</v>
      </c>
      <c r="F16" s="43" t="n">
        <v>41</v>
      </c>
      <c r="G16" s="43" t="n">
        <v>43</v>
      </c>
      <c r="H16" s="43" t="n">
        <v>45</v>
      </c>
      <c r="I16" s="43" t="n">
        <v>44</v>
      </c>
      <c r="J16" s="43" t="n">
        <v>47</v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IF(E17=FALSE,0,IF(E65=0,0,IFERROR(E65/P30,"D63を記入してください")))</f>
        <v/>
      </c>
      <c r="F22" s="63">
        <f>E22*1.01</f>
        <v/>
      </c>
      <c r="G22" s="63">
        <f>F22*1.01</f>
        <v/>
      </c>
      <c r="H22" s="63">
        <f>G22*1.01</f>
        <v/>
      </c>
      <c r="I22" s="63">
        <f>H22*1.01</f>
        <v/>
      </c>
      <c r="J22" s="63">
        <f>I22*1.01</f>
        <v/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IF(E18=FALSE,0,E14*0.4*0.125*0.125*0.62)</f>
        <v/>
      </c>
      <c r="F23" s="46">
        <f>IF(F18=FALSE,0,F14*0.4*0.125*0.125*0.81)</f>
        <v/>
      </c>
      <c r="G23" s="63">
        <f>IF(G18=FALSE,0,G14*0.4*0.125*0.125*0.93)</f>
        <v/>
      </c>
      <c r="H23" s="63">
        <f>IF(H18=FALSE,0,H14*0.4*0.125*0.125*1.0)</f>
        <v/>
      </c>
      <c r="I23" s="63">
        <f>IF(I18=FALSE,0,I14*0.4*0.125*0.125*1.03)</f>
        <v/>
      </c>
      <c r="J23" s="63">
        <f>IF(J18=FALSE,0,J14*0.4*0.125*0.125*1.05)</f>
        <v/>
      </c>
      <c r="K23" s="11" t="n"/>
      <c r="L23" s="7" t="n"/>
      <c r="N23" s="69" t="inlineStr">
        <is>
          <t>離脱防止：UU×表示40%×クリック12.5%×追加12.5%×立ち上げ係数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IF(E19=FALSE,0,E16*0.8*0.45*0.62)</f>
        <v/>
      </c>
      <c r="F24" s="63">
        <f>IF(F19=FALSE,0,F16*0.8*0.45*0.81)</f>
        <v/>
      </c>
      <c r="G24" s="63">
        <f>IF(G19=FALSE,0,G16*0.8*0.45*0.93)</f>
        <v/>
      </c>
      <c r="H24" s="63">
        <f>IF(H19=FALSE,0,H16*0.8*0.45*1.0)</f>
        <v/>
      </c>
      <c r="I24" s="63">
        <f>IF(I19=FALSE,0,I16*0.8*0.45*1.03)</f>
        <v/>
      </c>
      <c r="J24" s="63">
        <f>IF(J19=FALSE,0,J16*0.8*0.45*1.05)</f>
        <v/>
      </c>
      <c r="K24" s="11" t="n"/>
      <c r="L24" s="7" t="n"/>
      <c r="N24" s="69" t="inlineStr">
        <is>
          <t>完了画面：サイト応募×遷移80%×追加45%×立ち上げ係数（応募済みの人。リマインドのみでCVには数えない）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IF(E20=FALSE,0,E16*(1-0.8*0.45*0.62)*0.7*0.3)</f>
        <v/>
      </c>
      <c r="F25" s="46">
        <f>IF(F20=FALSE,0,F16*(1-0.8*0.45*0.81)*0.7*0.3)</f>
        <v/>
      </c>
      <c r="G25" s="46">
        <f>IF(G20=FALSE,0,G16*(1-0.8*0.45*0.93)*0.7*0.3)</f>
        <v/>
      </c>
      <c r="H25" s="46">
        <f>IF(H20=FALSE,0,H16*(1-0.8*0.45*1.0)*0.7*0.3)</f>
        <v/>
      </c>
      <c r="I25" s="46">
        <f>IF(I20=FALSE,0,I16*(1-0.8*0.45*1.03)*0.7*0.3)</f>
        <v/>
      </c>
      <c r="J25" s="46">
        <f>IF(J20=FALSE,0,J16*(1-0.8*0.45*1.05)*0.7*0.3)</f>
        <v/>
      </c>
      <c r="K25" s="11" t="n"/>
      <c r="L25" s="7" t="n"/>
      <c r="N25" s="69" t="inlineStr">
        <is>
          <t>通知メッセ：完了画面で追加しなかった応募者×情報一致70%×追加30%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SUM(E22:E25)+E14*0.02*0.62</f>
        <v/>
      </c>
      <c r="F26" s="46">
        <f>SUM(F22:F25)+F14*0.02*0.81</f>
        <v/>
      </c>
      <c r="G26" s="46">
        <f>SUM(G22:G25)+G14*0.02*0.93</f>
        <v/>
      </c>
      <c r="H26" s="46">
        <f>SUM(H22:H25)+H14*0.02*1.0</f>
        <v/>
      </c>
      <c r="I26" s="46">
        <f>SUM(I22:I25)+I14*0.02*1.03</f>
        <v/>
      </c>
      <c r="J26" s="46">
        <f>SUM(J22:J25)+J14*0.02*1.05</f>
        <v/>
      </c>
      <c r="K26" s="11" t="n"/>
      <c r="L26" s="7" t="n"/>
      <c r="N26" s="72" t="inlineStr">
        <is>
          <t>＋サイト内「LINEで登録」：UU×2.0%×立ち上げ係数（Profile+で入力ほぼゼロになる前提）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 t="n">
        <v>0.391</v>
      </c>
      <c r="G27" s="47" t="n">
        <v>0.378</v>
      </c>
      <c r="H27" s="47" t="n">
        <v>0.362</v>
      </c>
      <c r="I27" s="47" t="n">
        <v>0.359</v>
      </c>
      <c r="J27" s="47" t="n">
        <v>0.344</v>
      </c>
      <c r="K27" s="11" t="n"/>
      <c r="L27" s="7" t="n"/>
      <c r="N27" s="0" t="inlineStr">
        <is>
          <t>ブロック率：40%前後から出し分け配信で徐々に低下（目標30%以内）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/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+E31+E33+1.05*(E31+E33)+E29*0.3*2</f>
        <v/>
      </c>
      <c r="F35" s="50">
        <f>+F31+F33+1.05*(F31+F33)+F29*0.3*2</f>
        <v/>
      </c>
      <c r="G35" s="50">
        <f>+G31+G33+1.05*(G31+G33)+G29*0.3*2</f>
        <v/>
      </c>
      <c r="H35" s="50">
        <f>+H31+H33+1.05*(H31+H33)+H29*0.3*2</f>
        <v/>
      </c>
      <c r="I35" s="50">
        <f>+I31+I33+1.05*(I31+I33)+I29*0.3*2</f>
        <v/>
      </c>
      <c r="J35" s="50">
        <f>+J31+J33+1.05*(J31+J33)+J29*0.3*2</f>
        <v/>
      </c>
      <c r="K35" s="11" t="n"/>
      <c r="L35" s="7" t="n"/>
      <c r="N35" s="0" t="inlineStr">
        <is>
          <t>＋リッチメニューのタップ：有効な友だち×月に使う率30%×2回</t>
        </is>
      </c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>
        <f>ROUND(E14*0.02*0.62,0)</f>
        <v/>
      </c>
      <c r="F36" s="111">
        <f>ROUND(F14*0.02*0.81,0)</f>
        <v/>
      </c>
      <c r="G36" s="111">
        <f>ROUND(G14*0.02*0.93,0)</f>
        <v/>
      </c>
      <c r="H36" s="111">
        <f>ROUND(H14*0.02*1.0,0)</f>
        <v/>
      </c>
      <c r="I36" s="111">
        <f>ROUND(I14*0.02*1.03,0)</f>
        <v/>
      </c>
      <c r="J36" s="111">
        <f>ROUND(J14*0.02*1.05,0)</f>
        <v/>
      </c>
      <c r="K36" s="115">
        <f>SUM(E36:J36)</f>
        <v/>
      </c>
      <c r="L36" s="7" t="n"/>
      <c r="N36" s="69" t="inlineStr">
        <is>
          <t>CV①会員登録：UU×2.0%×立ち上げ係数（Profile+で入力ほぼゼロ）。CPA・CVRには含めない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1+ROUND(E29*(1-SUM($E$24:E25)/E28)*0.3*2*0.015,0)</f>
        <v/>
      </c>
      <c r="F37" s="111">
        <f>2+ROUND(F29*(1-SUM($E$24:F25)/F28)*0.3*2*0.015,0)</f>
        <v/>
      </c>
      <c r="G37" s="111">
        <f>3+ROUND(G29*(1-SUM($E$24:G25)/G28)*0.3*2*0.015,0)</f>
        <v/>
      </c>
      <c r="H37" s="111">
        <f>3+ROUND(H29*(1-SUM($E$24:H25)/H28)*0.3*2*0.015,0)</f>
        <v/>
      </c>
      <c r="I37" s="111">
        <f>4+ROUND(I29*(1-SUM($E$24:I25)/I28)*0.3*2*0.015,0)</f>
        <v/>
      </c>
      <c r="J37" s="111">
        <f>6+ROUND(J29*(1-SUM($E$24:J25)/J28)*0.3*2*0.015,0)</f>
        <v/>
      </c>
      <c r="K37" s="115">
        <f>SUM(E37:J37)</f>
        <v/>
      </c>
      <c r="L37" s="7" t="n"/>
      <c r="N37" s="69" t="inlineStr">
        <is>
          <t>CV②求人応募（LINE経由）＝配信経由（仮の数字）＋リッチメニュー経由（応募済みを除く有効な友だち×30%×2回×1.5%）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+D37</f>
        <v/>
      </c>
      <c r="E40" s="10">
        <f>+E37</f>
        <v/>
      </c>
      <c r="F40" s="10">
        <f>+F37</f>
        <v/>
      </c>
      <c r="G40" s="10">
        <f>+G37</f>
        <v/>
      </c>
      <c r="H40" s="10">
        <f>+H37</f>
        <v/>
      </c>
      <c r="I40" s="10">
        <f>+I37</f>
        <v/>
      </c>
      <c r="J40" s="10">
        <f>+J37</f>
        <v/>
      </c>
      <c r="K40" s="115">
        <f>SUM(E40:J40)</f>
        <v/>
      </c>
      <c r="L40" s="7" t="n"/>
      <c r="N40" s="0" t="inlineStr">
        <is>
          <t>合計CVはCV②（応募）のみ。CPA・CVRは応募で計算</t>
        </is>
      </c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100000</v>
      </c>
      <c r="E67" s="178" t="n">
        <v>50000</v>
      </c>
      <c r="F67" s="178" t="n">
        <v>50000</v>
      </c>
      <c r="G67" s="178" t="n">
        <v>50000</v>
      </c>
      <c r="H67" s="178" t="n">
        <v>50000</v>
      </c>
      <c r="I67" s="178" t="n">
        <v>50000</v>
      </c>
      <c r="J67" s="178" t="n">
        <v>50000</v>
      </c>
      <c r="N67" s="69" t="inlineStr">
        <is>
          <t>サンクスLINE誘導ツール：初期10万・月5万（FMTの目安）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200000</v>
      </c>
      <c r="F69" s="178" t="n">
        <v>200000</v>
      </c>
      <c r="G69" s="178" t="n">
        <v>200000</v>
      </c>
      <c r="H69" s="178" t="n">
        <v>200000</v>
      </c>
      <c r="I69" s="178" t="n">
        <v>200000</v>
      </c>
      <c r="J69" s="178" t="n">
        <v>200000</v>
      </c>
      <c r="N69" s="69" t="inlineStr">
        <is>
          <t>LINE運用コンサル（初期20万・月20万）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通知メッセージ初期費用（有のみ）</t>
        </is>
      </c>
    </row>
    <row r="71">
      <c r="A71" s="15" t="n"/>
      <c r="B71" s="6" t="inlineStr">
        <is>
          <t>機能拡張</t>
        </is>
      </c>
      <c r="C71" s="184" t="n">
        <v>0</v>
      </c>
      <c r="D71" s="185" t="n">
        <v>0</v>
      </c>
      <c r="E71" s="178">
        <f>IF(E20=FALSE,0,80000+ROUND(E16*(1-0.8*0.45*0.62),0)*7)</f>
        <v/>
      </c>
      <c r="F71" s="178">
        <f>IF(F20=FALSE,0,80000+ROUND(F16*(1-0.8*0.45*0.81),0)*7)</f>
        <v/>
      </c>
      <c r="G71" s="178">
        <f>IF(G20=FALSE,0,80000+ROUND(G16*(1-0.8*0.45*0.93),0)*7)</f>
        <v/>
      </c>
      <c r="H71" s="178">
        <f>IF(H20=FALSE,0,80000+ROUND(H16*(1-0.8*0.45*1.0),0)*7)</f>
        <v/>
      </c>
      <c r="I71" s="178">
        <f>IF(I20=FALSE,0,80000+ROUND(I16*(1-0.8*0.45*1.03),0)*7)</f>
        <v/>
      </c>
      <c r="J71" s="178">
        <f>IF(J20=FALSE,0,80000+ROUND(J16*(1-0.8*0.45*1.05),0)*7)</f>
        <v/>
      </c>
      <c r="N71" s="69" t="inlineStr">
        <is>
          <t>通知メッセージ：ツール費月8万＋通数×7円（有のみ）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+'SIM3_LINE登録2%'!D24</f>
        <v/>
      </c>
      <c r="D4" s="178">
        <f>+'SIM3_LINE登録2%'!G51</f>
        <v/>
      </c>
      <c r="E4" s="178">
        <f>+'SIM3_LINE登録2%'!J51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+'SIM3_LINE登録2%'!D25</f>
        <v/>
      </c>
      <c r="D5" s="178">
        <f>+'SIM3_LINE登録2%'!G61</f>
        <v/>
      </c>
      <c r="E5" s="178">
        <f>+'SIM3_LINE登録2%'!J61</f>
        <v/>
      </c>
      <c r="F5" s="177" t="n"/>
    </row>
    <row r="6">
      <c r="A6" s="85" t="inlineStr">
        <is>
          <t>友だち数想定</t>
        </is>
      </c>
      <c r="B6" s="7" t="n"/>
      <c r="C6" s="117">
        <f>+'SIM3_LINE登録2%'!D28</f>
        <v/>
      </c>
      <c r="D6" s="87">
        <f>+'SIM3_LINE登録2%'!G28</f>
        <v/>
      </c>
      <c r="E6" s="87">
        <f>+'SIM3_LINE登録2%'!J28</f>
        <v/>
      </c>
      <c r="F6" s="10" t="n"/>
    </row>
    <row r="7">
      <c r="A7" s="85" t="inlineStr">
        <is>
          <t>ブロック率想定</t>
        </is>
      </c>
      <c r="B7" s="7" t="n"/>
      <c r="C7" s="88">
        <f>+'SIM3_LINE登録2%'!D27</f>
        <v/>
      </c>
      <c r="D7" s="189">
        <f>'SIM3_LINE登録2%'!G27</f>
        <v/>
      </c>
      <c r="E7" s="189">
        <f>'SIM3_LINE登録2%'!J27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+'SIM3_LINE登録2%'!D29</f>
        <v/>
      </c>
      <c r="D8" s="10">
        <f>+'SIM3_LINE登録2%'!G29</f>
        <v/>
      </c>
      <c r="E8" s="10">
        <f>+'SIM3_LINE登録2%'!J29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+'SIM3_LINE登録2%'!D34</f>
        <v/>
      </c>
      <c r="D10" s="10">
        <f>+'SIM3_LINE登録2%'!G34</f>
        <v/>
      </c>
      <c r="E10" s="10">
        <f>+'SIM3_LINE登録2%'!J34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+'SIM3_LINE登録2%'!D35</f>
        <v/>
      </c>
      <c r="D11" s="10">
        <f>+'SIM3_LINE登録2%'!G35</f>
        <v/>
      </c>
      <c r="E11" s="10">
        <f>+'SIM3_LINE登録2%'!J35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+'SIM3_LINE登録2%'!D16</f>
        <v/>
      </c>
      <c r="D15" s="87">
        <f>+'SIM3_LINE登録2%'!E16</f>
        <v/>
      </c>
      <c r="E15" s="87">
        <f>+'SIM3_LINE登録2%'!F16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CV数（+LINEOA施策）※応募のみ</t>
        </is>
      </c>
      <c r="B16" s="7" t="n"/>
      <c r="C16" s="87">
        <f>+C18</f>
        <v/>
      </c>
      <c r="D16" s="87">
        <f>+D18</f>
        <v/>
      </c>
      <c r="E16" s="87">
        <f>+E18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CV①_会員登録（参考・CPAに含めない）</t>
        </is>
      </c>
      <c r="B17" s="7" t="n"/>
      <c r="C17" s="87">
        <f>+'SIM3_LINE登録2%'!D36</f>
        <v/>
      </c>
      <c r="D17" s="87">
        <f>+'SIM3_LINE登録2%'!G36</f>
        <v/>
      </c>
      <c r="E17" s="87">
        <f>+'SIM3_LINE登録2%'!J36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CV②_求人応募（LINE経由）</t>
        </is>
      </c>
      <c r="B18" s="7" t="n"/>
      <c r="C18" s="87">
        <f>+'SIM3_LINE登録2%'!D37</f>
        <v/>
      </c>
      <c r="D18" s="87">
        <f>+'SIM3_LINE登録2%'!G37</f>
        <v/>
      </c>
      <c r="E18" s="87">
        <f>+'SIM3_LINE登録2%'!J37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+'SIM3_LINE登録2%'!D38</f>
        <v/>
      </c>
      <c r="D19" s="87">
        <f>+'SIM3_LINE登録2%'!G38</f>
        <v/>
      </c>
      <c r="E19" s="87">
        <f>+'SIM3_LINE登録2%'!J38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+'SIM3_LINE登録2%'!D39</f>
        <v/>
      </c>
      <c r="D20" s="87">
        <f>+'SIM3_LINE登録2%'!G39</f>
        <v/>
      </c>
      <c r="E20" s="87">
        <f>+'SIM3_LINE登録2%'!J39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42"/>
  <sheetViews>
    <sheetView workbookViewId="0">
      <selection activeCell="B4" sqref="B4"/>
    </sheetView>
  </sheetViews>
  <sheetFormatPr baseColWidth="8" defaultRowHeight="18.75"/>
  <cols>
    <col width="14.25" customWidth="1" style="158" min="1" max="1"/>
    <col width="14.25" customWidth="1" style="158" min="5" max="5"/>
  </cols>
  <sheetData>
    <row r="2">
      <c r="A2" s="59" t="inlineStr">
        <is>
          <t>友だち数_増加施策</t>
        </is>
      </c>
      <c r="B2" s="59" t="n"/>
      <c r="C2" s="59" t="n"/>
      <c r="D2" s="59" t="n"/>
      <c r="E2" s="59" t="n"/>
      <c r="F2" s="59" t="n"/>
      <c r="G2" s="59" t="n"/>
    </row>
    <row r="3">
      <c r="A3" s="54" t="inlineStr">
        <is>
          <t>離脱防止 ※</t>
        </is>
      </c>
    </row>
    <row r="4">
      <c r="A4" s="0" t="inlineStr">
        <is>
          <t>掲載率</t>
        </is>
      </c>
      <c r="B4" s="0" t="inlineStr">
        <is>
          <t>※サイト構成、要望により変動</t>
        </is>
      </c>
      <c r="E4" s="0" t="n">
        <v>1000</v>
      </c>
    </row>
    <row r="5">
      <c r="A5" s="0" t="inlineStr">
        <is>
          <t>クリック率</t>
        </is>
      </c>
      <c r="B5" s="60" t="n">
        <v>0.08500000000000001</v>
      </c>
    </row>
    <row r="6">
      <c r="A6" s="0" t="inlineStr">
        <is>
          <t>追加率</t>
        </is>
      </c>
      <c r="B6" s="60" t="n">
        <v>0.08</v>
      </c>
    </row>
    <row r="7">
      <c r="E7" s="0">
        <f>+E4*B5*B6</f>
        <v/>
      </c>
    </row>
    <row r="8">
      <c r="A8" s="54" t="inlineStr">
        <is>
          <t>サイト→LINEの導線の改善 ※</t>
        </is>
      </c>
    </row>
    <row r="9">
      <c r="A9" s="0" t="inlineStr">
        <is>
          <t>掲載率</t>
        </is>
      </c>
      <c r="B9" s="0" t="inlineStr">
        <is>
          <t>※サイト構成、要望により変動</t>
        </is>
      </c>
      <c r="E9" s="0" t="n">
        <v>1000</v>
      </c>
    </row>
    <row r="10">
      <c r="A10" s="0" t="inlineStr">
        <is>
          <t>クリック率</t>
        </is>
      </c>
      <c r="B10" s="60" t="n">
        <v>0.005</v>
      </c>
    </row>
    <row r="11">
      <c r="A11" s="0" t="inlineStr">
        <is>
          <t>追加率</t>
        </is>
      </c>
      <c r="B11" s="60" t="n">
        <v>0.08</v>
      </c>
    </row>
    <row r="12">
      <c r="E12" s="0">
        <f>+E9*B10*B11</f>
        <v/>
      </c>
    </row>
    <row r="13">
      <c r="A13" s="54" t="inlineStr">
        <is>
          <t>サンクスページ誘導 ※</t>
        </is>
      </c>
      <c r="D13" s="0" t="inlineStr">
        <is>
          <t>ただCVが増えるわけではない</t>
        </is>
      </c>
    </row>
    <row r="14">
      <c r="A14" s="0" t="inlineStr">
        <is>
          <t>掲載数</t>
        </is>
      </c>
      <c r="B14" s="0" t="inlineStr">
        <is>
          <t>※サイト構成、要望により変動</t>
        </is>
      </c>
      <c r="E14" s="0" t="n">
        <v>1000</v>
      </c>
    </row>
    <row r="15">
      <c r="A15" s="0" t="inlineStr">
        <is>
          <t>クリック率</t>
        </is>
      </c>
      <c r="B15" s="60" t="n">
        <v>0.9</v>
      </c>
      <c r="C15" s="0" t="inlineStr">
        <is>
          <t>※カウントしない</t>
        </is>
      </c>
    </row>
    <row r="16">
      <c r="A16" s="0" t="inlineStr">
        <is>
          <t>追加率</t>
        </is>
      </c>
      <c r="B16" s="60" t="n">
        <v>0.35</v>
      </c>
    </row>
    <row r="17">
      <c r="E17" s="0">
        <f>+E14*B15*B16</f>
        <v/>
      </c>
    </row>
    <row r="18">
      <c r="A18" s="54" t="inlineStr">
        <is>
          <t>通知メッセの改善 ※</t>
        </is>
      </c>
      <c r="D18" s="0" t="inlineStr">
        <is>
          <t>ただCVが増えるわけではない</t>
        </is>
      </c>
    </row>
    <row r="19">
      <c r="A19" s="0" t="inlineStr">
        <is>
          <t>掲載率</t>
        </is>
      </c>
      <c r="B19" s="60" t="n">
        <v>0.7</v>
      </c>
      <c r="C19" s="0" t="inlineStr">
        <is>
          <t>※サイト構成、要望により変動</t>
        </is>
      </c>
      <c r="E19" s="0" t="n">
        <v>1000</v>
      </c>
    </row>
    <row r="20">
      <c r="A20" s="0" t="inlineStr">
        <is>
          <t>クリック率</t>
        </is>
      </c>
      <c r="B20" s="60" t="n">
        <v>1</v>
      </c>
    </row>
    <row r="21">
      <c r="A21" s="0" t="inlineStr">
        <is>
          <t>追加率</t>
        </is>
      </c>
      <c r="B21" s="60" t="n">
        <v>0.2</v>
      </c>
    </row>
    <row r="22">
      <c r="E22" s="0">
        <f>+E19*B20*B21</f>
        <v/>
      </c>
    </row>
    <row r="23">
      <c r="A23" s="59" t="inlineStr">
        <is>
          <t>配信効率改善施策</t>
        </is>
      </c>
      <c r="B23" s="59" t="n"/>
      <c r="C23" s="59" t="inlineStr">
        <is>
          <t>※具体的なセグメントの仕方、企画により変動</t>
        </is>
      </c>
      <c r="D23" s="59" t="n"/>
      <c r="E23" s="59" t="n"/>
      <c r="F23" s="59" t="n"/>
      <c r="G23" s="59" t="n"/>
      <c r="I23" s="67" t="inlineStr">
        <is>
          <t>課金</t>
        </is>
      </c>
      <c r="J23" s="68" t="n"/>
    </row>
    <row r="24">
      <c r="A24" s="54" t="inlineStr">
        <is>
          <t>&gt; 通常メッセ</t>
        </is>
      </c>
      <c r="I24" s="66" t="n">
        <v>1</v>
      </c>
      <c r="J24" s="0" t="inlineStr">
        <is>
          <t>企画投稿（セグメントor一斉配信）</t>
        </is>
      </c>
    </row>
    <row r="25">
      <c r="A25" s="0" t="inlineStr">
        <is>
          <t>開封率</t>
        </is>
      </c>
      <c r="B25" s="190" t="n">
        <v>0.8</v>
      </c>
      <c r="I25" s="66" t="n">
        <v>2</v>
      </c>
      <c r="J25" s="0" t="inlineStr">
        <is>
          <t>追いメッセージ（ステップ、シナリオ）</t>
        </is>
      </c>
    </row>
    <row r="26">
      <c r="A26" s="0" t="inlineStr">
        <is>
          <t>クリック率</t>
        </is>
      </c>
      <c r="B26" s="190" t="n">
        <v>0.06</v>
      </c>
      <c r="I26" s="66" t="n">
        <v>3</v>
      </c>
      <c r="J26" s="0" t="inlineStr">
        <is>
          <t>VOOM投稿　※同時進行の場合が多い</t>
        </is>
      </c>
    </row>
    <row r="27">
      <c r="A27" s="0" t="inlineStr">
        <is>
          <t>CV率</t>
        </is>
      </c>
      <c r="B27" s="190" t="n">
        <v>0.003</v>
      </c>
      <c r="I27" s="66" t="n">
        <v>4</v>
      </c>
      <c r="J27" s="0" t="inlineStr">
        <is>
          <t>通知メッセージ（1通7円くらいの想定）　※機能導入が必要　※ツール費：月8万～</t>
        </is>
      </c>
    </row>
    <row r="29">
      <c r="A29" s="54" t="inlineStr">
        <is>
          <t>&gt; 追いメッセ（ステップ、シナリオ）</t>
        </is>
      </c>
      <c r="I29" s="67" t="inlineStr">
        <is>
          <t>非課金</t>
        </is>
      </c>
      <c r="J29" s="68" t="n"/>
    </row>
    <row r="30">
      <c r="A30" s="0" t="inlineStr">
        <is>
          <t>開封率</t>
        </is>
      </c>
      <c r="B30" s="190" t="n">
        <v>0.75</v>
      </c>
      <c r="I30" s="66" t="n">
        <v>1</v>
      </c>
      <c r="J30" s="0" t="inlineStr">
        <is>
          <t>自動の即時応答</t>
        </is>
      </c>
    </row>
    <row r="31">
      <c r="A31" s="0" t="inlineStr">
        <is>
          <t>クリック率</t>
        </is>
      </c>
      <c r="B31" s="190" t="n">
        <v>0.08</v>
      </c>
      <c r="I31" s="66" t="n">
        <v>2</v>
      </c>
      <c r="J31" s="0" t="inlineStr">
        <is>
          <t>個別チャット対応</t>
        </is>
      </c>
    </row>
    <row r="32">
      <c r="A32" s="0" t="inlineStr">
        <is>
          <t>CV率</t>
        </is>
      </c>
      <c r="B32" s="190" t="n">
        <v>0.006</v>
      </c>
      <c r="I32" s="66" t="n">
        <v>3</v>
      </c>
      <c r="J32" s="0" t="inlineStr">
        <is>
          <t>あいさつメッセージ</t>
        </is>
      </c>
    </row>
    <row r="33">
      <c r="I33" s="66" t="n">
        <v>4</v>
      </c>
      <c r="J33" s="0" t="inlineStr">
        <is>
          <t>（リッチメニュー）</t>
        </is>
      </c>
    </row>
    <row r="34">
      <c r="A34" s="54" t="inlineStr">
        <is>
          <t>&gt; その他（リッチメニュー）</t>
        </is>
      </c>
    </row>
    <row r="35">
      <c r="A35" s="0" t="inlineStr">
        <is>
          <t>開封率</t>
        </is>
      </c>
      <c r="B35" s="191" t="inlineStr">
        <is>
          <t>--</t>
        </is>
      </c>
    </row>
    <row r="36">
      <c r="A36" s="0" t="inlineStr">
        <is>
          <t>クリック率</t>
        </is>
      </c>
      <c r="B36" s="190" t="n">
        <v>0.02</v>
      </c>
    </row>
    <row r="37">
      <c r="A37" s="0" t="inlineStr">
        <is>
          <t>CV率</t>
        </is>
      </c>
      <c r="B37" s="190" t="n">
        <v>0.004</v>
      </c>
    </row>
    <row r="39">
      <c r="A39" s="54" t="inlineStr">
        <is>
          <t>&gt;挨拶メッセ</t>
        </is>
      </c>
      <c r="E39" s="54" t="inlineStr">
        <is>
          <t>&gt;挨拶メッセ（アンケート回答率）</t>
        </is>
      </c>
    </row>
    <row r="40">
      <c r="A40" s="0" t="inlineStr">
        <is>
          <t>開封率</t>
        </is>
      </c>
      <c r="B40" s="191" t="n">
        <v>1</v>
      </c>
      <c r="E40" s="0" t="inlineStr">
        <is>
          <t>開封率</t>
        </is>
      </c>
      <c r="F40" s="191" t="inlineStr">
        <is>
          <t>--</t>
        </is>
      </c>
    </row>
    <row r="41">
      <c r="A41" s="0" t="inlineStr">
        <is>
          <t>クリック率</t>
        </is>
      </c>
      <c r="B41" s="190" t="n">
        <v>0.035</v>
      </c>
      <c r="E41" s="0" t="inlineStr">
        <is>
          <t>回答率</t>
        </is>
      </c>
      <c r="F41" s="190" t="n">
        <v>0.25</v>
      </c>
    </row>
    <row r="42">
      <c r="A42" s="0" t="inlineStr">
        <is>
          <t>CV率</t>
        </is>
      </c>
      <c r="B42" s="190" t="n">
        <v>0.006</v>
      </c>
      <c r="F42" s="19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佐村 徳人</dc:creator>
  <dcterms:created xmlns:dcterms="http://purl.org/dc/terms/" xmlns:xsi="http://www.w3.org/2001/XMLSchema-instance" xsi:type="dcterms:W3CDTF">2025-11-21T11:18:04Z</dcterms:created>
  <dcterms:modified xmlns:dcterms="http://purl.org/dc/terms/" xmlns:xsi="http://www.w3.org/2001/XMLSchema-instance" xsi:type="dcterms:W3CDTF">2026-09-29T05:16:50Z</dcterms:modified>
  <cp:lastModifiedBy>佐村 徳人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0x010100C357D3FFD3874644B9B63D306D91E343</vt:lpwstr>
  </property>
</Properties>
</file>
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1_予算200万" sheetId="1" r:id="rId1"/>
    <sheet name="SIM1_比較" sheetId="2" r:id="rId2"/>
    <sheet name="SIM2_予算100万" sheetId="3" r:id="rId100"/>
    <sheet name="SIM2_比較" sheetId="4" r:id="rId101"/>
    <sheet name="SIM3_予算50万" sheetId="5" r:id="rId102"/>
    <sheet name="SIM3_比較" sheetId="6" r:id="rId103"/>
    <sheet name="SIM考え方" sheetId="7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<sst xmlns="http://schemas.openxmlformats.org/spreadsheetml/2006/main" count="278" uniqueCount="195">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</sst>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00" Type="http://schemas.openxmlformats.org/officeDocument/2006/relationships/worksheet" Target="worksheets/sheet4.xml"/><Relationship Id="rId101" Type="http://schemas.openxmlformats.org/officeDocument/2006/relationships/worksheet" Target="worksheets/sheet5.xml"/><Relationship Id="rId102" Type="http://schemas.openxmlformats.org/officeDocument/2006/relationships/worksheet" Target="worksheets/sheet6.xml"/><Relationship Id="rId103" Type="http://schemas.openxmlformats.org/officeDocument/2006/relationships/worksheet" Target="worksheets/sheet7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株式会社CHET Group御中_LINEOA施策提案【SIM】（予算200万／友だち1人あたり1,000円）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LINE追加（新しい友だち）</t>
        </is>
      </c>
      <c r="D8" s="33">
        <v>0</v>
      </c>
      <c r="G8" s="143" t="s">
        <v>67</v>
      </c>
      <c r="H8" s="144">
        <v>15661</v>
      </c>
      <c r="I8" s="145"/>
      <c r="J8" s="145" t="s">
        <v>78</v>
      </c>
      <c r="K8" s="152">
        <v>0</v>
      </c>
      <c r="N8" s="69" t="s">
        <v>126</v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申込（LINE上の申込フォーム）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CV（別施策）</t>
        </is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s">
        <v>173</v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inlineStr">
        <is>
          <t xml:space="preserve">友だち追加（広告→LP→LINE）</t>
        </is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inlineStr">
        <is>
          <t xml:space="preserve">友だち追加（広告→LP→LINE）</t>
        </is>
      </c>
      <c r="C22" s="17"/>
      <c r="D22" s="44" t="s">
        <v>22</v>
      </c>
      <c r="E22" s="63">
        <f>IF(E17=FALSE,0,ROUND(E71/$P$30,0))</f>
      </c>
      <c r="F22" s="63">
        <f>IF(F17=FALSE,0,ROUND(F71/$P$30,0))</f>
      </c>
      <c r="G22" s="63">
        <f>IF(G17=FALSE,0,ROUND(G71/$P$30,0))</f>
      </c>
      <c r="H22" s="63">
        <f>IF(H17=FALSE,0,ROUND(H71/$P$30,0))</f>
      </c>
      <c r="I22" s="63">
        <f>IF(I17=FALSE,0,ROUND(I71/$P$30,0))</f>
      </c>
      <c r="J22" s="63">
        <f>IF(J17=FALSE,0,ROUND(J71/$P$30,0))</f>
      </c>
      <c r="K22" s="11"/>
      <c r="L22" s="7"/>
      <c r="N22" s="69" t="inlineStr">
        <is>
          <t xml:space="preserve">予算（71行）÷友だち1人あたり1,000円（P30）。単価は先方の良い時の実績（広告・運用込みの見込み）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＋サイトからの自然な追加：UU×0.5%（FMT標準のP15）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0.406</v>
      </c>
      <c r="F27" s="47">
        <f>+E27*0.98</f>
      </c>
      <c r="G27" s="47">
        <f>+F27*0.98</f>
      </c>
      <c r="H27" s="47">
        <f>+G27*0.98</f>
      </c>
      <c r="I27" s="47">
        <f>+H27*0.98</f>
      </c>
      <c r="J27" s="47">
        <f>+I27*0.98</f>
      </c>
      <c r="K27" s="11"/>
      <c r="L27" s="7"/>
      <c r="N27" t="inlineStr">
        <is>
          <t xml:space="preserve">ブロック率：40.6%から、出し分け配信で毎月2%ずつ低下（仮）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12566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N28" t="inlineStr">
        <is>
          <t xml:space="preserve">D28：wakaba projectのLINEの友だち12,566人（page.line.me・2026/10/1）。他のLINEは非公開で含めていない</t>
        </is>
      </c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inlineStr">
        <is>
          <t xml:space="preserve">友だち1人あたり（広告・運用込み）</t>
        </is>
      </c>
      <c r="P30" s="76">
        <v>1000</v>
      </c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+E31+E33+1.05*(E31+E33)+E29*0.3*2</f>
      </c>
      <c r="F35" s="50">
        <f>+F31+F33+1.05*(F31+F33)+F29*0.3*2</f>
      </c>
      <c r="G35" s="50">
        <f>+G31+G33+1.05*(G31+G33)+G29*0.3*2</f>
      </c>
      <c r="H35" s="50">
        <f>+H31+H33+1.05*(H31+H33)+H29*0.3*2</f>
      </c>
      <c r="I35" s="50">
        <f>+I31+I33+1.05*(I31+I33)+I29*0.3*2</f>
      </c>
      <c r="J35" s="50">
        <f>+J31+J33+1.05*(J31+J33)+J29*0.3*2</f>
      </c>
      <c r="K35" s="11"/>
      <c r="L35" s="7"/>
      <c r="N35" t="inlineStr">
        <is>
          <t xml:space="preserve">＋リッチメニューのタップ：有効な友だち×月に使う率30%×2回</t>
        </is>
      </c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ROUND(E26,0)</f>
      </c>
      <c r="F36" s="111">
        <f>ROUND(F26,0)</f>
      </c>
      <c r="G36" s="111">
        <f>ROUND(G26,0)</f>
      </c>
      <c r="H36" s="111">
        <f>ROUND(H26,0)</f>
      </c>
      <c r="I36" s="111">
        <f>ROUND(I26,0)</f>
      </c>
      <c r="J36" s="111">
        <f>ROUND(J26,0)</f>
      </c>
      <c r="K36" s="115">
        <f>SUM(E36:J36)</f>
      </c>
      <c r="L36" s="7"/>
      <c r="N36" s="69" t="inlineStr">
        <is>
          <t xml:space="preserve">CV①LINE追加＝その月の新しい友だち（広告＋サイト）。CPA・CVRには含めない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ROUND(E35*0.005,0)</f>
      </c>
      <c r="F37" s="111">
        <f>ROUND(F35*0.006,0)</f>
      </c>
      <c r="G37" s="111">
        <f>ROUND(G35*0.007,0)</f>
      </c>
      <c r="H37" s="111">
        <f>ROUND(H35*0.008,0)</f>
      </c>
      <c r="I37" s="111">
        <f>ROUND(I35*0.009,0)</f>
      </c>
      <c r="J37" s="111">
        <f>ROUND(J35*0.01,0)</f>
      </c>
      <c r="K37" s="115">
        <f>SUM(E37:J37)</f>
      </c>
      <c r="L37" s="7"/>
      <c r="N37" s="69" t="inlineStr">
        <is>
          <t xml:space="preserve">CV②申込：想定Click×0.5%→1.0%（運用が育つ想定で月ごとに上げる）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3</v>
      </c>
      <c r="F38" s="111">
        <v>8</v>
      </c>
      <c r="G38" s="111">
        <v>13</v>
      </c>
      <c r="H38" s="111">
        <v>16</v>
      </c>
      <c r="I38" s="111">
        <v>19</v>
      </c>
      <c r="J38" s="111">
        <v>26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>+D37</f>
      </c>
      <c r="E40" s="10">
        <f>+E37</f>
      </c>
      <c r="F40" s="10">
        <f>+F37</f>
      </c>
      <c r="G40" s="10">
        <f>+G37</f>
      </c>
      <c r="H40" s="10">
        <f>+H37</f>
      </c>
      <c r="I40" s="10">
        <f>+I37</f>
      </c>
      <c r="J40" s="10">
        <f>+J37</f>
      </c>
      <c r="K40" s="115">
        <f>SUM(E40:J40)</f>
      </c>
      <c r="L40" s="7"/>
      <c r="N40" t="inlineStr">
        <is>
          <t xml:space="preserve">合計CVはCV②（申込）のみ。CPA・CVRは申込で計算</t>
        </is>
      </c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 t="shared" ref="E46:J46" si="19">+SUM(E65:E67)/(E28-D28)</f>
      </c>
      <c r="F46" s="28">
        <f t="shared" si="19"/>
      </c>
      <c r="G46" s="28">
        <f t="shared" si="19"/>
      </c>
      <c r="H46" s="28">
        <f t="shared" si="19"/>
      </c>
      <c r="I46" s="28">
        <f t="shared" si="19"/>
      </c>
      <c r="J46" s="28">
        <f t="shared" si="19"/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+SUM(E65:E67)/(E28-D28)</f>
      </c>
      <c r="F56" s="28">
        <f t="shared" ref="F56:J56" si="27">+SUM(F65:F67)/(F28-E28)</f>
      </c>
      <c r="G56" s="28">
        <f t="shared" si="27"/>
      </c>
      <c r="H56" s="28">
        <f t="shared" si="27"/>
      </c>
      <c r="I56" s="28">
        <f t="shared" si="27"/>
      </c>
      <c r="J56" s="28">
        <f t="shared" si="27"/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inlineStr">
        <is>
          <t xml:space="preserve">離脱防止：今回のSIMには入れない</t>
        </is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s">
        <v>184</v>
      </c>
      <c r="C69" s="90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9" t="inlineStr">
        <is>
          <t xml:space="preserve">初期構築（仮）。月々の運用費は71行の予算に含む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inlineStr">
        <is>
          <t xml:space="preserve">予算（友だち追加・運用込み）</t>
        </is>
      </c>
      <c r="C71" s="90">
        <v>0</v>
      </c>
      <c r="D71" s="51">
        <v>0</v>
      </c>
      <c r="E71" s="28">
        <v>2000000</v>
      </c>
      <c r="F71" s="28">
        <v>2000000</v>
      </c>
      <c r="G71" s="28">
        <v>2000000</v>
      </c>
      <c r="H71" s="28">
        <v>2000000</v>
      </c>
      <c r="I71" s="28">
        <v>2000000</v>
      </c>
      <c r="J71" s="28">
        <v>2000000</v>
      </c>
      <c r="N71" s="69" t="inlineStr">
        <is>
          <t xml:space="preserve">予算型コンサル：月200万（友だち追加の広告と運用を含む）</t>
        </is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+'SIM1_予算200万'!D24</f>
      </c>
      <c r="D4" s="28">
        <f>+'SIM1_予算200万'!G51</f>
      </c>
      <c r="E4" s="28">
        <f>+'SIM1_予算200万'!J51</f>
      </c>
      <c r="F4" s="28"/>
    </row>
    <row r="5" spans="1:25" x14ac:dyDescent="0.4">
      <c r="A5" s="85" t="s">
        <v>167</v>
      </c>
      <c r="B5" s="7"/>
      <c r="C5" s="86">
        <f>+'SIM1_予算200万'!D25</f>
      </c>
      <c r="D5" s="28">
        <f>+'SIM1_予算200万'!G61</f>
      </c>
      <c r="E5" s="28">
        <f>+'SIM1_予算200万'!J61</f>
      </c>
      <c r="F5" s="27"/>
    </row>
    <row r="6" spans="1:25" x14ac:dyDescent="0.4">
      <c r="A6" s="85" t="s">
        <v>83</v>
      </c>
      <c r="B6" s="7"/>
      <c r="C6" s="117">
        <f>+'SIM1_予算200万'!D28</f>
      </c>
      <c r="D6" s="87">
        <f>+'SIM1_予算200万'!G28</f>
      </c>
      <c r="E6" s="87">
        <f>+'SIM1_予算200万'!J28</f>
      </c>
      <c r="F6" s="10"/>
    </row>
    <row r="7" spans="1:25" x14ac:dyDescent="0.4">
      <c r="A7" s="85" t="s">
        <v>84</v>
      </c>
      <c r="B7" s="7"/>
      <c r="C7" s="88">
        <f>+'SIM1_予算200万'!D27</f>
      </c>
      <c r="D7" s="89">
        <f>+D8/D6</f>
      </c>
      <c r="E7" s="89">
        <f>+E8/E6</f>
      </c>
      <c r="F7" s="89"/>
    </row>
    <row r="8" spans="1:25" x14ac:dyDescent="0.4">
      <c r="A8" s="85" t="s">
        <v>85</v>
      </c>
      <c r="B8" s="7"/>
      <c r="C8" s="117">
        <f>+'SIM1_予算200万'!D29</f>
      </c>
      <c r="D8" s="10">
        <f>+'SIM1_予算200万'!G29</f>
      </c>
      <c r="E8" s="10">
        <f>+'SIM1_予算200万'!J29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+'SIM1_予算200万'!D34</f>
      </c>
      <c r="D10" s="10">
        <f>+'SIM1_予算200万'!G34</f>
      </c>
      <c r="E10" s="10">
        <f>+'SIM1_予算200万'!J34</f>
      </c>
      <c r="F10" s="10"/>
    </row>
    <row r="11" spans="1:25" x14ac:dyDescent="0.4">
      <c r="A11" s="85" t="s">
        <v>90</v>
      </c>
      <c r="B11" s="7"/>
      <c r="C11" s="117">
        <f>+'SIM1_予算200万'!D35</f>
      </c>
      <c r="D11" s="10">
        <f>+'SIM1_予算200万'!G35</f>
      </c>
      <c r="E11" s="10">
        <f>+'SIM1_予算200万'!J35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+'SIM1_予算200万'!D16</f>
      </c>
      <c r="D15" s="87">
        <f>+'SIM1_予算200万'!E16</f>
      </c>
      <c r="E15" s="87">
        <f>+'SIM1_予算200万'!F16</f>
      </c>
      <c r="F15" s="87"/>
      <c r="R15" s="5" t="s">
        <v>59</v>
      </c>
    </row>
    <row r="16" spans="1:25" x14ac:dyDescent="0.4">
      <c r="A16" s="85" t="inlineStr">
        <is>
          <t xml:space="preserve">CV数（+LINEOA施策）※申込のみ</t>
        </is>
      </c>
      <c r="B16" s="7"/>
      <c r="C16" s="87">
        <f>+C18</f>
      </c>
      <c r="D16" s="87">
        <f>+D18</f>
      </c>
      <c r="E16" s="87">
        <f>+E18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CV①_LINE追加（参考・CPAに含めない）</t>
        </is>
      </c>
      <c r="B17" s="7"/>
      <c r="C17" s="87">
        <f>+'SIM1_予算200万'!D36</f>
      </c>
      <c r="D17" s="87">
        <f>+'SIM1_予算200万'!G36</f>
      </c>
      <c r="E17" s="87">
        <f>+'SIM1_予算200万'!J36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CV②_申込（LINE上の申込フォーム）</t>
        </is>
      </c>
      <c r="B18" s="7"/>
      <c r="C18" s="87">
        <f>+'SIM1_予算200万'!D37</f>
      </c>
      <c r="D18" s="87">
        <f>+'SIM1_予算200万'!G37</f>
      </c>
      <c r="E18" s="87">
        <f>+'SIM1_予算200万'!J37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+'SIM1_予算200万'!D38</f>
      </c>
      <c r="D19" s="87">
        <f>+'SIM1_予算200万'!G38</f>
      </c>
      <c r="E19" s="87">
        <f>+'SIM1_予算200万'!J38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+'SIM1_予算200万'!D39</f>
      </c>
      <c r="D20" s="87">
        <f>+'SIM1_予算200万'!G39</f>
      </c>
      <c r="E20" s="87">
        <f>+'SIM1_予算200万'!J39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 t="inlineStr">
        <is>
          <t xml:space="preserve">友だち1人あたり（月の総額÷新しい友だち）</t>
        </is>
      </c>
      <c r="B24" s="7"/>
      <c r="C24" s="90" t="inlineStr">
        <is>
          <t xml:space="preserve">--</t>
        </is>
      </c>
      <c r="D24" s="90">
        <f>+IFERROR(D5/D17,"--")</f>
      </c>
      <c r="E24" s="90">
        <f>+IFERROR(E5/E17,"--")</f>
      </c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4400-9760-55A3-B5DC-C1B35E2F3D61}">
  <dimension ref="A2:Z76"/>
  <sheetViews>
    <sheetView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株式会社CHET Group御中_LINEOA施策提案【SIM】（予算100万／友だち1人あたり1,000円）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LINE追加（新しい友だち）</t>
        </is>
      </c>
      <c r="D8" s="33">
        <v>0</v>
      </c>
      <c r="G8" s="143" t="s">
        <v>67</v>
      </c>
      <c r="H8" s="144">
        <v>15661</v>
      </c>
      <c r="I8" s="145"/>
      <c r="J8" s="145" t="s">
        <v>78</v>
      </c>
      <c r="K8" s="152">
        <v>0</v>
      </c>
      <c r="N8" s="69" t="s">
        <v>126</v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申込（LINE上の申込フォーム）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CV（別施策）</t>
        </is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s">
        <v>173</v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inlineStr">
        <is>
          <t xml:space="preserve">友だち追加（広告→LP→LINE）</t>
        </is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inlineStr">
        <is>
          <t xml:space="preserve">友だち追加（広告→LP→LINE）</t>
        </is>
      </c>
      <c r="C22" s="17"/>
      <c r="D22" s="44" t="s">
        <v>22</v>
      </c>
      <c r="E22" s="63">
        <f>IF(E17=FALSE,0,ROUND(E71/$P$30,0))</f>
      </c>
      <c r="F22" s="63">
        <f>IF(F17=FALSE,0,ROUND(F71/$P$30,0))</f>
      </c>
      <c r="G22" s="63">
        <f>IF(G17=FALSE,0,ROUND(G71/$P$30,0))</f>
      </c>
      <c r="H22" s="63">
        <f>IF(H17=FALSE,0,ROUND(H71/$P$30,0))</f>
      </c>
      <c r="I22" s="63">
        <f>IF(I17=FALSE,0,ROUND(I71/$P$30,0))</f>
      </c>
      <c r="J22" s="63">
        <f>IF(J17=FALSE,0,ROUND(J71/$P$30,0))</f>
      </c>
      <c r="K22" s="11"/>
      <c r="L22" s="7"/>
      <c r="N22" s="69" t="inlineStr">
        <is>
          <t xml:space="preserve">予算（71行）÷友だち1人あたり1,000円（P30）。単価は先方の良い時の実績（広告・運用込みの見込み）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＋サイトからの自然な追加：UU×0.5%（FMT標準のP15）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0.406</v>
      </c>
      <c r="F27" s="47">
        <f>+E27*0.98</f>
      </c>
      <c r="G27" s="47">
        <f>+F27*0.98</f>
      </c>
      <c r="H27" s="47">
        <f>+G27*0.98</f>
      </c>
      <c r="I27" s="47">
        <f>+H27*0.98</f>
      </c>
      <c r="J27" s="47">
        <f>+I27*0.98</f>
      </c>
      <c r="K27" s="11"/>
      <c r="L27" s="7"/>
      <c r="N27" t="inlineStr">
        <is>
          <t xml:space="preserve">ブロック率：40.6%から、出し分け配信で毎月2%ずつ低下（仮）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12566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N28" t="inlineStr">
        <is>
          <t xml:space="preserve">D28：wakaba projectのLINEの友だち12,566人（page.line.me・2026/10/1）。他のLINEは非公開で含めていない</t>
        </is>
      </c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inlineStr">
        <is>
          <t xml:space="preserve">友だち1人あたり（広告・運用込み）</t>
        </is>
      </c>
      <c r="P30" s="76">
        <v>1000</v>
      </c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+E31+E33+1.05*(E31+E33)+E29*0.3*2</f>
      </c>
      <c r="F35" s="50">
        <f>+F31+F33+1.05*(F31+F33)+F29*0.3*2</f>
      </c>
      <c r="G35" s="50">
        <f>+G31+G33+1.05*(G31+G33)+G29*0.3*2</f>
      </c>
      <c r="H35" s="50">
        <f>+H31+H33+1.05*(H31+H33)+H29*0.3*2</f>
      </c>
      <c r="I35" s="50">
        <f>+I31+I33+1.05*(I31+I33)+I29*0.3*2</f>
      </c>
      <c r="J35" s="50">
        <f>+J31+J33+1.05*(J31+J33)+J29*0.3*2</f>
      </c>
      <c r="K35" s="11"/>
      <c r="L35" s="7"/>
      <c r="N35" t="inlineStr">
        <is>
          <t xml:space="preserve">＋リッチメニューのタップ：有効な友だち×月に使う率30%×2回</t>
        </is>
      </c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ROUND(E26,0)</f>
      </c>
      <c r="F36" s="111">
        <f>ROUND(F26,0)</f>
      </c>
      <c r="G36" s="111">
        <f>ROUND(G26,0)</f>
      </c>
      <c r="H36" s="111">
        <f>ROUND(H26,0)</f>
      </c>
      <c r="I36" s="111">
        <f>ROUND(I26,0)</f>
      </c>
      <c r="J36" s="111">
        <f>ROUND(J26,0)</f>
      </c>
      <c r="K36" s="115">
        <f>SUM(E36:J36)</f>
      </c>
      <c r="L36" s="7"/>
      <c r="N36" s="69" t="inlineStr">
        <is>
          <t xml:space="preserve">CV①LINE追加＝その月の新しい友だち（広告＋サイト）。CPA・CVRには含めない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ROUND(E35*0.005,0)</f>
      </c>
      <c r="F37" s="111">
        <f>ROUND(F35*0.006,0)</f>
      </c>
      <c r="G37" s="111">
        <f>ROUND(G35*0.007,0)</f>
      </c>
      <c r="H37" s="111">
        <f>ROUND(H35*0.008,0)</f>
      </c>
      <c r="I37" s="111">
        <f>ROUND(I35*0.009,0)</f>
      </c>
      <c r="J37" s="111">
        <f>ROUND(J35*0.01,0)</f>
      </c>
      <c r="K37" s="115">
        <f>SUM(E37:J37)</f>
      </c>
      <c r="L37" s="7"/>
      <c r="N37" s="69" t="inlineStr">
        <is>
          <t xml:space="preserve">CV②申込：想定Click×0.5%→1.0%（運用が育つ想定で月ごとに上げる）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3</v>
      </c>
      <c r="F38" s="111">
        <v>8</v>
      </c>
      <c r="G38" s="111">
        <v>13</v>
      </c>
      <c r="H38" s="111">
        <v>16</v>
      </c>
      <c r="I38" s="111">
        <v>19</v>
      </c>
      <c r="J38" s="111">
        <v>26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>+D37</f>
      </c>
      <c r="E40" s="10">
        <f>+E37</f>
      </c>
      <c r="F40" s="10">
        <f>+F37</f>
      </c>
      <c r="G40" s="10">
        <f>+G37</f>
      </c>
      <c r="H40" s="10">
        <f>+H37</f>
      </c>
      <c r="I40" s="10">
        <f>+I37</f>
      </c>
      <c r="J40" s="10">
        <f>+J37</f>
      </c>
      <c r="K40" s="115">
        <f>SUM(E40:J40)</f>
      </c>
      <c r="L40" s="7"/>
      <c r="N40" t="inlineStr">
        <is>
          <t xml:space="preserve">合計CVはCV②（申込）のみ。CPA・CVRは申込で計算</t>
        </is>
      </c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 t="shared" ref="E46:J46" si="19">+SUM(E65:E67)/(E28-D28)</f>
      </c>
      <c r="F46" s="28">
        <f t="shared" si="19"/>
      </c>
      <c r="G46" s="28">
        <f t="shared" si="19"/>
      </c>
      <c r="H46" s="28">
        <f t="shared" si="19"/>
      </c>
      <c r="I46" s="28">
        <f t="shared" si="19"/>
      </c>
      <c r="J46" s="28">
        <f t="shared" si="19"/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+SUM(E65:E67)/(E28-D28)</f>
      </c>
      <c r="F56" s="28">
        <f t="shared" ref="F56:J56" si="27">+SUM(F65:F67)/(F28-E28)</f>
      </c>
      <c r="G56" s="28">
        <f t="shared" si="27"/>
      </c>
      <c r="H56" s="28">
        <f t="shared" si="27"/>
      </c>
      <c r="I56" s="28">
        <f t="shared" si="27"/>
      </c>
      <c r="J56" s="28">
        <f t="shared" si="27"/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inlineStr">
        <is>
          <t xml:space="preserve">離脱防止：今回のSIMには入れない</t>
        </is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s">
        <v>184</v>
      </c>
      <c r="C69" s="90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9" t="inlineStr">
        <is>
          <t xml:space="preserve">初期構築（仮）。月々の運用費は71行の予算に含む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inlineStr">
        <is>
          <t xml:space="preserve">予算（友だち追加・運用込み）</t>
        </is>
      </c>
      <c r="C71" s="90">
        <v>0</v>
      </c>
      <c r="D71" s="51">
        <v>0</v>
      </c>
      <c r="E71" s="28">
        <v>1000000</v>
      </c>
      <c r="F71" s="28">
        <v>1000000</v>
      </c>
      <c r="G71" s="28">
        <v>1000000</v>
      </c>
      <c r="H71" s="28">
        <v>1000000</v>
      </c>
      <c r="I71" s="28">
        <v>1000000</v>
      </c>
      <c r="J71" s="28">
        <v>1000000</v>
      </c>
      <c r="N71" s="69" t="inlineStr">
        <is>
          <t xml:space="preserve">予算型コンサル：月100万（友だち追加の広告と運用を含む）</t>
        </is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7E93-6B05-5707-9458-93C5E9D838DC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+'SIM2_予算100万'!D24</f>
      </c>
      <c r="D4" s="28">
        <f>+'SIM2_予算100万'!G51</f>
      </c>
      <c r="E4" s="28">
        <f>+'SIM2_予算100万'!J51</f>
      </c>
      <c r="F4" s="28"/>
    </row>
    <row r="5" spans="1:25" x14ac:dyDescent="0.4">
      <c r="A5" s="85" t="s">
        <v>167</v>
      </c>
      <c r="B5" s="7"/>
      <c r="C5" s="86">
        <f>+'SIM2_予算100万'!D25</f>
      </c>
      <c r="D5" s="28">
        <f>+'SIM2_予算100万'!G61</f>
      </c>
      <c r="E5" s="28">
        <f>+'SIM2_予算100万'!J61</f>
      </c>
      <c r="F5" s="27"/>
    </row>
    <row r="6" spans="1:25" x14ac:dyDescent="0.4">
      <c r="A6" s="85" t="s">
        <v>83</v>
      </c>
      <c r="B6" s="7"/>
      <c r="C6" s="117">
        <f>+'SIM2_予算100万'!D28</f>
      </c>
      <c r="D6" s="87">
        <f>+'SIM2_予算100万'!G28</f>
      </c>
      <c r="E6" s="87">
        <f>+'SIM2_予算100万'!J28</f>
      </c>
      <c r="F6" s="10"/>
    </row>
    <row r="7" spans="1:25" x14ac:dyDescent="0.4">
      <c r="A7" s="85" t="s">
        <v>84</v>
      </c>
      <c r="B7" s="7"/>
      <c r="C7" s="88">
        <f>+'SIM2_予算100万'!D27</f>
      </c>
      <c r="D7" s="89">
        <f>+D8/D6</f>
      </c>
      <c r="E7" s="89">
        <f>+E8/E6</f>
      </c>
      <c r="F7" s="89"/>
    </row>
    <row r="8" spans="1:25" x14ac:dyDescent="0.4">
      <c r="A8" s="85" t="s">
        <v>85</v>
      </c>
      <c r="B8" s="7"/>
      <c r="C8" s="117">
        <f>+'SIM2_予算100万'!D29</f>
      </c>
      <c r="D8" s="10">
        <f>+'SIM2_予算100万'!G29</f>
      </c>
      <c r="E8" s="10">
        <f>+'SIM2_予算100万'!J29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+'SIM2_予算100万'!D34</f>
      </c>
      <c r="D10" s="10">
        <f>+'SIM2_予算100万'!G34</f>
      </c>
      <c r="E10" s="10">
        <f>+'SIM2_予算100万'!J34</f>
      </c>
      <c r="F10" s="10"/>
    </row>
    <row r="11" spans="1:25" x14ac:dyDescent="0.4">
      <c r="A11" s="85" t="s">
        <v>90</v>
      </c>
      <c r="B11" s="7"/>
      <c r="C11" s="117">
        <f>+'SIM2_予算100万'!D35</f>
      </c>
      <c r="D11" s="10">
        <f>+'SIM2_予算100万'!G35</f>
      </c>
      <c r="E11" s="10">
        <f>+'SIM2_予算100万'!J35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+'SIM2_予算100万'!D16</f>
      </c>
      <c r="D15" s="87">
        <f>+'SIM2_予算100万'!E16</f>
      </c>
      <c r="E15" s="87">
        <f>+'SIM2_予算100万'!F16</f>
      </c>
      <c r="F15" s="87"/>
      <c r="R15" s="5" t="s">
        <v>59</v>
      </c>
    </row>
    <row r="16" spans="1:25" x14ac:dyDescent="0.4">
      <c r="A16" s="85" t="inlineStr">
        <is>
          <t xml:space="preserve">CV数（+LINEOA施策）※申込のみ</t>
        </is>
      </c>
      <c r="B16" s="7"/>
      <c r="C16" s="87">
        <f>+C18</f>
      </c>
      <c r="D16" s="87">
        <f>+D18</f>
      </c>
      <c r="E16" s="87">
        <f>+E18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CV①_LINE追加（参考・CPAに含めない）</t>
        </is>
      </c>
      <c r="B17" s="7"/>
      <c r="C17" s="87">
        <f>+'SIM2_予算100万'!D36</f>
      </c>
      <c r="D17" s="87">
        <f>+'SIM2_予算100万'!G36</f>
      </c>
      <c r="E17" s="87">
        <f>+'SIM2_予算100万'!J36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CV②_申込（LINE上の申込フォーム）</t>
        </is>
      </c>
      <c r="B18" s="7"/>
      <c r="C18" s="87">
        <f>+'SIM2_予算100万'!D37</f>
      </c>
      <c r="D18" s="87">
        <f>+'SIM2_予算100万'!G37</f>
      </c>
      <c r="E18" s="87">
        <f>+'SIM2_予算100万'!J37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+'SIM2_予算100万'!D38</f>
      </c>
      <c r="D19" s="87">
        <f>+'SIM2_予算100万'!G38</f>
      </c>
      <c r="E19" s="87">
        <f>+'SIM2_予算100万'!J38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+'SIM2_予算100万'!D39</f>
      </c>
      <c r="D20" s="87">
        <f>+'SIM2_予算100万'!G39</f>
      </c>
      <c r="E20" s="87">
        <f>+'SIM2_予算100万'!J39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 t="inlineStr">
        <is>
          <t xml:space="preserve">友だち1人あたり（月の総額÷新しい友だち）</t>
        </is>
      </c>
      <c r="B24" s="7"/>
      <c r="C24" s="90" t="inlineStr">
        <is>
          <t xml:space="preserve">--</t>
        </is>
      </c>
      <c r="D24" s="90">
        <f>+IFERROR(D5/D17,"--")</f>
      </c>
      <c r="E24" s="90">
        <f>+IFERROR(E5/E17,"--")</f>
      </c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4A7B-FAFB-5FB8-BDE6-2FB3BB9B284C}">
  <dimension ref="A2:Z76"/>
  <sheetViews>
    <sheetView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株式会社CHET Group御中_LINEOA施策提案【SIM】（予算50万／友だち1人あたり1,000円）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LINE追加（新しい友だち）</t>
        </is>
      </c>
      <c r="D8" s="33">
        <v>0</v>
      </c>
      <c r="G8" s="143" t="s">
        <v>67</v>
      </c>
      <c r="H8" s="144">
        <v>15661</v>
      </c>
      <c r="I8" s="145"/>
      <c r="J8" s="145" t="s">
        <v>78</v>
      </c>
      <c r="K8" s="152">
        <v>0</v>
      </c>
      <c r="N8" s="69" t="s">
        <v>126</v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申込（LINE上の申込フォーム）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CV（別施策）</t>
        </is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s">
        <v>173</v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s">
        <v>72</v>
      </c>
      <c r="F13" s="36" t="s">
        <v>73</v>
      </c>
      <c r="G13" s="36" t="s">
        <v>74</v>
      </c>
      <c r="H13" s="36" t="s">
        <v>75</v>
      </c>
      <c r="I13" s="36" t="s">
        <v>76</v>
      </c>
      <c r="J13" s="36" t="s">
        <v>77</v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inlineStr">
        <is>
          <t xml:space="preserve">友だち追加（広告→LP→LINE）</t>
        </is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inlineStr">
        <is>
          <t xml:space="preserve">友だち追加（広告→LP→LINE）</t>
        </is>
      </c>
      <c r="C22" s="17"/>
      <c r="D22" s="44" t="s">
        <v>22</v>
      </c>
      <c r="E22" s="63">
        <f>IF(E17=FALSE,0,ROUND(E71/$P$30,0))</f>
      </c>
      <c r="F22" s="63">
        <f>IF(F17=FALSE,0,ROUND(F71/$P$30,0))</f>
      </c>
      <c r="G22" s="63">
        <f>IF(G17=FALSE,0,ROUND(G71/$P$30,0))</f>
      </c>
      <c r="H22" s="63">
        <f>IF(H17=FALSE,0,ROUND(H71/$P$30,0))</f>
      </c>
      <c r="I22" s="63">
        <f>IF(I17=FALSE,0,ROUND(I71/$P$30,0))</f>
      </c>
      <c r="J22" s="63">
        <f>IF(J17=FALSE,0,ROUND(J71/$P$30,0))</f>
      </c>
      <c r="K22" s="11"/>
      <c r="L22" s="7"/>
      <c r="N22" s="69" t="inlineStr">
        <is>
          <t xml:space="preserve">予算（71行）÷友だち1人あたり1,000円（P30）。単価は先方の良い時の実績（広告・運用込みの見込み）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s">
        <v>139</v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＋サイトからの自然な追加：UU×0.5%（FMT標準のP15）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0.406</v>
      </c>
      <c r="F27" s="47">
        <f>+E27*0.98</f>
      </c>
      <c r="G27" s="47">
        <f>+F27*0.98</f>
      </c>
      <c r="H27" s="47">
        <f>+G27*0.98</f>
      </c>
      <c r="I27" s="47">
        <f>+H27*0.98</f>
      </c>
      <c r="J27" s="47">
        <f>+I27*0.98</f>
      </c>
      <c r="K27" s="11"/>
      <c r="L27" s="7"/>
      <c r="N27" t="inlineStr">
        <is>
          <t xml:space="preserve">ブロック率：40.6%から、出し分け配信で毎月2%ずつ低下（仮）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12566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N28" t="inlineStr">
        <is>
          <t xml:space="preserve">D28：wakaba projectのLINEの友だち12,566人（page.line.me・2026/10/1）。他のLINEは非公開で含めていない</t>
        </is>
      </c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inlineStr">
        <is>
          <t xml:space="preserve">友だち1人あたり（広告・運用込み）</t>
        </is>
      </c>
      <c r="P30" s="76">
        <v>1000</v>
      </c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+E31+E33+1.05*(E31+E33)+E29*0.3*2</f>
      </c>
      <c r="F35" s="50">
        <f>+F31+F33+1.05*(F31+F33)+F29*0.3*2</f>
      </c>
      <c r="G35" s="50">
        <f>+G31+G33+1.05*(G31+G33)+G29*0.3*2</f>
      </c>
      <c r="H35" s="50">
        <f>+H31+H33+1.05*(H31+H33)+H29*0.3*2</f>
      </c>
      <c r="I35" s="50">
        <f>+I31+I33+1.05*(I31+I33)+I29*0.3*2</f>
      </c>
      <c r="J35" s="50">
        <f>+J31+J33+1.05*(J31+J33)+J29*0.3*2</f>
      </c>
      <c r="K35" s="11"/>
      <c r="L35" s="7"/>
      <c r="N35" t="inlineStr">
        <is>
          <t xml:space="preserve">＋リッチメニューのタップ：有効な友だち×月に使う率30%×2回</t>
        </is>
      </c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ROUND(E26,0)</f>
      </c>
      <c r="F36" s="111">
        <f>ROUND(F26,0)</f>
      </c>
      <c r="G36" s="111">
        <f>ROUND(G26,0)</f>
      </c>
      <c r="H36" s="111">
        <f>ROUND(H26,0)</f>
      </c>
      <c r="I36" s="111">
        <f>ROUND(I26,0)</f>
      </c>
      <c r="J36" s="111">
        <f>ROUND(J26,0)</f>
      </c>
      <c r="K36" s="115">
        <f>SUM(E36:J36)</f>
      </c>
      <c r="L36" s="7"/>
      <c r="N36" s="69" t="inlineStr">
        <is>
          <t xml:space="preserve">CV①LINE追加＝その月の新しい友だち（広告＋サイト）。CPA・CVRには含めない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ROUND(E35*0.005,0)</f>
      </c>
      <c r="F37" s="111">
        <f>ROUND(F35*0.006,0)</f>
      </c>
      <c r="G37" s="111">
        <f>ROUND(G35*0.007,0)</f>
      </c>
      <c r="H37" s="111">
        <f>ROUND(H35*0.008,0)</f>
      </c>
      <c r="I37" s="111">
        <f>ROUND(I35*0.009,0)</f>
      </c>
      <c r="J37" s="111">
        <f>ROUND(J35*0.01,0)</f>
      </c>
      <c r="K37" s="115">
        <f>SUM(E37:J37)</f>
      </c>
      <c r="L37" s="7"/>
      <c r="N37" s="69" t="inlineStr">
        <is>
          <t xml:space="preserve">CV②申込：想定Click×0.5%→1.0%（運用が育つ想定で月ごとに上げる）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3</v>
      </c>
      <c r="F38" s="111">
        <v>8</v>
      </c>
      <c r="G38" s="111">
        <v>13</v>
      </c>
      <c r="H38" s="111">
        <v>16</v>
      </c>
      <c r="I38" s="111">
        <v>19</v>
      </c>
      <c r="J38" s="111">
        <v>26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>+D37</f>
      </c>
      <c r="E40" s="10">
        <f>+E37</f>
      </c>
      <c r="F40" s="10">
        <f>+F37</f>
      </c>
      <c r="G40" s="10">
        <f>+G37</f>
      </c>
      <c r="H40" s="10">
        <f>+H37</f>
      </c>
      <c r="I40" s="10">
        <f>+I37</f>
      </c>
      <c r="J40" s="10">
        <f>+J37</f>
      </c>
      <c r="K40" s="115">
        <f>SUM(E40:J40)</f>
      </c>
      <c r="L40" s="7"/>
      <c r="N40" t="inlineStr">
        <is>
          <t xml:space="preserve">合計CVはCV②（申込）のみ。CPA・CVRは申込で計算</t>
        </is>
      </c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 t="shared" ref="E46:J46" si="19">+SUM(E65:E67)/(E28-D28)</f>
      </c>
      <c r="F46" s="28">
        <f t="shared" si="19"/>
      </c>
      <c r="G46" s="28">
        <f t="shared" si="19"/>
      </c>
      <c r="H46" s="28">
        <f t="shared" si="19"/>
      </c>
      <c r="I46" s="28">
        <f t="shared" si="19"/>
      </c>
      <c r="J46" s="28">
        <f t="shared" si="19"/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+SUM(E65:E67)/(E28-D28)</f>
      </c>
      <c r="F56" s="28">
        <f t="shared" ref="F56:J56" si="27">+SUM(F65:F67)/(F28-E28)</f>
      </c>
      <c r="G56" s="28">
        <f t="shared" si="27"/>
      </c>
      <c r="H56" s="28">
        <f t="shared" si="27"/>
      </c>
      <c r="I56" s="28">
        <f t="shared" si="27"/>
      </c>
      <c r="J56" s="28">
        <f t="shared" si="27"/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inlineStr">
        <is>
          <t xml:space="preserve">離脱防止：今回のSIMには入れない</t>
        </is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s">
        <v>184</v>
      </c>
      <c r="C69" s="90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9" t="inlineStr">
        <is>
          <t xml:space="preserve">初期構築（仮）。月々の運用費は71行の予算に含む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inlineStr">
        <is>
          <t xml:space="preserve">予算（友だち追加・運用込み）</t>
        </is>
      </c>
      <c r="C71" s="90">
        <v>0</v>
      </c>
      <c r="D71" s="51">
        <v>0</v>
      </c>
      <c r="E71" s="28">
        <v>500000</v>
      </c>
      <c r="F71" s="28">
        <v>500000</v>
      </c>
      <c r="G71" s="28">
        <v>500000</v>
      </c>
      <c r="H71" s="28">
        <v>500000</v>
      </c>
      <c r="I71" s="28">
        <v>500000</v>
      </c>
      <c r="J71" s="28">
        <v>500000</v>
      </c>
      <c r="N71" s="69" t="inlineStr">
        <is>
          <t xml:space="preserve">予算型コンサル：月50万（友だち追加の広告と運用を含む）</t>
        </is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741B-FCEA-5D7C-B330-3FF488796E3D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+'SIM3_予算50万'!D24</f>
      </c>
      <c r="D4" s="28">
        <f>+'SIM3_予算50万'!G51</f>
      </c>
      <c r="E4" s="28">
        <f>+'SIM3_予算50万'!J51</f>
      </c>
      <c r="F4" s="28"/>
    </row>
    <row r="5" spans="1:25" x14ac:dyDescent="0.4">
      <c r="A5" s="85" t="s">
        <v>167</v>
      </c>
      <c r="B5" s="7"/>
      <c r="C5" s="86">
        <f>+'SIM3_予算50万'!D25</f>
      </c>
      <c r="D5" s="28">
        <f>+'SIM3_予算50万'!G61</f>
      </c>
      <c r="E5" s="28">
        <f>+'SIM3_予算50万'!J61</f>
      </c>
      <c r="F5" s="27"/>
    </row>
    <row r="6" spans="1:25" x14ac:dyDescent="0.4">
      <c r="A6" s="85" t="s">
        <v>83</v>
      </c>
      <c r="B6" s="7"/>
      <c r="C6" s="117">
        <f>+'SIM3_予算50万'!D28</f>
      </c>
      <c r="D6" s="87">
        <f>+'SIM3_予算50万'!G28</f>
      </c>
      <c r="E6" s="87">
        <f>+'SIM3_予算50万'!J28</f>
      </c>
      <c r="F6" s="10"/>
    </row>
    <row r="7" spans="1:25" x14ac:dyDescent="0.4">
      <c r="A7" s="85" t="s">
        <v>84</v>
      </c>
      <c r="B7" s="7"/>
      <c r="C7" s="88">
        <f>+'SIM3_予算50万'!D27</f>
      </c>
      <c r="D7" s="89">
        <f>+D8/D6</f>
      </c>
      <c r="E7" s="89">
        <f>+E8/E6</f>
      </c>
      <c r="F7" s="89"/>
    </row>
    <row r="8" spans="1:25" x14ac:dyDescent="0.4">
      <c r="A8" s="85" t="s">
        <v>85</v>
      </c>
      <c r="B8" s="7"/>
      <c r="C8" s="117">
        <f>+'SIM3_予算50万'!D29</f>
      </c>
      <c r="D8" s="10">
        <f>+'SIM3_予算50万'!G29</f>
      </c>
      <c r="E8" s="10">
        <f>+'SIM3_予算50万'!J29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+'SIM3_予算50万'!D34</f>
      </c>
      <c r="D10" s="10">
        <f>+'SIM3_予算50万'!G34</f>
      </c>
      <c r="E10" s="10">
        <f>+'SIM3_予算50万'!J34</f>
      </c>
      <c r="F10" s="10"/>
    </row>
    <row r="11" spans="1:25" x14ac:dyDescent="0.4">
      <c r="A11" s="85" t="s">
        <v>90</v>
      </c>
      <c r="B11" s="7"/>
      <c r="C11" s="117">
        <f>+'SIM3_予算50万'!D35</f>
      </c>
      <c r="D11" s="10">
        <f>+'SIM3_予算50万'!G35</f>
      </c>
      <c r="E11" s="10">
        <f>+'SIM3_予算50万'!J35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+'SIM3_予算50万'!D16</f>
      </c>
      <c r="D15" s="87">
        <f>+'SIM3_予算50万'!E16</f>
      </c>
      <c r="E15" s="87">
        <f>+'SIM3_予算50万'!F16</f>
      </c>
      <c r="F15" s="87"/>
      <c r="R15" s="5" t="s">
        <v>59</v>
      </c>
    </row>
    <row r="16" spans="1:25" x14ac:dyDescent="0.4">
      <c r="A16" s="85" t="inlineStr">
        <is>
          <t xml:space="preserve">CV数（+LINEOA施策）※申込のみ</t>
        </is>
      </c>
      <c r="B16" s="7"/>
      <c r="C16" s="87">
        <f>+C18</f>
      </c>
      <c r="D16" s="87">
        <f>+D18</f>
      </c>
      <c r="E16" s="87">
        <f>+E18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CV①_LINE追加（参考・CPAに含めない）</t>
        </is>
      </c>
      <c r="B17" s="7"/>
      <c r="C17" s="87">
        <f>+'SIM3_予算50万'!D36</f>
      </c>
      <c r="D17" s="87">
        <f>+'SIM3_予算50万'!G36</f>
      </c>
      <c r="E17" s="87">
        <f>+'SIM3_予算50万'!J36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CV②_申込（LINE上の申込フォーム）</t>
        </is>
      </c>
      <c r="B18" s="7"/>
      <c r="C18" s="87">
        <f>+'SIM3_予算50万'!D37</f>
      </c>
      <c r="D18" s="87">
        <f>+'SIM3_予算50万'!G37</f>
      </c>
      <c r="E18" s="87">
        <f>+'SIM3_予算50万'!J37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+'SIM3_予算50万'!D38</f>
      </c>
      <c r="D19" s="87">
        <f>+'SIM3_予算50万'!G38</f>
      </c>
      <c r="E19" s="87">
        <f>+'SIM3_予算50万'!J38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+'SIM3_予算50万'!D39</f>
      </c>
      <c r="D20" s="87">
        <f>+'SIM3_予算50万'!G39</f>
      </c>
      <c r="E20" s="87">
        <f>+'SIM3_予算50万'!J39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 t="inlineStr">
        <is>
          <t xml:space="preserve">友だち1人あたり（月の総額÷新しい友だち）</t>
        </is>
      </c>
      <c r="B24" s="7"/>
      <c r="C24" s="90" t="inlineStr">
        <is>
          <t xml:space="preserve">--</t>
        </is>
      </c>
      <c r="D24" s="90">
        <f>+IFERROR(D5/D17,"--")</f>
      </c>
      <c r="E24" s="90">
        <f>+IFERROR(E5/E17,"--")</f>
      </c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SIM1_予算200万</vt:lpstr>
      <vt:lpstr>SIM1_比較</vt:lpstr>
      <vt:lpstr>SIM2_予算100万</vt:lpstr>
      <vt:lpstr>SIM2_比較</vt:lpstr>
      <vt:lpstr>SIM3_予算50万</vt:lpstr>
      <vt:lpstr>SIM3_比較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
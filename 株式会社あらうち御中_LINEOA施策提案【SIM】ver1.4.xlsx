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_離脱防止＋サイトのボタン" sheetId="1" r:id="rId1"/>
    <sheet name="SIM_比較" sheetId="2" r:id="rId2"/>
    <sheet name="SIM考え方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<sst xmlns="http://schemas.openxmlformats.org/spreadsheetml/2006/main" count="278" uniqueCount="195">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</sst>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46304</v>
      </c>
    </row>
    <row r="4" spans="1:25" ht="45.75" customHeight="1" x14ac:dyDescent="0.4">
      <c r="A4" s="56" t="inlineStr">
        <is>
          <t xml:space="preserve">株式会社あらうち御中_LINEOA施策提案【SIM】（離脱防止＋サイトのLINEボタン）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問い合わせ①（LINEで物件URL送付）</t>
        </is>
      </c>
      <c r="D8" s="33">
        <v>0</v>
      </c>
      <c r="G8" s="143" t="s">
        <v>67</v>
      </c>
      <c r="H8" s="144">
        <v>1737</v>
      </c>
      <c r="I8" s="145"/>
      <c r="J8" s="145" t="s">
        <v>78</v>
      </c>
      <c r="K8" s="152">
        <v>0</v>
      </c>
      <c r="N8" s="69" t="inlineStr">
        <is>
          <t xml:space="preserve">UU 1,737/月・友だち1,241人（2026-10-09 殿村さん提供）。ターゲット＝都内在住の女性オフィスワーカー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問い合わせ②（配信経由）</t>
        </is>
      </c>
      <c r="D9" s="33">
        <v>0</v>
      </c>
      <c r="G9" s="146" t="s">
        <v>177</v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s">
        <v>144</v>
      </c>
      <c r="H10" s="147">
        <v>30</v>
      </c>
      <c r="I10" s="148" t="s">
        <v>186</v>
      </c>
      <c r="J10" s="139"/>
      <c r="K10" s="140"/>
      <c r="N10" s="155" t="inlineStr">
        <is>
          <t xml:space="preserve">サイトのフォームの問い合わせ 月30件（仮置き。UUの約1.7%）。今の状態の参考値（サンクスLINEは入れないのでSIMの計算には使わない）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s">
        <v>145</v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inlineStr">
        <is>
          <t xml:space="preserve">友だち追加広告（CPF）は使わない（30万／100万はADの提案予算でLINEのSIMには入れない）</t>
        </is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s">
        <v>5</v>
      </c>
      <c r="C23" s="17"/>
      <c r="D23" s="44" t="s">
        <v>22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4">F23*1.01</f>
      </c>
      <c r="H23" s="63">
        <f t="shared" si="4"/>
      </c>
      <c r="I23" s="63">
        <f t="shared" si="4"/>
      </c>
      <c r="J23" s="63">
        <f t="shared" si="4"/>
      </c>
      <c r="K23" s="11"/>
      <c r="L23" s="7"/>
      <c r="N23" s="69" t="inlineStr">
        <is>
          <t xml:space="preserve">離脱防止＝UU×表示55%×クリック12%×追加12%（FMTの式）。3か月目以降は前月の1.01倍（FMTの式）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+IF(E19=FALSE,0,SUM(H10:H11)*0.15)</f>
      </c>
      <c r="F24" s="63">
        <f>E24*1.01</f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inlineStr">
        <is>
          <t xml:space="preserve">サンクスLINEは入れない（サイト・LPで問い合わせた時点で、その方にLINEは要らない）。入れる場合は初期10万・月3万〜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サイトのLINEボタン＝UU×0.5%（FMTのP15）＝月約9人。リンク先を友だち追加URLに差し替える前提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0.35</v>
      </c>
      <c r="E27" s="47">
        <v>0.35</v>
      </c>
      <c r="F27" s="47">
        <f>ROUND(E27*1.01,3)</f>
      </c>
      <c r="G27" s="47">
        <f>ROUND(F27*1.01,3)</f>
      </c>
      <c r="H27" s="47">
        <f>ROUND(G27*1.01,3)</f>
      </c>
      <c r="I27" s="47">
        <f>ROUND(H27*1.01,3)</f>
      </c>
      <c r="J27" s="47">
        <f>ROUND(I27*1.01,3)</f>
      </c>
      <c r="K27" s="11"/>
      <c r="L27" s="7"/>
      <c r="N27" t="inlineStr">
        <is>
          <t xml:space="preserve">ブロック率：現状35%（仮置き）から前月の1.01倍ずつ上昇（6か月目で37%。用済み型。友だち追加広告の流入が無いので上げ幅は小さい）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1241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158</v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N31" t="inlineStr">
        <is>
          <t xml:space="preserve">企画配信：有効な友だち×80%（FMT）。4か月目からは反応しない方・問い合わせ済みの方を外して、さらに8割に絞る想定（FMTのQ24）</t>
        </is>
      </c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9" t="inlineStr">
        <is>
          <t xml:space="preserve">ステップ配信10通（サイト経由・サンクスLINE経由で各10通。企画案の表2）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+E26*E32*$P$26*$P$27*$P$36</f>
      </c>
      <c r="F33" s="63">
        <f>+F26*F32*$P$26*$P$27*$P$36</f>
      </c>
      <c r="G33" s="63">
        <f>+G26*G32*$P$26*$P$27*$P$36</f>
      </c>
      <c r="H33" s="63">
        <f>+H26*H32*$P$26*$P$27*$P$36</f>
      </c>
      <c r="I33" s="63">
        <f>+I26*I32*$P$26*$P$27*$P$36</f>
      </c>
      <c r="J33" s="63">
        <f>+J26*J32*$P$26*$P$27*$P$36</f>
      </c>
      <c r="K33" s="11"/>
      <c r="L33" s="7"/>
      <c r="N33" t="inlineStr">
        <is>
          <t xml:space="preserve">ステップ配信の対象＝その月の新しい友だち（開始条件＝友だち追加）。FMTの「ターゲット数×20%」は使わない</t>
        </is>
      </c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161</v>
      </c>
      <c r="P34" s="75" t="b">
        <v>0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f>ROUND((E26-E24)*0.25,0)</f>
      </c>
      <c r="F36" s="111">
        <f>ROUND((F26-F24)*0.25,0)</f>
      </c>
      <c r="G36" s="111">
        <f>ROUND((G26-G24)*0.25,0)</f>
      </c>
      <c r="H36" s="111">
        <f>ROUND((H26-H24)*0.25,0)</f>
      </c>
      <c r="I36" s="111">
        <f>ROUND((I26-I24)*0.25,0)</f>
      </c>
      <c r="J36" s="111">
        <f>ROUND((J26-J24)*0.25,0)</f>
      </c>
      <c r="K36" s="115">
        <f>SUM(E36:J36)</f>
      </c>
      <c r="L36" s="7"/>
      <c r="N36" s="69" t="inlineStr">
        <is>
          <t xml:space="preserve">問い合わせ①＝（新規友だち−サンクスLINE経由）×25%（LINEで物件URLを送る＝問い合わせ。仮置き）。サンクスLINE経由はフォームで問い合わせ済みなので数えない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f>ROUND(E35*0.004,0)</f>
      </c>
      <c r="F37" s="111">
        <f>ROUND(F35*0.005,0)</f>
      </c>
      <c r="G37" s="111">
        <f>ROUND(G35*0.006,0)</f>
      </c>
      <c r="H37" s="111">
        <f>ROUND(H35*0.008,0)</f>
      </c>
      <c r="I37" s="111">
        <f>ROUND(I35*0.008,0)</f>
      </c>
      <c r="J37" s="111">
        <f>ROUND(J35*0.008,0)</f>
      </c>
      <c r="K37" s="115">
        <f>SUM(E37:J37)</f>
      </c>
      <c r="L37" s="7"/>
      <c r="N37" s="69" t="inlineStr">
        <is>
          <t xml:space="preserve">問い合わせ②＝配信クリック×0.4〜0.8%（運用が育つ想定で月ごとに上げる）</t>
        </is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+IFERROR(E37/E35,0)</f>
      </c>
      <c r="F41" s="18">
        <f>+IFERROR(F37/F35,0)</f>
      </c>
      <c r="G41" s="18">
        <f>+IFERROR(G37/G35,0)</f>
      </c>
      <c r="H41" s="18">
        <f>+IFERROR(H37/H35,0)</f>
      </c>
      <c r="I41" s="18">
        <f>+IFERROR(I37/I35,0)</f>
      </c>
      <c r="J41" s="18">
        <f>+IFERROR(J37/J35,0)</f>
      </c>
      <c r="N41" s="69" t="inlineStr">
        <is>
          <t xml:space="preserve">CVR＝LINEのクリック経由の問い合わせ（②）÷クリック（2026-10-09 殿村さん確定）。①は友だち追加の直後に物件URLを送る問い合わせで、クリックを通らないので入れない</t>
        </is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(SUM(E65:E67)+E71)/(E28-D28)</f>
      </c>
      <c r="F46" s="28">
        <f>(SUM(F65:F67)+F71)/(F28-E28)</f>
      </c>
      <c r="G46" s="28">
        <f>(SUM(G65:G67)+G71)/(G28-F28)</f>
      </c>
      <c r="H46" s="28">
        <f>(SUM(H65:H67)+H71)/(H28-G28)</f>
      </c>
      <c r="I46" s="28">
        <f>(SUM(I65:I67)+I71)/(I28-H28)</f>
      </c>
      <c r="J46" s="28">
        <f>(SUM(J65:J67)+J71)/(J28-I28)</f>
      </c>
      <c r="K46" s="11"/>
      <c r="L46" s="7"/>
      <c r="N46" t="inlineStr">
        <is>
          <t xml:space="preserve">友だち獲得単価＝離脱防止の月額÷増えた友だち（無料のサイトのボタン経由も含む）</t>
        </is>
      </c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>+IFERROR(E37/E35,0)</f>
      </c>
      <c r="F48" s="32">
        <f>+IFERROR(F37/F35,0)</f>
      </c>
      <c r="G48" s="32">
        <f>+IFERROR(G37/G35,0)</f>
      </c>
      <c r="H48" s="32">
        <f>+IFERROR(H37/H35,0)</f>
      </c>
      <c r="I48" s="32">
        <f>+IFERROR(I37/I35,0)</f>
      </c>
      <c r="J48" s="32">
        <f>+IFERROR(J37/J35,0)</f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(SUM(E65:E67)+E71)/(E28-D28)</f>
      </c>
      <c r="F56" s="28">
        <f>(SUM(F65:F67)+F71)/(F28-E28)</f>
      </c>
      <c r="G56" s="28">
        <f>(SUM(G65:G67)+G71)/(G28-F28)</f>
      </c>
      <c r="H56" s="28">
        <f>(SUM(H65:H67)+H71)/(H28-G28)</f>
      </c>
      <c r="I56" s="28">
        <f>(SUM(I65:I67)+I71)/(I28-H28)</f>
      </c>
      <c r="J56" s="28">
        <f>(SUM(J65:J67)+J71)/(J28-I28)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>+IFERROR(E37/E35,0)</f>
      </c>
      <c r="F58" s="32">
        <f>+IFERROR(F37/F35,0)</f>
      </c>
      <c r="G58" s="32">
        <f>+IFERROR(G37/G35,0)</f>
      </c>
      <c r="H58" s="32">
        <f>+IFERROR(H37/H35,0)</f>
      </c>
      <c r="I58" s="32">
        <f>+IFERROR(I37/I35,0)</f>
      </c>
      <c r="J58" s="32">
        <f>+IFERROR(J37/J35,0)</f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inlineStr">
        <is>
          <t xml:space="preserve">従量課金は54行（新料金テーブル）で計算。65行の旧式（2.75円）は二重計上になるため0</t>
        </is>
      </c>
    </row>
    <row r="66" spans="1:16" x14ac:dyDescent="0.4">
      <c r="A66" s="53" t="s">
        <v>51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離脱防止：初期1.5万・月3万（資料S19）</t>
        </is>
      </c>
    </row>
    <row r="67" spans="1:16" x14ac:dyDescent="0.4">
      <c r="B67" s="6" t="inlineStr">
        <is>
          <t xml:space="preserve">サンクスLINE</t>
        </is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inlineStr">
        <is>
          <t xml:space="preserve">サンクスLINE：入れない（0）</t>
        </is>
      </c>
    </row>
    <row r="68" spans="1:16" x14ac:dyDescent="0.4">
      <c r="A68" s="15"/>
      <c r="B68" s="6" t="s">
        <v>49</v>
      </c>
      <c r="C68" s="90">
        <v>0</v>
      </c>
      <c r="D68" s="51">
        <v>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アカウント費：配信5,000通未満は月5,000円（FMTの式）。初期は0（アカウントは既にある）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</t>
        </is>
      </c>
      <c r="C69" s="90">
        <v>0</v>
      </c>
      <c r="D69" s="51">
        <v>200000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inlineStr">
        <is>
          <t xml:space="preserve">LINE運用コンサル：初期20万（アカウントの作り直し：あいさつ・リッチメニュー・自動応答・ステップ配信）／月10万（企画4本＋ステップ10本の運用）。2026-10-09 殿村さん確定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+'SIM_離脱防止＋サイトのボタン'!D24</f>
      </c>
      <c r="D4" s="28">
        <f>+'SIM_離脱防止＋サイトのボタン'!G51</f>
      </c>
      <c r="E4" s="28">
        <f>+'SIM_離脱防止＋サイトのボタン'!J51</f>
      </c>
      <c r="F4" s="28"/>
    </row>
    <row r="5" spans="1:25" x14ac:dyDescent="0.4">
      <c r="A5" s="85" t="s">
        <v>167</v>
      </c>
      <c r="B5" s="7"/>
      <c r="C5" s="86">
        <f>+'SIM_離脱防止＋サイトのボタン'!D25</f>
      </c>
      <c r="D5" s="28">
        <f>+'SIM_離脱防止＋サイトのボタン'!G61</f>
      </c>
      <c r="E5" s="28">
        <f>+'SIM_離脱防止＋サイトのボタン'!J61</f>
      </c>
      <c r="F5" s="27"/>
    </row>
    <row r="6" spans="1:25" x14ac:dyDescent="0.4">
      <c r="A6" s="85" t="s">
        <v>83</v>
      </c>
      <c r="B6" s="7"/>
      <c r="C6" s="117">
        <f>+'SIM_離脱防止＋サイトのボタン'!D28</f>
      </c>
      <c r="D6" s="87">
        <f>+'SIM_離脱防止＋サイトのボタン'!G28</f>
      </c>
      <c r="E6" s="87">
        <f>+'SIM_離脱防止＋サイトのボタン'!J28</f>
      </c>
      <c r="F6" s="10"/>
    </row>
    <row r="7" spans="1:25" x14ac:dyDescent="0.4">
      <c r="A7" s="85" t="s">
        <v>84</v>
      </c>
      <c r="B7" s="7"/>
      <c r="C7" s="88">
        <f>+'SIM_離脱防止＋サイトのボタン'!D27</f>
      </c>
      <c r="D7" s="89">
        <f>+'SIM_離脱防止＋サイトのボタン'!G27</f>
      </c>
      <c r="E7" s="89">
        <f>+'SIM_離脱防止＋サイトのボタン'!J27</f>
      </c>
      <c r="F7" s="89"/>
    </row>
    <row r="8" spans="1:25" x14ac:dyDescent="0.4">
      <c r="A8" s="85" t="s">
        <v>85</v>
      </c>
      <c r="B8" s="7"/>
      <c r="C8" s="117">
        <f>+'SIM_離脱防止＋サイトのボタン'!D29</f>
      </c>
      <c r="D8" s="10">
        <f>+'SIM_離脱防止＋サイトのボタン'!G29</f>
      </c>
      <c r="E8" s="10">
        <f>+'SIM_離脱防止＋サイトのボタン'!J29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+'SIM_離脱防止＋サイトのボタン'!D34</f>
      </c>
      <c r="D10" s="10">
        <f>+'SIM_離脱防止＋サイトのボタン'!G34</f>
      </c>
      <c r="E10" s="10">
        <f>+'SIM_離脱防止＋サイトのボタン'!J34</f>
      </c>
      <c r="F10" s="10"/>
    </row>
    <row r="11" spans="1:25" x14ac:dyDescent="0.4">
      <c r="A11" s="85" t="s">
        <v>90</v>
      </c>
      <c r="B11" s="7"/>
      <c r="C11" s="117">
        <f>+'SIM_離脱防止＋サイトのボタン'!D35</f>
      </c>
      <c r="D11" s="10">
        <f>+'SIM_離脱防止＋サイトのボタン'!G35</f>
      </c>
      <c r="E11" s="10">
        <f>+'SIM_離脱防止＋サイトのボタン'!J35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s">
        <v>87</v>
      </c>
      <c r="B15" s="7"/>
      <c r="C15" s="87">
        <f>+'SIM_離脱防止＋サイトのボタン'!D16</f>
      </c>
      <c r="D15" s="87">
        <f>+'SIM_離脱防止＋サイトのボタン'!G16</f>
      </c>
      <c r="E15" s="87">
        <f>+'SIM_離脱防止＋サイトのボタン'!J16</f>
      </c>
      <c r="F15" s="87"/>
      <c r="R15" s="5" t="s">
        <v>59</v>
      </c>
    </row>
    <row r="16" spans="1:25" x14ac:dyDescent="0.4">
      <c r="A16" s="85" t="s">
        <v>88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CV①_問い合わせ①（LINEで物件URL送付）</t>
        </is>
      </c>
      <c r="B17" s="7"/>
      <c r="C17" s="87">
        <f>+'SIM_離脱防止＋サイトのボタン'!D36</f>
      </c>
      <c r="D17" s="87">
        <f>+'SIM_離脱防止＋サイトのボタン'!G36</f>
      </c>
      <c r="E17" s="87">
        <f>+'SIM_離脱防止＋サイトのボタン'!J36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CV②_問い合わせ②（配信経由）</t>
        </is>
      </c>
      <c r="B18" s="7"/>
      <c r="C18" s="87">
        <f>+'SIM_離脱防止＋サイトのボタン'!D37</f>
      </c>
      <c r="D18" s="87">
        <f>+'SIM_離脱防止＋サイトのボタン'!G37</f>
      </c>
      <c r="E18" s="87">
        <f>+'SIM_離脱防止＋サイトのボタン'!J37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+'SIM_離脱防止＋サイトのボタン'!D38</f>
      </c>
      <c r="D19" s="87">
        <f>+'SIM_離脱防止＋サイトのボタン'!G38</f>
      </c>
      <c r="E19" s="87">
        <f>+'SIM_離脱防止＋サイトのボタン'!J38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+'SIM_離脱防止＋サイトのボタン'!D39</f>
      </c>
      <c r="D20" s="87">
        <f>+'SIM_離脱防止＋サイトのボタン'!G39</f>
      </c>
      <c r="E20" s="87">
        <f>+'SIM_離脱防止＋サイトのボタン'!J39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+'SIM_離脱防止＋サイトのボタン'!E68+C29*C30</f>
      </c>
      <c r="D25" s="10">
        <f>+'SIM_離脱防止＋サイトのボタン'!G68+D29*D30</f>
      </c>
      <c r="E25" s="10">
        <f>+'SIM_離脱防止＋サイトのボタン'!J68+E29*E30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SIM_離脱防止＋サイトのボタン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
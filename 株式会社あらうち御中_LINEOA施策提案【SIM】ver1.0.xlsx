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SNS予算30万円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SNS予算100万円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考え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株式会社あらうち御中_LINEOA施策提案【SIM】（SNS予算 30万円／月）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問い合わせ①（LINEで物件URL送付）</t>
        </is>
      </c>
      <c r="D8" s="160" t="n">
        <v>0</v>
      </c>
      <c r="G8" s="143" t="inlineStr">
        <is>
          <t>UU</t>
        </is>
      </c>
      <c r="H8" s="144" t="n">
        <v>3000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UUはSimilarWeb未取得のため仮置き3,000/月（LINEの自然増 約15人/月÷サイト誘導0.5%から逆算）。ターゲット＝都内在住の女性オフィスワーカー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問い合わせ②（配信経由）</t>
        </is>
      </c>
      <c r="D9" s="160" t="n">
        <v>0</v>
      </c>
      <c r="G9" s="146" t="inlineStr">
        <is>
          <t>広告・アフィUU</t>
        </is>
      </c>
      <c r="H9" s="147" t="n">
        <v>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0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IF(E17=FALSE,0,E71/$P$30)</f>
        <v/>
      </c>
      <c r="F22" s="63">
        <f>IF(F17=FALSE,0,F71/$P$30)</f>
        <v/>
      </c>
      <c r="G22" s="63">
        <f>IF(G17=FALSE,0,G71/$P$30)</f>
        <v/>
      </c>
      <c r="H22" s="63">
        <f>IF(H17=FALSE,0,H71/$P$30)</f>
        <v/>
      </c>
      <c r="I22" s="63">
        <f>IF(I17=FALSE,0,I71/$P$30)</f>
        <v/>
      </c>
      <c r="J22" s="63">
        <f>IF(J17=FALSE,0,J71/$P$30)</f>
        <v/>
      </c>
      <c r="K22" s="11" t="n"/>
      <c r="L22" s="7" t="n"/>
      <c r="N22" s="69" t="inlineStr">
        <is>
          <t>CPF：SNS予算÷300円/人（LINE友だち追加広告・仮置き。LINEヤフー公式事例UZUZの約300円）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離脱防止はOFF：UU3,000では月24人・約1,250円/人でCPFより割高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0.35</v>
      </c>
      <c r="E27" s="47" t="n">
        <v>0.412</v>
      </c>
      <c r="F27" s="47">
        <f>ROUND(E27*1.015,3)</f>
        <v/>
      </c>
      <c r="G27" s="47">
        <f>ROUND(F27*1.015,3)</f>
        <v/>
      </c>
      <c r="H27" s="47">
        <f>ROUND(G27*1.015,3)</f>
        <v/>
      </c>
      <c r="I27" s="47">
        <f>ROUND(H27*1.015,3)</f>
        <v/>
      </c>
      <c r="J27" s="47">
        <f>ROUND(I27*1.015,3)</f>
        <v/>
      </c>
      <c r="K27" s="11" t="n"/>
      <c r="L27" s="7" t="n"/>
      <c r="N27" t="inlineStr">
        <is>
          <t>ブロック率：用済み型（引っ越しが済めば離脱）＋CPF流入で高め。41.2%→月1.5%ずつ上昇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1240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>
        <f>+D28*(1-D27)</f>
        <v/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>
        <v>300</v>
      </c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ROUND(E26*0.25,0)</f>
        <v/>
      </c>
      <c r="F36" s="111">
        <f>ROUND(F26*0.25,0)</f>
        <v/>
      </c>
      <c r="G36" s="111">
        <f>ROUND(G26*0.25,0)</f>
        <v/>
      </c>
      <c r="H36" s="111">
        <f>ROUND(H26*0.25,0)</f>
        <v/>
      </c>
      <c r="I36" s="111">
        <f>ROUND(I26*0.25,0)</f>
        <v/>
      </c>
      <c r="J36" s="111">
        <f>ROUND(J26*0.25,0)</f>
        <v/>
      </c>
      <c r="K36" s="115">
        <f>SUM(E36:J36)</f>
        <v/>
      </c>
      <c r="L36" s="7" t="n"/>
      <c r="N36" s="69" t="inlineStr">
        <is>
          <t>問い合わせ①＝新規友だち×25%（LINEで物件URLを送る＝問い合わせ。仮置き）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ROUND(E35*0.004,0)</f>
        <v/>
      </c>
      <c r="F37" s="111">
        <f>ROUND(F35*0.005,0)</f>
        <v/>
      </c>
      <c r="G37" s="111">
        <f>ROUND(G35*0.006,0)</f>
        <v/>
      </c>
      <c r="H37" s="111">
        <f>ROUND(H35*0.007,0)</f>
        <v/>
      </c>
      <c r="I37" s="111">
        <f>ROUND(I35*0.008,0)</f>
        <v/>
      </c>
      <c r="J37" s="111">
        <f>ROUND(J35*0.008,0)</f>
        <v/>
      </c>
      <c r="K37" s="115">
        <f>SUM(E37:J37)</f>
        <v/>
      </c>
      <c r="L37" s="7" t="n"/>
      <c r="N37" s="69" t="inlineStr">
        <is>
          <t>問い合わせ②＝配信クリック×0.4〜0.8%（運用が育つ想定で月ごとに上げる）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CVRが高く出るのは①がクリック経由でないため（分母はクリックのみ）。②だけなら0.4〜0.8%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(SUM(E65:E67)+E71)/(E28-D28)</f>
        <v/>
      </c>
      <c r="F46" s="178">
        <f>(SUM(F65:F67)+F71)/(F28-E28)</f>
        <v/>
      </c>
      <c r="G46" s="178">
        <f>(SUM(G65:G67)+G71)/(G28-F28)</f>
        <v/>
      </c>
      <c r="H46" s="178">
        <f>(SUM(H65:H67)+H71)/(H28-G28)</f>
        <v/>
      </c>
      <c r="I46" s="178">
        <f>(SUM(I65:I67)+I71)/(I28-H28)</f>
        <v/>
      </c>
      <c r="J46" s="178">
        <f>(SUM(J65:J67)+J71)/(J28-I28)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(SUM(E65:E67)+E71)/(E28-D28)</f>
        <v/>
      </c>
      <c r="F56" s="178">
        <f>(SUM(F65:F67)+F71)/(F28-E28)</f>
        <v/>
      </c>
      <c r="G56" s="178">
        <f>(SUM(G65:G67)+G71)/(G28-F28)</f>
        <v/>
      </c>
      <c r="H56" s="178">
        <f>(SUM(H65:H67)+H71)/(H28-G28)</f>
        <v/>
      </c>
      <c r="I56" s="178">
        <f>(SUM(I65:I67)+I71)/(I28-H28)</f>
        <v/>
      </c>
      <c r="J56" s="178">
        <f>(SUM(J65:J67)+J71)/(J28-I28)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0</v>
      </c>
      <c r="E66" s="178" t="n">
        <v>0</v>
      </c>
      <c r="F66" s="178" t="n">
        <v>0</v>
      </c>
      <c r="G66" s="178" t="n">
        <v>0</v>
      </c>
      <c r="H66" s="178" t="n">
        <v>0</v>
      </c>
      <c r="I66" s="178" t="n">
        <v>0</v>
      </c>
      <c r="J66" s="178" t="n">
        <v>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100000</v>
      </c>
      <c r="F69" s="178" t="n">
        <v>100000</v>
      </c>
      <c r="G69" s="178" t="n">
        <v>100000</v>
      </c>
      <c r="H69" s="178" t="n">
        <v>100000</v>
      </c>
      <c r="I69" s="178" t="n">
        <v>100000</v>
      </c>
      <c r="J69" s="178" t="n">
        <v>100000</v>
      </c>
      <c r="N69" s="69" t="inlineStr">
        <is>
          <t>LINE運用コンサル：初期20万（あいさつ・リッチメニュー・URL受付の自動応答・CPF設定）／月10万（CPF運用＋企画4本＋ステップ10本）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CPF広告費（SNS予算）</t>
        </is>
      </c>
      <c r="C71" s="184" t="n">
        <v>0</v>
      </c>
      <c r="D71" s="185" t="n">
        <v>0</v>
      </c>
      <c r="E71" s="178" t="n">
        <v>300000</v>
      </c>
      <c r="F71" s="178" t="n">
        <v>300000</v>
      </c>
      <c r="G71" s="178" t="n">
        <v>300000</v>
      </c>
      <c r="H71" s="178" t="n">
        <v>300000</v>
      </c>
      <c r="I71" s="178" t="n">
        <v>300000</v>
      </c>
      <c r="J71" s="178" t="n">
        <v>300000</v>
      </c>
      <c r="N71" s="69" t="inlineStr">
        <is>
          <t>SNS予算は全額CPF（LINE友だち追加広告）に充当。広告運用手数料は含まない（AD側のSIMに合わせる）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+'SIM1_SNS予算30万円'!D24</f>
        <v/>
      </c>
      <c r="D4" s="178">
        <f>+'SIM1_SNS予算30万円'!G51</f>
        <v/>
      </c>
      <c r="E4" s="178">
        <f>+'SIM1_SNS予算30万円'!J51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+'SIM1_SNS予算30万円'!D25</f>
        <v/>
      </c>
      <c r="D5" s="178">
        <f>+'SIM1_SNS予算30万円'!G61</f>
        <v/>
      </c>
      <c r="E5" s="178">
        <f>+'SIM1_SNS予算30万円'!J61</f>
        <v/>
      </c>
      <c r="F5" s="177" t="n"/>
    </row>
    <row r="6">
      <c r="A6" s="85" t="inlineStr">
        <is>
          <t>友だち数想定</t>
        </is>
      </c>
      <c r="B6" s="7" t="n"/>
      <c r="C6" s="117">
        <f>+'SIM1_SNS予算30万円'!D28</f>
        <v/>
      </c>
      <c r="D6" s="87">
        <f>+'SIM1_SNS予算30万円'!G28</f>
        <v/>
      </c>
      <c r="E6" s="87">
        <f>+'SIM1_SNS予算30万円'!J28</f>
        <v/>
      </c>
      <c r="F6" s="10" t="n"/>
    </row>
    <row r="7">
      <c r="A7" s="85" t="inlineStr">
        <is>
          <t>ブロック率想定</t>
        </is>
      </c>
      <c r="B7" s="7" t="n"/>
      <c r="C7" s="88">
        <f>+'SIM1_SNS予算30万円'!D27</f>
        <v/>
      </c>
      <c r="D7" s="189">
        <f>'SIM1_SNS予算30万円'!G27</f>
        <v/>
      </c>
      <c r="E7" s="189">
        <f>'SIM1_SNS予算30万円'!J27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+'SIM1_SNS予算30万円'!D29</f>
        <v/>
      </c>
      <c r="D8" s="10">
        <f>+'SIM1_SNS予算30万円'!G29</f>
        <v/>
      </c>
      <c r="E8" s="10">
        <f>+'SIM1_SNS予算30万円'!J29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+'SIM1_SNS予算30万円'!D34</f>
        <v/>
      </c>
      <c r="D10" s="10">
        <f>+'SIM1_SNS予算30万円'!G34</f>
        <v/>
      </c>
      <c r="E10" s="10">
        <f>+'SIM1_SNS予算30万円'!J34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+'SIM1_SNS予算30万円'!D35</f>
        <v/>
      </c>
      <c r="D11" s="10">
        <f>+'SIM1_SNS予算30万円'!G35</f>
        <v/>
      </c>
      <c r="E11" s="10">
        <f>+'SIM1_SNS予算30万円'!J35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+'SIM1_SNS予算30万円'!D16</f>
        <v/>
      </c>
      <c r="D15" s="87">
        <f>+'SIM1_SNS予算30万円'!E16</f>
        <v/>
      </c>
      <c r="E15" s="87">
        <f>+'SIM1_SNS予算30万円'!F16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+'SIM1_SNS予算30万円'!D36</f>
        <v/>
      </c>
      <c r="D17" s="87">
        <f>+'SIM1_SNS予算30万円'!G36</f>
        <v/>
      </c>
      <c r="E17" s="87">
        <f>+'SIM1_SNS予算30万円'!J36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+'SIM1_SNS予算30万円'!D37</f>
        <v/>
      </c>
      <c r="D18" s="87">
        <f>+'SIM1_SNS予算30万円'!G37</f>
        <v/>
      </c>
      <c r="E18" s="87">
        <f>+'SIM1_SNS予算30万円'!J37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+'SIM1_SNS予算30万円'!D38</f>
        <v/>
      </c>
      <c r="D19" s="87">
        <f>+'SIM1_SNS予算30万円'!G38</f>
        <v/>
      </c>
      <c r="E19" s="87">
        <f>+'SIM1_SNS予算30万円'!J38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+'SIM1_SNS予算30万円'!D39</f>
        <v/>
      </c>
      <c r="D20" s="87">
        <f>+'SIM1_SNS予算30万円'!G39</f>
        <v/>
      </c>
      <c r="E20" s="87">
        <f>+'SIM1_SNS予算30万円'!J39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株式会社あらうち御中_LINEOA施策提案【SIM】（SNS予算 100万円／月）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問い合わせ①（LINEで物件URL送付）</t>
        </is>
      </c>
      <c r="D8" s="160" t="n">
        <v>0</v>
      </c>
      <c r="G8" s="143" t="inlineStr">
        <is>
          <t>UU</t>
        </is>
      </c>
      <c r="H8" s="144" t="n">
        <v>3000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UUはSimilarWeb未取得のため仮置き3,000/月（LINEの自然増 約15人/月÷サイト誘導0.5%から逆算）。ターゲット＝都内在住の女性オフィスワーカー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問い合わせ②（配信経由）</t>
        </is>
      </c>
      <c r="D9" s="160" t="n">
        <v>0</v>
      </c>
      <c r="G9" s="146" t="inlineStr">
        <is>
          <t>広告・アフィUU</t>
        </is>
      </c>
      <c r="H9" s="147" t="n">
        <v>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0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IF(E17=FALSE,0,E71/$P$30)</f>
        <v/>
      </c>
      <c r="F22" s="63">
        <f>IF(F17=FALSE,0,F71/$P$30)</f>
        <v/>
      </c>
      <c r="G22" s="63">
        <f>IF(G17=FALSE,0,G71/$P$30)</f>
        <v/>
      </c>
      <c r="H22" s="63">
        <f>IF(H17=FALSE,0,H71/$P$30)</f>
        <v/>
      </c>
      <c r="I22" s="63">
        <f>IF(I17=FALSE,0,I71/$P$30)</f>
        <v/>
      </c>
      <c r="J22" s="63">
        <f>IF(J17=FALSE,0,J71/$P$30)</f>
        <v/>
      </c>
      <c r="K22" s="11" t="n"/>
      <c r="L22" s="7" t="n"/>
      <c r="N22" s="69" t="inlineStr">
        <is>
          <t>CPF：SNS予算÷300円/人（LINE友だち追加広告・仮置き。LINEヤフー公式事例UZUZの約300円）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離脱防止はOFF：UU3,000では月24人・約1,250円/人でCPFより割高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0.35</v>
      </c>
      <c r="E27" s="47" t="n">
        <v>0.412</v>
      </c>
      <c r="F27" s="47">
        <f>ROUND(E27*1.015,3)</f>
        <v/>
      </c>
      <c r="G27" s="47">
        <f>ROUND(F27*1.015,3)</f>
        <v/>
      </c>
      <c r="H27" s="47">
        <f>ROUND(G27*1.015,3)</f>
        <v/>
      </c>
      <c r="I27" s="47">
        <f>ROUND(H27*1.015,3)</f>
        <v/>
      </c>
      <c r="J27" s="47">
        <f>ROUND(I27*1.015,3)</f>
        <v/>
      </c>
      <c r="K27" s="11" t="n"/>
      <c r="L27" s="7" t="n"/>
      <c r="N27" t="inlineStr">
        <is>
          <t>ブロック率：用済み型（引っ越しが済めば離脱）＋CPF流入で高め。41.2%→月1.5%ずつ上昇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1240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>
        <f>+D28*(1-D27)</f>
        <v/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>
        <v>300</v>
      </c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ROUND(E26*0.25,0)</f>
        <v/>
      </c>
      <c r="F36" s="111">
        <f>ROUND(F26*0.25,0)</f>
        <v/>
      </c>
      <c r="G36" s="111">
        <f>ROUND(G26*0.25,0)</f>
        <v/>
      </c>
      <c r="H36" s="111">
        <f>ROUND(H26*0.25,0)</f>
        <v/>
      </c>
      <c r="I36" s="111">
        <f>ROUND(I26*0.25,0)</f>
        <v/>
      </c>
      <c r="J36" s="111">
        <f>ROUND(J26*0.25,0)</f>
        <v/>
      </c>
      <c r="K36" s="115">
        <f>SUM(E36:J36)</f>
        <v/>
      </c>
      <c r="L36" s="7" t="n"/>
      <c r="N36" s="69" t="inlineStr">
        <is>
          <t>問い合わせ①＝新規友だち×25%（LINEで物件URLを送る＝問い合わせ。仮置き）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ROUND(E35*0.004,0)</f>
        <v/>
      </c>
      <c r="F37" s="111">
        <f>ROUND(F35*0.005,0)</f>
        <v/>
      </c>
      <c r="G37" s="111">
        <f>ROUND(G35*0.006,0)</f>
        <v/>
      </c>
      <c r="H37" s="111">
        <f>ROUND(H35*0.007,0)</f>
        <v/>
      </c>
      <c r="I37" s="111">
        <f>ROUND(I35*0.008,0)</f>
        <v/>
      </c>
      <c r="J37" s="111">
        <f>ROUND(J35*0.008,0)</f>
        <v/>
      </c>
      <c r="K37" s="115">
        <f>SUM(E37:J37)</f>
        <v/>
      </c>
      <c r="L37" s="7" t="n"/>
      <c r="N37" s="69" t="inlineStr">
        <is>
          <t>問い合わせ②＝配信クリック×0.4〜0.8%（運用が育つ想定で月ごとに上げる）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CVRが高く出るのは①がクリック経由でないため（分母はクリックのみ）。②だけなら0.4〜0.8%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(SUM(E65:E67)+E71)/(E28-D28)</f>
        <v/>
      </c>
      <c r="F46" s="178">
        <f>(SUM(F65:F67)+F71)/(F28-E28)</f>
        <v/>
      </c>
      <c r="G46" s="178">
        <f>(SUM(G65:G67)+G71)/(G28-F28)</f>
        <v/>
      </c>
      <c r="H46" s="178">
        <f>(SUM(H65:H67)+H71)/(H28-G28)</f>
        <v/>
      </c>
      <c r="I46" s="178">
        <f>(SUM(I65:I67)+I71)/(I28-H28)</f>
        <v/>
      </c>
      <c r="J46" s="178">
        <f>(SUM(J65:J67)+J71)/(J28-I28)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(SUM(E65:E67)+E71)/(E28-D28)</f>
        <v/>
      </c>
      <c r="F56" s="178">
        <f>(SUM(F65:F67)+F71)/(F28-E28)</f>
        <v/>
      </c>
      <c r="G56" s="178">
        <f>(SUM(G65:G67)+G71)/(G28-F28)</f>
        <v/>
      </c>
      <c r="H56" s="178">
        <f>(SUM(H65:H67)+H71)/(H28-G28)</f>
        <v/>
      </c>
      <c r="I56" s="178">
        <f>(SUM(I65:I67)+I71)/(I28-H28)</f>
        <v/>
      </c>
      <c r="J56" s="178">
        <f>(SUM(J65:J67)+J71)/(J28-I28)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0</v>
      </c>
      <c r="E66" s="178" t="n">
        <v>0</v>
      </c>
      <c r="F66" s="178" t="n">
        <v>0</v>
      </c>
      <c r="G66" s="178" t="n">
        <v>0</v>
      </c>
      <c r="H66" s="178" t="n">
        <v>0</v>
      </c>
      <c r="I66" s="178" t="n">
        <v>0</v>
      </c>
      <c r="J66" s="178" t="n">
        <v>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100000</v>
      </c>
      <c r="F69" s="178" t="n">
        <v>100000</v>
      </c>
      <c r="G69" s="178" t="n">
        <v>100000</v>
      </c>
      <c r="H69" s="178" t="n">
        <v>100000</v>
      </c>
      <c r="I69" s="178" t="n">
        <v>100000</v>
      </c>
      <c r="J69" s="178" t="n">
        <v>100000</v>
      </c>
      <c r="N69" s="69" t="inlineStr">
        <is>
          <t>LINE運用コンサル：初期20万（あいさつ・リッチメニュー・URL受付の自動応答・CPF設定）／月10万（CPF運用＋企画4本＋ステップ10本）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CPF広告費（SNS予算）</t>
        </is>
      </c>
      <c r="C71" s="184" t="n">
        <v>0</v>
      </c>
      <c r="D71" s="185" t="n">
        <v>0</v>
      </c>
      <c r="E71" s="178" t="n">
        <v>1000000</v>
      </c>
      <c r="F71" s="178" t="n">
        <v>1000000</v>
      </c>
      <c r="G71" s="178" t="n">
        <v>1000000</v>
      </c>
      <c r="H71" s="178" t="n">
        <v>1000000</v>
      </c>
      <c r="I71" s="178" t="n">
        <v>1000000</v>
      </c>
      <c r="J71" s="178" t="n">
        <v>1000000</v>
      </c>
      <c r="N71" s="69" t="inlineStr">
        <is>
          <t>SNS予算は全額CPF（LINE友だち追加広告）に充当。広告運用手数料は含まない（AD側のSIMに合わせる）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+'SIM2_SNS予算100万円'!D24</f>
        <v/>
      </c>
      <c r="D4" s="178">
        <f>+'SIM2_SNS予算100万円'!G51</f>
        <v/>
      </c>
      <c r="E4" s="178">
        <f>+'SIM2_SNS予算100万円'!J51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+'SIM2_SNS予算100万円'!D25</f>
        <v/>
      </c>
      <c r="D5" s="178">
        <f>+'SIM2_SNS予算100万円'!G61</f>
        <v/>
      </c>
      <c r="E5" s="178">
        <f>+'SIM2_SNS予算100万円'!J61</f>
        <v/>
      </c>
      <c r="F5" s="177" t="n"/>
    </row>
    <row r="6">
      <c r="A6" s="85" t="inlineStr">
        <is>
          <t>友だち数想定</t>
        </is>
      </c>
      <c r="B6" s="7" t="n"/>
      <c r="C6" s="117">
        <f>+'SIM2_SNS予算100万円'!D28</f>
        <v/>
      </c>
      <c r="D6" s="87">
        <f>+'SIM2_SNS予算100万円'!G28</f>
        <v/>
      </c>
      <c r="E6" s="87">
        <f>+'SIM2_SNS予算100万円'!J28</f>
        <v/>
      </c>
      <c r="F6" s="10" t="n"/>
    </row>
    <row r="7">
      <c r="A7" s="85" t="inlineStr">
        <is>
          <t>ブロック率想定</t>
        </is>
      </c>
      <c r="B7" s="7" t="n"/>
      <c r="C7" s="88">
        <f>+'SIM2_SNS予算100万円'!D27</f>
        <v/>
      </c>
      <c r="D7" s="189">
        <f>'SIM2_SNS予算100万円'!G27</f>
        <v/>
      </c>
      <c r="E7" s="189">
        <f>'SIM2_SNS予算100万円'!J27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+'SIM2_SNS予算100万円'!D29</f>
        <v/>
      </c>
      <c r="D8" s="10">
        <f>+'SIM2_SNS予算100万円'!G29</f>
        <v/>
      </c>
      <c r="E8" s="10">
        <f>+'SIM2_SNS予算100万円'!J29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+'SIM2_SNS予算100万円'!D34</f>
        <v/>
      </c>
      <c r="D10" s="10">
        <f>+'SIM2_SNS予算100万円'!G34</f>
        <v/>
      </c>
      <c r="E10" s="10">
        <f>+'SIM2_SNS予算100万円'!J34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+'SIM2_SNS予算100万円'!D35</f>
        <v/>
      </c>
      <c r="D11" s="10">
        <f>+'SIM2_SNS予算100万円'!G35</f>
        <v/>
      </c>
      <c r="E11" s="10">
        <f>+'SIM2_SNS予算100万円'!J35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+'SIM2_SNS予算100万円'!D16</f>
        <v/>
      </c>
      <c r="D15" s="87">
        <f>+'SIM2_SNS予算100万円'!E16</f>
        <v/>
      </c>
      <c r="E15" s="87">
        <f>+'SIM2_SNS予算100万円'!F16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+'SIM2_SNS予算100万円'!D36</f>
        <v/>
      </c>
      <c r="D17" s="87">
        <f>+'SIM2_SNS予算100万円'!G36</f>
        <v/>
      </c>
      <c r="E17" s="87">
        <f>+'SIM2_SNS予算100万円'!J36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+'SIM2_SNS予算100万円'!D37</f>
        <v/>
      </c>
      <c r="D18" s="87">
        <f>+'SIM2_SNS予算100万円'!G37</f>
        <v/>
      </c>
      <c r="E18" s="87">
        <f>+'SIM2_SNS予算100万円'!J37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+'SIM2_SNS予算100万円'!D38</f>
        <v/>
      </c>
      <c r="D19" s="87">
        <f>+'SIM2_SNS予算100万円'!G38</f>
        <v/>
      </c>
      <c r="E19" s="87">
        <f>+'SIM2_SNS予算100万円'!J38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+'SIM2_SNS予算100万円'!D39</f>
        <v/>
      </c>
      <c r="D20" s="87">
        <f>+'SIM2_SNS予算100万円'!G39</f>
        <v/>
      </c>
      <c r="E20" s="87">
        <f>+'SIM2_SNS予算100万円'!J39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2026-10-09T00:57:16Z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
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827D8882-79F8-4C2B-BA24-FF1B3B4723B9}" xr6:coauthVersionLast="47" xr6:coauthVersionMax="47" xr10:uidLastSave="{00000000-0000-0000-0000-000000000000}"/>
  <bookViews>
    <workbookView xWindow="-110" yWindow="-110" windowWidth="19420" windowHeight="11500" activeTab="1" xr2:uid="{02433765-3560-48F5-BC99-B30FC64129A4}"/>
  </bookViews>
  <sheets>
    <sheet name="SIM①_推奨" sheetId="2" r:id="rId1"/>
    <sheet name="SIM①_比較" sheetId="6" r:id="rId2"/>
    <sheet name="SIM考え方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2" l="1"/>
  <c r="K36" i="2"/>
  <c r="K35" i="2"/>
  <c r="K34" i="2"/>
  <c r="J48" i="2"/>
  <c r="I48" i="2"/>
  <c r="H48" i="2"/>
  <c r="G48" i="2"/>
  <c r="F48" i="2"/>
  <c r="K48" i="2" s="1"/>
  <c r="E48" i="2"/>
  <c r="E25" i="2"/>
  <c r="F25" i="2" s="1"/>
  <c r="G25" i="2" s="1"/>
  <c r="H25" i="2" s="1"/>
  <c r="I25" i="2" s="1"/>
  <c r="J25" i="2" s="1"/>
  <c r="D71" i="2" l="1"/>
  <c r="F38" i="2"/>
  <c r="D32" i="2"/>
  <c r="D29" i="2"/>
  <c r="D33" i="2" s="1"/>
  <c r="C11" i="6" s="1"/>
  <c r="C43" i="2"/>
  <c r="C49" i="2" s="1"/>
  <c r="E38" i="2"/>
  <c r="J23" i="2"/>
  <c r="I23" i="2"/>
  <c r="H23" i="2"/>
  <c r="G23" i="2"/>
  <c r="F23" i="2"/>
  <c r="E23" i="2"/>
  <c r="E22" i="2"/>
  <c r="E20" i="2"/>
  <c r="D14" i="2"/>
  <c r="D13" i="2"/>
  <c r="D12" i="2"/>
  <c r="C4" i="6"/>
  <c r="E19" i="6"/>
  <c r="E17" i="6"/>
  <c r="C20" i="6"/>
  <c r="C19" i="6"/>
  <c r="C18" i="6"/>
  <c r="C17" i="6"/>
  <c r="C15" i="6"/>
  <c r="C8" i="6"/>
  <c r="C5" i="6"/>
  <c r="Q33" i="2"/>
  <c r="Q32" i="2"/>
  <c r="Q31" i="2"/>
  <c r="Q30" i="2"/>
  <c r="D43" i="2"/>
  <c r="D53" i="2"/>
  <c r="E12" i="7"/>
  <c r="E7" i="7"/>
  <c r="E22" i="7"/>
  <c r="E17" i="7"/>
  <c r="B37" i="2"/>
  <c r="B36" i="2"/>
  <c r="B35" i="2"/>
  <c r="B34" i="2"/>
  <c r="D38" i="2"/>
  <c r="E18" i="6" l="1"/>
  <c r="D20" i="6"/>
  <c r="C10" i="6"/>
  <c r="C29" i="6" s="1"/>
  <c r="C30" i="6" s="1"/>
  <c r="C25" i="6" s="1"/>
  <c r="D73" i="2"/>
  <c r="D39" i="2"/>
  <c r="C12" i="6"/>
  <c r="C7" i="6"/>
  <c r="C6" i="6"/>
  <c r="D74" i="2"/>
  <c r="C16" i="6"/>
  <c r="D59" i="2"/>
  <c r="D49" i="2"/>
  <c r="E14" i="2"/>
  <c r="E13" i="2"/>
  <c r="E12" i="2"/>
  <c r="F22" i="2"/>
  <c r="G22" i="2" s="1"/>
  <c r="H22" i="2" s="1"/>
  <c r="I22" i="2" s="1"/>
  <c r="J22" i="2" s="1"/>
  <c r="F20" i="2"/>
  <c r="D19" i="6"/>
  <c r="D17" i="6"/>
  <c r="G38" i="2"/>
  <c r="P34" i="2"/>
  <c r="D18" i="6" l="1"/>
  <c r="F18" i="6" s="1"/>
  <c r="H38" i="2"/>
  <c r="C13" i="6"/>
  <c r="F14" i="2"/>
  <c r="G14" i="2" s="1"/>
  <c r="H14" i="2" s="1"/>
  <c r="I14" i="2" s="1"/>
  <c r="F13" i="2"/>
  <c r="G13" i="2" s="1"/>
  <c r="H13" i="2" s="1"/>
  <c r="I13" i="2" s="1"/>
  <c r="J13" i="2" s="1"/>
  <c r="F12" i="2"/>
  <c r="G12" i="2" s="1"/>
  <c r="H12" i="2" s="1"/>
  <c r="I12" i="2" s="1"/>
  <c r="J12" i="2" s="1"/>
  <c r="D52" i="2"/>
  <c r="E21" i="2"/>
  <c r="F21" i="2" s="1"/>
  <c r="C22" i="6"/>
  <c r="C23" i="6"/>
  <c r="G20" i="2"/>
  <c r="D15" i="6"/>
  <c r="D16" i="6" l="1"/>
  <c r="G21" i="2"/>
  <c r="H21" i="2" s="1"/>
  <c r="I21" i="2" s="1"/>
  <c r="J21" i="2" s="1"/>
  <c r="E24" i="2"/>
  <c r="I38" i="2"/>
  <c r="F24" i="2"/>
  <c r="J14" i="2"/>
  <c r="H20" i="2"/>
  <c r="E15" i="6"/>
  <c r="K38" i="2" l="1"/>
  <c r="E26" i="2"/>
  <c r="F26" i="2" s="1"/>
  <c r="G24" i="2"/>
  <c r="E20" i="6"/>
  <c r="J38" i="2"/>
  <c r="I20" i="2"/>
  <c r="H24" i="2"/>
  <c r="F15" i="6"/>
  <c r="E16" i="6" l="1"/>
  <c r="F20" i="6"/>
  <c r="G26" i="2"/>
  <c r="J20" i="2"/>
  <c r="J24" i="2" s="1"/>
  <c r="I24" i="2"/>
  <c r="K24" i="2" s="1"/>
  <c r="H26" i="2" l="1"/>
  <c r="I26" i="2" l="1"/>
  <c r="D6" i="6"/>
  <c r="J26" i="2" l="1"/>
  <c r="K26" i="2" s="1"/>
  <c r="E6" i="6" l="1"/>
  <c r="F6" i="6" s="1"/>
  <c r="F27" i="2"/>
  <c r="E27" i="2"/>
  <c r="E32" i="2" s="1"/>
  <c r="E63" i="2" l="1"/>
  <c r="E66" i="2"/>
  <c r="E31" i="2"/>
  <c r="F29" i="2"/>
  <c r="F31" i="2"/>
  <c r="F32" i="2"/>
  <c r="E29" i="2"/>
  <c r="E73" i="2"/>
  <c r="F63" i="2" l="1"/>
  <c r="F66" i="2"/>
  <c r="E33" i="2"/>
  <c r="E44" i="2"/>
  <c r="E71" i="2"/>
  <c r="E43" i="2"/>
  <c r="E54" i="2"/>
  <c r="G27" i="2"/>
  <c r="E74" i="2"/>
  <c r="E52" i="2" s="1"/>
  <c r="F73" i="2"/>
  <c r="F33" i="2"/>
  <c r="E39" i="2" l="1"/>
  <c r="E56" i="2"/>
  <c r="E46" i="2"/>
  <c r="E59" i="2"/>
  <c r="E53" i="2"/>
  <c r="E42" i="2"/>
  <c r="E49" i="2" s="1"/>
  <c r="H27" i="2"/>
  <c r="G29" i="2"/>
  <c r="D8" i="6"/>
  <c r="D7" i="6" s="1"/>
  <c r="G31" i="2"/>
  <c r="G32" i="2"/>
  <c r="F39" i="2"/>
  <c r="F46" i="2"/>
  <c r="F56" i="2"/>
  <c r="F54" i="2"/>
  <c r="F43" i="2"/>
  <c r="F71" i="2"/>
  <c r="F44" i="2"/>
  <c r="F74" i="2"/>
  <c r="F42" i="2" s="1"/>
  <c r="G63" i="2" l="1"/>
  <c r="G66" i="2"/>
  <c r="E57" i="2"/>
  <c r="E55" i="2"/>
  <c r="E45" i="2"/>
  <c r="E47" i="2"/>
  <c r="F52" i="2"/>
  <c r="D10" i="6"/>
  <c r="D29" i="6" s="1"/>
  <c r="G73" i="2"/>
  <c r="G33" i="2"/>
  <c r="H32" i="2"/>
  <c r="H31" i="2"/>
  <c r="H29" i="2"/>
  <c r="F49" i="2"/>
  <c r="I27" i="2"/>
  <c r="J27" i="2"/>
  <c r="K27" i="2" s="1"/>
  <c r="H63" i="2" l="1"/>
  <c r="H66" i="2"/>
  <c r="H33" i="2"/>
  <c r="H46" i="2" s="1"/>
  <c r="I29" i="2"/>
  <c r="I31" i="2"/>
  <c r="I32" i="2"/>
  <c r="F45" i="2"/>
  <c r="F47" i="2"/>
  <c r="H73" i="2"/>
  <c r="D11" i="6"/>
  <c r="G56" i="2"/>
  <c r="G39" i="2"/>
  <c r="G46" i="2"/>
  <c r="G74" i="2"/>
  <c r="G42" i="2" s="1"/>
  <c r="G54" i="2"/>
  <c r="G44" i="2"/>
  <c r="G43" i="2"/>
  <c r="G71" i="2"/>
  <c r="D30" i="6"/>
  <c r="D25" i="6" s="1"/>
  <c r="F59" i="2"/>
  <c r="F53" i="2"/>
  <c r="J29" i="2"/>
  <c r="E8" i="6"/>
  <c r="J32" i="2"/>
  <c r="K32" i="2" s="1"/>
  <c r="J31" i="2"/>
  <c r="I63" i="2" l="1"/>
  <c r="I66" i="2"/>
  <c r="J63" i="2"/>
  <c r="J66" i="2"/>
  <c r="F57" i="2"/>
  <c r="F55" i="2"/>
  <c r="G52" i="2"/>
  <c r="H39" i="2"/>
  <c r="H56" i="2"/>
  <c r="G49" i="2"/>
  <c r="I33" i="2"/>
  <c r="I39" i="2" s="1"/>
  <c r="H43" i="2"/>
  <c r="H44" i="2"/>
  <c r="H71" i="2"/>
  <c r="H54" i="2"/>
  <c r="H74" i="2"/>
  <c r="H52" i="2" s="1"/>
  <c r="J73" i="2"/>
  <c r="E10" i="6"/>
  <c r="E7" i="6"/>
  <c r="F8" i="6"/>
  <c r="F7" i="6" s="1"/>
  <c r="J33" i="2"/>
  <c r="I73" i="2"/>
  <c r="K33" i="2" l="1"/>
  <c r="D4" i="6"/>
  <c r="D22" i="6" s="1"/>
  <c r="I56" i="2"/>
  <c r="I46" i="2"/>
  <c r="G59" i="2"/>
  <c r="G53" i="2"/>
  <c r="G47" i="2"/>
  <c r="G45" i="2"/>
  <c r="H53" i="2"/>
  <c r="H57" i="2" s="1"/>
  <c r="H59" i="2"/>
  <c r="H55" i="2" s="1"/>
  <c r="I43" i="2"/>
  <c r="I71" i="2"/>
  <c r="I54" i="2"/>
  <c r="I44" i="2"/>
  <c r="J46" i="2"/>
  <c r="J39" i="2"/>
  <c r="E11" i="6"/>
  <c r="F11" i="6" s="1"/>
  <c r="J56" i="2"/>
  <c r="F10" i="6"/>
  <c r="F29" i="6" s="1"/>
  <c r="E29" i="6"/>
  <c r="F17" i="6"/>
  <c r="F19" i="6"/>
  <c r="J54" i="2"/>
  <c r="J43" i="2"/>
  <c r="K43" i="2" s="1"/>
  <c r="J44" i="2"/>
  <c r="J71" i="2"/>
  <c r="J74" i="2"/>
  <c r="J42" i="2" s="1"/>
  <c r="H42" i="2"/>
  <c r="H49" i="2" s="1"/>
  <c r="I74" i="2"/>
  <c r="I52" i="2" s="1"/>
  <c r="G57" i="2" l="1"/>
  <c r="D12" i="6"/>
  <c r="D5" i="6"/>
  <c r="G55" i="2"/>
  <c r="J52" i="2"/>
  <c r="J53" i="2" s="1"/>
  <c r="J57" i="2" s="1"/>
  <c r="I53" i="2"/>
  <c r="I57" i="2" s="1"/>
  <c r="I59" i="2"/>
  <c r="I55" i="2" s="1"/>
  <c r="H47" i="2"/>
  <c r="H45" i="2"/>
  <c r="I42" i="2"/>
  <c r="J49" i="2"/>
  <c r="I49" i="2"/>
  <c r="F16" i="6"/>
  <c r="E30" i="6"/>
  <c r="E25" i="6" s="1"/>
  <c r="F30" i="6"/>
  <c r="F25" i="6" s="1"/>
  <c r="K49" i="2" l="1"/>
  <c r="K53" i="2"/>
  <c r="K57" i="2" s="1"/>
  <c r="D13" i="6"/>
  <c r="D23" i="6"/>
  <c r="J59" i="2"/>
  <c r="I45" i="2"/>
  <c r="I47" i="2"/>
  <c r="E4" i="6"/>
  <c r="J45" i="2"/>
  <c r="J47" i="2"/>
  <c r="E5" i="6" l="1"/>
  <c r="F5" i="6" s="1"/>
  <c r="K59" i="2"/>
  <c r="J55" i="2"/>
  <c r="E12" i="6"/>
  <c r="E22" i="6"/>
  <c r="F4" i="6"/>
  <c r="E13" i="6" l="1"/>
  <c r="E23" i="6"/>
  <c r="F23" i="6"/>
  <c r="F13" i="6"/>
  <c r="F22" i="6"/>
  <c r="F12" i="6"/>
</calcChain>
</file>

<file path=xl/sharedStrings.xml><?xml version="1.0" encoding="utf-8"?>
<sst xmlns="http://schemas.openxmlformats.org/spreadsheetml/2006/main" count="320" uniqueCount="185">
  <si>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</si>
  <si>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</si>
  <si>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</si>
  <si>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</si>
  <si>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</si>
  <si>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</si>
  <si>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</si>
  <si>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</si>
  <si>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</si>
  <si>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リピートCV</t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</si>
  <si>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</si>
  <si>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</si>
  <si>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</si>
  <si>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</si>
  <si>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</si>
  <si>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</si>
  <si>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</si>
  <si>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</si>
  <si>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</si>
  <si>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</si>
  <si>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</si>
  <si>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</si>
  <si>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</si>
  <si>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</si>
  <si>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</si>
  <si>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</si>
  <si>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</si>
  <si>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</si>
  <si>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</si>
  <si>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</si>
  <si>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</si>
  <si>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</si>
  <si>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</si>
  <si>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</si>
  <si>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</si>
  <si>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</si>
  <si>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</si>
  <si>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</si>
  <si>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</si>
  <si>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</si>
  <si>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</si>
  <si>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</si>
  <si>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</si>
  <si>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</si>
  <si>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</si>
  <si>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</si>
  <si>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</si>
  <si>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</si>
  <si>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</si>
  <si>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</si>
  <si>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</si>
  <si>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</si>
  <si>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</si>
  <si>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</si>
  <si>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</si>
  <si>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コンサル費①</t>
    <rPh sb="4" eb="5">
      <t>ヒ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</si>
  <si>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</si>
  <si>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</si>
  <si>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</si>
  <si>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</si>
  <si>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</si>
  <si>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</si>
  <si>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</si>
  <si>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</si>
  <si>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</si>
  <si>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</si>
  <si>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</si>
  <si>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</si>
  <si>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</si>
  <si>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</si>
  <si>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</si>
  <si>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</si>
  <si>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</si>
  <si>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</si>
  <si>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</si>
  <si>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</si>
  <si>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</si>
  <si>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</si>
  <si>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</si>
  <si>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</si>
  <si>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</si>
  <si>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</si>
  <si>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</si>
  <si>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</si>
  <si>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</si>
  <si>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</si>
  <si>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</si>
  <si>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</si>
  <si>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</si>
  <si>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</si>
  <si>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</si>
  <si>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</si>
  <si>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</si>
  <si>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</si>
  <si>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</si>
  <si>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</si>
  <si>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</si>
  <si>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</si>
  <si>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</si>
  <si>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</si>
  <si>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</si>
  <si>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</si>
  <si>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</si>
  <si>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</si>
  <si>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</si>
  <si>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</si>
  <si>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</si>
  <si>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</si>
  <si>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</si>
  <si>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</si>
  <si>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</si>
  <si>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</si>
  <si>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</si>
  <si>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</si>
  <si>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</si>
  <si>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</si>
  <si>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</si>
  <si>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</si>
  <si>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</si>
  <si>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</si>
  <si>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</si>
  <si>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</si>
  <si>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</si>
  <si>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</si>
  <si>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</si>
  <si>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</si>
  <si>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</si>
  <si>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</si>
  <si>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</si>
  <si>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</si>
  <si>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</si>
  <si>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</si>
  <si>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</si>
  <si>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</si>
  <si>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</si>
  <si>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</si>
  <si>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</si>
  <si>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</si>
  <si>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</si>
  <si>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</si>
  <si>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</si>
  <si>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</si>
  <si>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</si>
  <si>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</si>
  <si>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</si>
  <si>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</si>
  <si>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</si>
  <si>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</si>
  <si>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</si>
  <si>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</si>
  <si>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</si>
  <si>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</si>
  <si>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</si>
  <si>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</si>
  <si>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</si>
  <si>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</si>
  <si>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</si>
  <si>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</si>
  <si>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</si>
  <si>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</si>
  <si>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</si>
  <si>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</si>
  <si>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</si>
  <si>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</si>
  <si>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DYM実装後（⑫か月）</t>
    <rPh sb="3" eb="6">
      <t>ジッソウゴ</t>
    </rPh>
    <rPh sb="9" eb="10">
      <t>ゲツ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</si>
  <si>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</si>
  <si>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</si>
  <si>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</si>
  <si>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</si>
  <si>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</si>
  <si>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</si>
  <si>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</si>
  <si>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[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</si>
  <si>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</si>
  <si>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</si>
  <si>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</si>
  <si>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</si>
  <si>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</si>
  <si>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</si>
  <si>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</si>
  <si>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</si>
  <si>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資料請求</t>
    <phoneticPr fontId="2"/>
  </si>
  <si>
    <t>学校説明会・相談会</t>
  </si>
  <si>
    <t>★先方要確認</t>
  </si>
  <si>
    <t>一般社団法人カフェのある暮らし協会 御中_LINEOA施策提案【SIM】推奨プラン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</si>
</sst>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38" fontId="6" fillId="7" borderId="0" xfId="1" applyFont="1" applyFill="1">
      <alignment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" fontId="6" fillId="9" borderId="1" xfId="0" applyNumberFormat="1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6" fontId="6" fillId="9" borderId="1" xfId="0" applyNumberFormat="1" applyFont="1" applyFill="1" applyBorder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4"/>
  <sheetViews>
    <sheetView topLeftCell="A2" zoomScale="30" zoomScaleNormal="70" workbookViewId="0">
      <selection activeCell="L39" sqref="L39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1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6" ht="45.75" customHeight="1" x14ac:dyDescent="0.55000000000000004">
      <c r="A2" s="56" t="s">
        <v>184</v>
      </c>
    </row>
    <row r="3" spans="1:26" s="2" customFormat="1" ht="22.5" x14ac:dyDescent="0.55000000000000004">
      <c r="A3" s="1"/>
      <c r="B3" s="1"/>
      <c r="C3" s="1"/>
      <c r="D3" s="1"/>
      <c r="N3" s="70"/>
      <c r="O3" s="5"/>
      <c r="R3" s="5"/>
    </row>
    <row r="5" spans="1:26" x14ac:dyDescent="0.55000000000000004">
      <c r="A5" s="29" t="s">
        <v>47</v>
      </c>
      <c r="B5" s="17" t="s">
        <v>52</v>
      </c>
      <c r="C5" s="17" t="s">
        <v>53</v>
      </c>
      <c r="D5" s="17" t="s">
        <v>54</v>
      </c>
    </row>
    <row r="6" spans="1:26" x14ac:dyDescent="0.55000000000000004">
      <c r="A6" s="123" t="s">
        <v>7</v>
      </c>
      <c r="B6" s="19" t="s">
        <v>8</v>
      </c>
      <c r="C6" s="19" t="s">
        <v>181</v>
      </c>
      <c r="D6" s="33">
        <v>10000</v>
      </c>
      <c r="G6" s="5" t="s">
        <v>65</v>
      </c>
      <c r="H6" s="81">
        <v>8421</v>
      </c>
      <c r="J6" s="5" t="s">
        <v>76</v>
      </c>
      <c r="K6" s="81">
        <v>10000</v>
      </c>
      <c r="L6" s="5" t="s">
        <v>183</v>
      </c>
    </row>
    <row r="7" spans="1:26" x14ac:dyDescent="0.55000000000000004">
      <c r="A7" s="124"/>
      <c r="B7" s="19"/>
      <c r="C7" s="38" t="s">
        <v>182</v>
      </c>
      <c r="D7" s="33">
        <v>30000</v>
      </c>
      <c r="G7" s="5" t="s">
        <v>176</v>
      </c>
      <c r="H7" s="81">
        <v>5000</v>
      </c>
    </row>
    <row r="8" spans="1:26" x14ac:dyDescent="0.55000000000000004">
      <c r="A8" s="123" t="s">
        <v>9</v>
      </c>
      <c r="B8" s="19"/>
      <c r="C8" s="19" t="s">
        <v>19</v>
      </c>
      <c r="D8" s="33">
        <v>0</v>
      </c>
      <c r="G8" s="5" t="s">
        <v>142</v>
      </c>
      <c r="H8" s="81">
        <v>90</v>
      </c>
    </row>
    <row r="9" spans="1:26" x14ac:dyDescent="0.55000000000000004">
      <c r="A9" s="124"/>
      <c r="B9" s="19"/>
      <c r="C9" s="38" t="s">
        <v>19</v>
      </c>
      <c r="D9" s="33">
        <v>0</v>
      </c>
      <c r="G9" s="5" t="s">
        <v>143</v>
      </c>
      <c r="H9" s="81">
        <v>40</v>
      </c>
    </row>
    <row r="10" spans="1:26" x14ac:dyDescent="0.55000000000000004">
      <c r="E10" s="5" t="s">
        <v>172</v>
      </c>
      <c r="O10" s="55" t="s">
        <v>77</v>
      </c>
      <c r="P10" s="55"/>
      <c r="Q10" s="55"/>
      <c r="S10" s="55"/>
      <c r="T10" s="55"/>
      <c r="U10" s="55"/>
      <c r="V10" s="55"/>
    </row>
    <row r="11" spans="1:26" x14ac:dyDescent="0.55000000000000004">
      <c r="A11" s="125" t="s">
        <v>0</v>
      </c>
      <c r="B11" s="125"/>
      <c r="C11" s="97"/>
      <c r="D11" s="13" t="s">
        <v>27</v>
      </c>
      <c r="E11" s="36" t="s">
        <v>70</v>
      </c>
      <c r="F11" s="36" t="s">
        <v>71</v>
      </c>
      <c r="G11" s="36" t="s">
        <v>72</v>
      </c>
      <c r="H11" s="36" t="s">
        <v>73</v>
      </c>
      <c r="I11" s="36" t="s">
        <v>74</v>
      </c>
      <c r="J11" s="36" t="s">
        <v>75</v>
      </c>
      <c r="K11" s="3" t="s">
        <v>1</v>
      </c>
      <c r="L11" s="4" t="s">
        <v>2</v>
      </c>
      <c r="N11" s="72" t="s">
        <v>140</v>
      </c>
      <c r="O11" s="30" t="s">
        <v>41</v>
      </c>
      <c r="P11" s="23"/>
      <c r="Q11" s="23"/>
      <c r="S11" s="23"/>
      <c r="T11" s="23"/>
      <c r="U11" s="23"/>
      <c r="V11" s="23"/>
    </row>
    <row r="12" spans="1:26" ht="19" x14ac:dyDescent="0.55000000000000004">
      <c r="A12" s="126" t="s">
        <v>30</v>
      </c>
      <c r="B12" s="20" t="s">
        <v>34</v>
      </c>
      <c r="C12" s="101"/>
      <c r="D12" s="42">
        <f>+H6</f>
        <v>8421</v>
      </c>
      <c r="E12" s="43">
        <f>+D12</f>
        <v>8421</v>
      </c>
      <c r="F12" s="43">
        <f t="shared" ref="F12:J12" si="0">+E12</f>
        <v>8421</v>
      </c>
      <c r="G12" s="43">
        <f t="shared" si="0"/>
        <v>8421</v>
      </c>
      <c r="H12" s="43">
        <f t="shared" si="0"/>
        <v>8421</v>
      </c>
      <c r="I12" s="43">
        <f t="shared" si="0"/>
        <v>8421</v>
      </c>
      <c r="J12" s="43">
        <f t="shared" si="0"/>
        <v>8421</v>
      </c>
      <c r="K12" s="11"/>
      <c r="L12" s="7"/>
      <c r="N12" s="69" t="s">
        <v>124</v>
      </c>
    </row>
    <row r="13" spans="1:26" ht="19" x14ac:dyDescent="0.55000000000000004">
      <c r="A13" s="121"/>
      <c r="B13" s="20" t="s">
        <v>33</v>
      </c>
      <c r="C13" s="101"/>
      <c r="D13" s="42">
        <f t="shared" ref="D13:D14" si="1">+H7</f>
        <v>5000</v>
      </c>
      <c r="E13" s="43">
        <f t="shared" ref="E13:J14" si="2">+D13</f>
        <v>5000</v>
      </c>
      <c r="F13" s="43">
        <f t="shared" si="2"/>
        <v>5000</v>
      </c>
      <c r="G13" s="43">
        <f t="shared" si="2"/>
        <v>5000</v>
      </c>
      <c r="H13" s="43">
        <f t="shared" si="2"/>
        <v>5000</v>
      </c>
      <c r="I13" s="43">
        <f t="shared" si="2"/>
        <v>5000</v>
      </c>
      <c r="J13" s="43">
        <f t="shared" si="2"/>
        <v>5000</v>
      </c>
      <c r="K13" s="11"/>
      <c r="L13" s="7"/>
      <c r="N13" s="69" t="s">
        <v>125</v>
      </c>
      <c r="O13" s="17" t="s">
        <v>31</v>
      </c>
      <c r="P13" s="80">
        <v>1.25E-3</v>
      </c>
      <c r="S13" s="29" t="s">
        <v>45</v>
      </c>
    </row>
    <row r="14" spans="1:26" ht="19" x14ac:dyDescent="0.55000000000000004">
      <c r="A14" s="122"/>
      <c r="B14" s="20" t="s">
        <v>179</v>
      </c>
      <c r="C14" s="101"/>
      <c r="D14" s="42">
        <f t="shared" si="1"/>
        <v>90</v>
      </c>
      <c r="E14" s="43">
        <f t="shared" si="2"/>
        <v>90</v>
      </c>
      <c r="F14" s="43">
        <f t="shared" si="2"/>
        <v>90</v>
      </c>
      <c r="G14" s="43">
        <f t="shared" si="2"/>
        <v>90</v>
      </c>
      <c r="H14" s="43">
        <f t="shared" si="2"/>
        <v>90</v>
      </c>
      <c r="I14" s="43">
        <f t="shared" si="2"/>
        <v>90</v>
      </c>
      <c r="J14" s="43">
        <f t="shared" si="2"/>
        <v>90</v>
      </c>
      <c r="K14" s="11"/>
      <c r="L14" s="7"/>
      <c r="N14" s="69" t="s">
        <v>126</v>
      </c>
      <c r="O14" s="17" t="s">
        <v>32</v>
      </c>
      <c r="P14" s="80">
        <v>3.2499999999999999E-3</v>
      </c>
      <c r="S14" s="5" t="s">
        <v>57</v>
      </c>
    </row>
    <row r="15" spans="1:26" x14ac:dyDescent="0.55000000000000004">
      <c r="A15" s="126" t="s">
        <v>3</v>
      </c>
      <c r="B15" s="8" t="s">
        <v>4</v>
      </c>
      <c r="C15" s="102"/>
      <c r="D15" s="58" t="b">
        <v>0</v>
      </c>
      <c r="E15" s="57" t="b">
        <v>0</v>
      </c>
      <c r="F15" s="57" t="b">
        <v>0</v>
      </c>
      <c r="G15" s="57" t="b">
        <v>0</v>
      </c>
      <c r="H15" s="57" t="b">
        <v>0</v>
      </c>
      <c r="I15" s="57" t="b">
        <v>0</v>
      </c>
      <c r="J15" s="57" t="b">
        <v>0</v>
      </c>
      <c r="K15" s="14" t="s">
        <v>20</v>
      </c>
      <c r="L15" s="9" t="s">
        <v>20</v>
      </c>
      <c r="S15" s="5" t="s">
        <v>58</v>
      </c>
      <c r="W15" s="5" t="s">
        <v>59</v>
      </c>
      <c r="Z15" s="35" t="s">
        <v>60</v>
      </c>
    </row>
    <row r="16" spans="1:26" x14ac:dyDescent="0.55000000000000004">
      <c r="A16" s="121"/>
      <c r="B16" s="8" t="s">
        <v>5</v>
      </c>
      <c r="C16" s="102"/>
      <c r="D16" s="58" t="b">
        <v>0</v>
      </c>
      <c r="E16" s="57" t="b">
        <v>1</v>
      </c>
      <c r="F16" s="57" t="b">
        <v>1</v>
      </c>
      <c r="G16" s="57" t="b">
        <v>1</v>
      </c>
      <c r="H16" s="57" t="b">
        <v>1</v>
      </c>
      <c r="I16" s="57" t="b">
        <v>1</v>
      </c>
      <c r="J16" s="57" t="b">
        <v>1</v>
      </c>
      <c r="K16" s="14" t="s">
        <v>20</v>
      </c>
      <c r="L16" s="9" t="s">
        <v>20</v>
      </c>
      <c r="O16" s="22" t="s">
        <v>37</v>
      </c>
      <c r="P16" s="79">
        <v>0.55000000000000004</v>
      </c>
      <c r="S16" s="5">
        <v>0</v>
      </c>
      <c r="T16" s="5" t="s">
        <v>61</v>
      </c>
      <c r="U16" s="34">
        <v>50000</v>
      </c>
      <c r="W16" s="5">
        <v>0</v>
      </c>
      <c r="X16" s="5" t="s">
        <v>61</v>
      </c>
      <c r="Y16" s="34">
        <v>150000</v>
      </c>
      <c r="Z16" s="35">
        <v>3</v>
      </c>
    </row>
    <row r="17" spans="1:26" x14ac:dyDescent="0.55000000000000004">
      <c r="A17" s="121"/>
      <c r="B17" s="8" t="s">
        <v>129</v>
      </c>
      <c r="C17" s="102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/>
      <c r="L17" s="9"/>
      <c r="O17" s="22" t="s">
        <v>38</v>
      </c>
      <c r="P17" s="79">
        <v>0.5</v>
      </c>
      <c r="S17" s="34">
        <v>50000</v>
      </c>
      <c r="T17" s="5" t="s">
        <v>61</v>
      </c>
      <c r="U17" s="34">
        <v>100000</v>
      </c>
      <c r="W17" s="34">
        <v>150000</v>
      </c>
      <c r="X17" s="5" t="s">
        <v>61</v>
      </c>
      <c r="Y17" s="34">
        <v>290000</v>
      </c>
      <c r="Z17" s="35">
        <v>2.8</v>
      </c>
    </row>
    <row r="18" spans="1:26" x14ac:dyDescent="0.55000000000000004">
      <c r="A18" s="121"/>
      <c r="B18" s="8" t="s">
        <v>127</v>
      </c>
      <c r="C18" s="102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/>
      <c r="L18" s="9"/>
      <c r="S18" s="34">
        <v>100000</v>
      </c>
      <c r="T18" s="5" t="s">
        <v>61</v>
      </c>
      <c r="U18" s="34">
        <v>200000</v>
      </c>
      <c r="W18" s="34">
        <v>290000</v>
      </c>
      <c r="X18" s="5" t="s">
        <v>61</v>
      </c>
      <c r="Y18" s="34">
        <v>550000</v>
      </c>
      <c r="Z18" s="35">
        <v>2.6</v>
      </c>
    </row>
    <row r="19" spans="1:26" x14ac:dyDescent="0.55000000000000004">
      <c r="A19" s="122"/>
      <c r="B19" s="8" t="s">
        <v>128</v>
      </c>
      <c r="C19" s="102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s">
        <v>20</v>
      </c>
      <c r="L19" s="9" t="s">
        <v>20</v>
      </c>
      <c r="O19" s="25" t="s">
        <v>43</v>
      </c>
      <c r="P19" s="26"/>
      <c r="S19" s="34">
        <v>200000</v>
      </c>
      <c r="T19" s="5" t="s">
        <v>61</v>
      </c>
      <c r="U19" s="34">
        <v>300000</v>
      </c>
      <c r="W19" s="34">
        <v>550000</v>
      </c>
      <c r="X19" s="5" t="s">
        <v>61</v>
      </c>
      <c r="Y19" s="34">
        <v>790000</v>
      </c>
      <c r="Z19" s="35">
        <v>2.4</v>
      </c>
    </row>
    <row r="20" spans="1:26" ht="18.75" customHeight="1" x14ac:dyDescent="0.55000000000000004">
      <c r="A20" s="120" t="s">
        <v>10</v>
      </c>
      <c r="B20" s="6" t="s">
        <v>4</v>
      </c>
      <c r="C20" s="17"/>
      <c r="D20" s="44" t="s">
        <v>19</v>
      </c>
      <c r="E20" s="63">
        <f>IF(E15=FALSE,0,IF(E63=0,0,IFERROR(E63/P28,"D63を記入してください")))</f>
        <v>0</v>
      </c>
      <c r="F20" s="63">
        <f>E20*1.01</f>
        <v>0</v>
      </c>
      <c r="G20" s="63">
        <f t="shared" ref="G20:J22" si="3">F20*1.01</f>
        <v>0</v>
      </c>
      <c r="H20" s="63">
        <f t="shared" si="3"/>
        <v>0</v>
      </c>
      <c r="I20" s="63">
        <f t="shared" si="3"/>
        <v>0</v>
      </c>
      <c r="J20" s="63">
        <f t="shared" si="3"/>
        <v>0</v>
      </c>
      <c r="K20" s="11"/>
      <c r="L20" s="7"/>
      <c r="N20" s="69" t="s">
        <v>136</v>
      </c>
      <c r="O20" s="17" t="s">
        <v>39</v>
      </c>
      <c r="P20" s="24">
        <v>0.78</v>
      </c>
      <c r="S20" s="34">
        <v>300000</v>
      </c>
      <c r="T20" s="5" t="s">
        <v>61</v>
      </c>
      <c r="U20" s="34">
        <v>400000</v>
      </c>
      <c r="W20" s="34">
        <v>790000</v>
      </c>
      <c r="X20" s="5" t="s">
        <v>61</v>
      </c>
      <c r="Y20" s="34">
        <v>1010000</v>
      </c>
      <c r="Z20" s="35">
        <v>2.2000000000000002</v>
      </c>
    </row>
    <row r="21" spans="1:26" ht="19" x14ac:dyDescent="0.55000000000000004">
      <c r="A21" s="121"/>
      <c r="B21" s="6" t="s">
        <v>5</v>
      </c>
      <c r="C21" s="17"/>
      <c r="D21" s="44" t="s">
        <v>19</v>
      </c>
      <c r="E21" s="46">
        <f>IF(E16=FALSE,0,E13*P16*0.08*0.08+(E12-E13)*P17*0.06*0.06)</f>
        <v>23.757800000000003</v>
      </c>
      <c r="F21" s="46">
        <f>+E21*1.01</f>
        <v>23.995378000000002</v>
      </c>
      <c r="G21" s="63">
        <f t="shared" si="3"/>
        <v>24.235331780000003</v>
      </c>
      <c r="H21" s="63">
        <f t="shared" si="3"/>
        <v>24.477685097800002</v>
      </c>
      <c r="I21" s="63">
        <f t="shared" si="3"/>
        <v>24.722461948778001</v>
      </c>
      <c r="J21" s="63">
        <f t="shared" si="3"/>
        <v>24.969686568265782</v>
      </c>
      <c r="K21" s="11"/>
      <c r="L21" s="7"/>
      <c r="N21" s="69" t="s">
        <v>137</v>
      </c>
      <c r="O21" s="17" t="s">
        <v>40</v>
      </c>
      <c r="P21" s="24">
        <v>0.1</v>
      </c>
      <c r="Q21" s="5" t="s">
        <v>134</v>
      </c>
      <c r="S21" s="34">
        <v>400000</v>
      </c>
      <c r="T21" s="5" t="s">
        <v>61</v>
      </c>
      <c r="U21" s="34">
        <v>500000</v>
      </c>
      <c r="W21" s="34">
        <v>1010000</v>
      </c>
      <c r="X21" s="5" t="s">
        <v>61</v>
      </c>
      <c r="Y21" s="34">
        <v>1210000</v>
      </c>
      <c r="Z21" s="35">
        <v>2</v>
      </c>
    </row>
    <row r="22" spans="1:26" ht="19" x14ac:dyDescent="0.55000000000000004">
      <c r="A22" s="121"/>
      <c r="B22" s="6" t="s">
        <v>129</v>
      </c>
      <c r="C22" s="17"/>
      <c r="D22" s="44" t="s">
        <v>19</v>
      </c>
      <c r="E22" s="46">
        <f>+IF(E17=FALSE,0,SUM(H8:H9)*0.9*0.25)</f>
        <v>29.25</v>
      </c>
      <c r="F22" s="63">
        <f>E22*1.01</f>
        <v>29.5425</v>
      </c>
      <c r="G22" s="63">
        <f t="shared" si="3"/>
        <v>29.837925000000002</v>
      </c>
      <c r="H22" s="63">
        <f t="shared" si="3"/>
        <v>30.136304250000002</v>
      </c>
      <c r="I22" s="63">
        <f t="shared" si="3"/>
        <v>30.437667292500002</v>
      </c>
      <c r="J22" s="63">
        <f t="shared" si="3"/>
        <v>30.742043965425001</v>
      </c>
      <c r="K22" s="11"/>
      <c r="L22" s="7"/>
      <c r="N22" s="69" t="s">
        <v>138</v>
      </c>
      <c r="O22" s="22" t="s">
        <v>42</v>
      </c>
      <c r="P22" s="78">
        <v>0.65</v>
      </c>
      <c r="Q22" s="71">
        <v>0.8</v>
      </c>
      <c r="S22" s="34">
        <v>500000</v>
      </c>
      <c r="T22" s="5" t="s">
        <v>61</v>
      </c>
      <c r="U22" s="34">
        <v>600000</v>
      </c>
      <c r="W22" s="34">
        <v>1210000</v>
      </c>
      <c r="X22" s="5" t="s">
        <v>61</v>
      </c>
      <c r="Y22" s="34">
        <v>1400000</v>
      </c>
      <c r="Z22" s="35">
        <v>1.9</v>
      </c>
    </row>
    <row r="23" spans="1:26" ht="19" x14ac:dyDescent="0.55000000000000004">
      <c r="A23" s="122"/>
      <c r="B23" s="6" t="s">
        <v>68</v>
      </c>
      <c r="C23" s="17"/>
      <c r="D23" s="44" t="s">
        <v>19</v>
      </c>
      <c r="E23" s="46">
        <f>+IF(E18=FALSE,0,SUM($H$8:$H$9)*0.7*0.3+$K$6*0.1*0.15)</f>
        <v>177.3</v>
      </c>
      <c r="F23" s="46">
        <f>+IF(F18=FALSE,0,SUM($H$8:$H$9)*0.7*0.3+$K$6*0.1*0.15)*0.8</f>
        <v>141.84</v>
      </c>
      <c r="G23" s="46">
        <f t="shared" ref="G23:J23" si="4">+IF(G18=FALSE,0,SUM($H$8:$H$9)*0.7*0.3+$K$6*0.1*0.15)*0.8</f>
        <v>141.84</v>
      </c>
      <c r="H23" s="46">
        <f t="shared" si="4"/>
        <v>141.84</v>
      </c>
      <c r="I23" s="46">
        <f t="shared" si="4"/>
        <v>141.84</v>
      </c>
      <c r="J23" s="46">
        <f t="shared" si="4"/>
        <v>141.84</v>
      </c>
      <c r="K23" s="11"/>
      <c r="L23" s="7"/>
      <c r="N23" s="69" t="s">
        <v>139</v>
      </c>
      <c r="O23" s="25" t="s">
        <v>44</v>
      </c>
      <c r="P23" s="26"/>
      <c r="S23" s="34">
        <v>600000</v>
      </c>
      <c r="T23" s="5" t="s">
        <v>61</v>
      </c>
      <c r="U23" s="34">
        <v>700000</v>
      </c>
      <c r="W23" s="34">
        <v>1400000</v>
      </c>
      <c r="X23" s="5" t="s">
        <v>61</v>
      </c>
      <c r="Y23" s="34">
        <v>1580000</v>
      </c>
      <c r="Z23" s="35">
        <v>1.8</v>
      </c>
    </row>
    <row r="24" spans="1:26" ht="19" x14ac:dyDescent="0.55000000000000004">
      <c r="A24" s="129" t="s">
        <v>14</v>
      </c>
      <c r="B24" s="130"/>
      <c r="C24" s="23"/>
      <c r="D24" s="44" t="s">
        <v>19</v>
      </c>
      <c r="E24" s="46">
        <f>+SUM(E20:E23)+$H$7*$P$14+($H$6-$H$7)*$P$13</f>
        <v>250.83405000000002</v>
      </c>
      <c r="F24" s="46">
        <f t="shared" ref="F24:J24" si="5">+SUM(F20:F23)+$H$7*$P$14+($H$6-$H$7)*$P$13</f>
        <v>215.90412800000001</v>
      </c>
      <c r="G24" s="46">
        <f t="shared" si="5"/>
        <v>216.43950678000002</v>
      </c>
      <c r="H24" s="46">
        <f t="shared" si="5"/>
        <v>216.98023934780002</v>
      </c>
      <c r="I24" s="46">
        <f t="shared" si="5"/>
        <v>217.52637924127799</v>
      </c>
      <c r="J24" s="46">
        <f t="shared" si="5"/>
        <v>218.07798053369078</v>
      </c>
      <c r="K24" s="117">
        <f>SUM(E24:J24)</f>
        <v>1335.7622839027688</v>
      </c>
      <c r="L24" s="7"/>
      <c r="N24" s="73" t="s">
        <v>141</v>
      </c>
      <c r="O24" s="17" t="s">
        <v>39</v>
      </c>
      <c r="P24" s="24">
        <v>0.72499999999999998</v>
      </c>
      <c r="S24" s="34">
        <v>700000</v>
      </c>
      <c r="T24" s="5" t="s">
        <v>61</v>
      </c>
      <c r="U24" s="34">
        <v>800000</v>
      </c>
      <c r="W24" s="34">
        <v>1580000</v>
      </c>
      <c r="X24" s="5" t="s">
        <v>61</v>
      </c>
      <c r="Y24" s="34">
        <v>1750000</v>
      </c>
      <c r="Z24" s="35">
        <v>1.7</v>
      </c>
    </row>
    <row r="25" spans="1:26" ht="19" x14ac:dyDescent="0.55000000000000004">
      <c r="A25" s="129" t="s">
        <v>13</v>
      </c>
      <c r="B25" s="130"/>
      <c r="C25" s="23"/>
      <c r="D25" s="109">
        <v>0.26500000000000001</v>
      </c>
      <c r="E25" s="47">
        <f>+D25*1.015</f>
        <v>0.26897499999999996</v>
      </c>
      <c r="F25" s="47">
        <f t="shared" ref="F25:J25" si="6">+E25*1.015</f>
        <v>0.27300962499999992</v>
      </c>
      <c r="G25" s="47">
        <f t="shared" si="6"/>
        <v>0.27710476937499989</v>
      </c>
      <c r="H25" s="47">
        <f t="shared" si="6"/>
        <v>0.28126134091562488</v>
      </c>
      <c r="I25" s="47">
        <f t="shared" si="6"/>
        <v>0.28548026102935925</v>
      </c>
      <c r="J25" s="47">
        <f t="shared" si="6"/>
        <v>0.28976246494479962</v>
      </c>
      <c r="K25" s="11"/>
      <c r="L25" s="7"/>
      <c r="O25" s="17" t="s">
        <v>40</v>
      </c>
      <c r="P25" s="24">
        <v>0.12</v>
      </c>
      <c r="Q25" s="5" t="s">
        <v>134</v>
      </c>
      <c r="S25" s="34">
        <v>800000</v>
      </c>
      <c r="T25" s="5" t="s">
        <v>61</v>
      </c>
      <c r="U25" s="34">
        <v>900000</v>
      </c>
      <c r="W25" s="34">
        <v>1750000</v>
      </c>
      <c r="X25" s="5" t="s">
        <v>61</v>
      </c>
      <c r="Y25" s="34">
        <v>1910000</v>
      </c>
      <c r="Z25" s="35">
        <v>1.6</v>
      </c>
    </row>
    <row r="26" spans="1:26" ht="19" x14ac:dyDescent="0.55000000000000004">
      <c r="A26" s="131" t="s">
        <v>11</v>
      </c>
      <c r="B26" s="132"/>
      <c r="C26" s="103"/>
      <c r="D26" s="108">
        <v>0</v>
      </c>
      <c r="E26" s="49">
        <f>+D26+E24</f>
        <v>250.83405000000002</v>
      </c>
      <c r="F26" s="49">
        <f t="shared" ref="F26:J26" si="7">+E26+F24</f>
        <v>466.73817800000006</v>
      </c>
      <c r="G26" s="49">
        <f t="shared" si="7"/>
        <v>683.17768478000005</v>
      </c>
      <c r="H26" s="49">
        <f t="shared" si="7"/>
        <v>900.15792412780002</v>
      </c>
      <c r="I26" s="49">
        <f t="shared" si="7"/>
        <v>1117.684303369078</v>
      </c>
      <c r="J26" s="49">
        <f t="shared" si="7"/>
        <v>1335.7622839027688</v>
      </c>
      <c r="K26" s="12">
        <f>+J26</f>
        <v>1335.7622839027688</v>
      </c>
      <c r="L26" s="7"/>
      <c r="O26" s="22" t="s">
        <v>42</v>
      </c>
      <c r="P26" s="78">
        <v>0.15</v>
      </c>
      <c r="Q26" s="71">
        <v>0.8</v>
      </c>
      <c r="S26" s="34">
        <v>900000</v>
      </c>
      <c r="T26" s="5" t="s">
        <v>61</v>
      </c>
      <c r="U26" s="34">
        <v>1000000</v>
      </c>
      <c r="W26" s="34">
        <v>1910000</v>
      </c>
      <c r="X26" s="5" t="s">
        <v>61</v>
      </c>
      <c r="Y26" s="34">
        <v>2060000</v>
      </c>
      <c r="Z26" s="35">
        <v>1.5</v>
      </c>
    </row>
    <row r="27" spans="1:26" ht="19" x14ac:dyDescent="0.55000000000000004">
      <c r="A27" s="133" t="s">
        <v>12</v>
      </c>
      <c r="B27" s="134"/>
      <c r="C27" s="104"/>
      <c r="D27" s="110">
        <v>0</v>
      </c>
      <c r="E27" s="50">
        <f>+E26*(1-E25)</f>
        <v>183.36596140125002</v>
      </c>
      <c r="F27" s="50">
        <f t="shared" ref="F27:J27" si="8">+F26*(1-F25)</f>
        <v>339.31416305103681</v>
      </c>
      <c r="G27" s="50">
        <f t="shared" si="8"/>
        <v>493.86588999689172</v>
      </c>
      <c r="H27" s="50">
        <f t="shared" si="8"/>
        <v>646.9782993517897</v>
      </c>
      <c r="I27" s="50">
        <f t="shared" si="8"/>
        <v>798.60749669485608</v>
      </c>
      <c r="J27" s="50">
        <f t="shared" si="8"/>
        <v>948.70851193880731</v>
      </c>
      <c r="K27" s="12">
        <f>+J27</f>
        <v>948.70851193880731</v>
      </c>
      <c r="L27" s="7"/>
      <c r="N27" s="69" t="s">
        <v>157</v>
      </c>
      <c r="S27" s="34">
        <v>1000000</v>
      </c>
      <c r="T27" s="5" t="s">
        <v>61</v>
      </c>
      <c r="U27" s="34">
        <v>3000000</v>
      </c>
      <c r="W27" s="34">
        <v>2060000</v>
      </c>
      <c r="X27" s="5" t="s">
        <v>61</v>
      </c>
      <c r="Y27" s="34">
        <v>4860000</v>
      </c>
      <c r="Z27" s="35">
        <v>1.4</v>
      </c>
    </row>
    <row r="28" spans="1:26" ht="19" x14ac:dyDescent="0.55000000000000004">
      <c r="A28" s="135" t="s">
        <v>21</v>
      </c>
      <c r="B28" s="136"/>
      <c r="C28" s="30"/>
      <c r="D28" s="48">
        <v>0</v>
      </c>
      <c r="E28" s="45">
        <v>4</v>
      </c>
      <c r="F28" s="45">
        <v>4</v>
      </c>
      <c r="G28" s="45">
        <v>4</v>
      </c>
      <c r="H28" s="45">
        <v>4</v>
      </c>
      <c r="I28" s="45">
        <v>4</v>
      </c>
      <c r="J28" s="45">
        <v>4</v>
      </c>
      <c r="K28" s="11"/>
      <c r="L28" s="7"/>
      <c r="N28" s="69" t="s">
        <v>156</v>
      </c>
      <c r="O28" s="17" t="s">
        <v>135</v>
      </c>
      <c r="P28" s="77">
        <v>150</v>
      </c>
      <c r="S28" s="34">
        <v>3000000</v>
      </c>
      <c r="T28" s="5" t="s">
        <v>61</v>
      </c>
      <c r="U28" s="34">
        <v>5000000</v>
      </c>
      <c r="W28" s="34">
        <v>4860000</v>
      </c>
      <c r="X28" s="5" t="s">
        <v>61</v>
      </c>
      <c r="Y28" s="34">
        <v>7460000</v>
      </c>
      <c r="Z28" s="35">
        <v>1.3</v>
      </c>
    </row>
    <row r="29" spans="1:26" ht="19" x14ac:dyDescent="0.55000000000000004">
      <c r="A29" s="129" t="s">
        <v>22</v>
      </c>
      <c r="B29" s="130"/>
      <c r="C29" s="23"/>
      <c r="D29" s="110">
        <f>+D28*D27*0.41*0.07</f>
        <v>0</v>
      </c>
      <c r="E29" s="63">
        <f>+E27*E28*$P$22*$P$20*$P$21*$P$34</f>
        <v>54.444925908959249</v>
      </c>
      <c r="F29" s="63">
        <f t="shared" ref="F29:G29" si="9">+F27*F28*$P$22*$P$20*$P$21*$P$34</f>
        <v>100.74898484974912</v>
      </c>
      <c r="G29" s="63">
        <f t="shared" si="9"/>
        <v>146.63840324761438</v>
      </c>
      <c r="H29" s="63">
        <f>+H27*H28*$P$22*$P$20*$P$21*$P$34*$Q$22</f>
        <v>153.6803681718543</v>
      </c>
      <c r="I29" s="63">
        <f t="shared" ref="I29:J29" si="10">+I27*I28*$P$22*$P$20*$P$21*$P$34*$Q$22</f>
        <v>189.69769811419079</v>
      </c>
      <c r="J29" s="63">
        <f t="shared" si="10"/>
        <v>225.35203042915575</v>
      </c>
      <c r="K29" s="11"/>
      <c r="L29" s="7"/>
      <c r="S29" s="34">
        <v>5000000</v>
      </c>
      <c r="T29" s="5" t="s">
        <v>61</v>
      </c>
      <c r="U29" s="34">
        <v>7000000</v>
      </c>
      <c r="W29" s="34">
        <v>7460000</v>
      </c>
      <c r="X29" s="5" t="s">
        <v>61</v>
      </c>
      <c r="Y29" s="34">
        <v>9860000</v>
      </c>
      <c r="Z29" s="35">
        <v>1.2</v>
      </c>
    </row>
    <row r="30" spans="1:26" ht="19" x14ac:dyDescent="0.55000000000000004">
      <c r="A30" s="135" t="s">
        <v>28</v>
      </c>
      <c r="B30" s="136"/>
      <c r="C30" s="30"/>
      <c r="D30" s="48">
        <v>0</v>
      </c>
      <c r="E30" s="45">
        <v>10</v>
      </c>
      <c r="F30" s="45">
        <v>10</v>
      </c>
      <c r="G30" s="45">
        <v>10</v>
      </c>
      <c r="H30" s="45">
        <v>10</v>
      </c>
      <c r="I30" s="45">
        <v>10</v>
      </c>
      <c r="J30" s="45">
        <v>10</v>
      </c>
      <c r="K30" s="11"/>
      <c r="L30" s="7"/>
      <c r="N30" s="69" t="s">
        <v>155</v>
      </c>
      <c r="O30" s="17" t="s">
        <v>144</v>
      </c>
      <c r="P30" s="76" t="b">
        <v>1</v>
      </c>
      <c r="Q30" s="74">
        <f>+IF(P30=TRUE,1.1,0.95)</f>
        <v>1.1000000000000001</v>
      </c>
      <c r="S30" s="34">
        <v>7000000</v>
      </c>
      <c r="T30" s="5" t="s">
        <v>61</v>
      </c>
      <c r="U30" s="34">
        <v>10000000</v>
      </c>
      <c r="W30" s="34">
        <v>9860000</v>
      </c>
      <c r="X30" s="5" t="s">
        <v>61</v>
      </c>
      <c r="Y30" s="5" t="e">
        <v>#REF!</v>
      </c>
      <c r="Z30" s="35"/>
    </row>
    <row r="31" spans="1:26" ht="19" x14ac:dyDescent="0.55000000000000004">
      <c r="A31" s="129" t="s">
        <v>29</v>
      </c>
      <c r="B31" s="130"/>
      <c r="C31" s="23"/>
      <c r="D31" s="44">
        <v>0</v>
      </c>
      <c r="E31" s="63">
        <f>+E27*E30*$P$24*$P$25*$P$26*$P$34</f>
        <v>35.034826583427915</v>
      </c>
      <c r="F31" s="63">
        <f t="shared" ref="F31:G31" si="11">+F27*F30*$P$24*$P$25*$P$26*$P$34</f>
        <v>64.831077529054525</v>
      </c>
      <c r="G31" s="63">
        <f t="shared" si="11"/>
        <v>94.36051096555066</v>
      </c>
      <c r="H31" s="63">
        <f>+H27*H30*$P$24*$P$25*$P$26*$P$34*$Q$26</f>
        <v>98.891952891651783</v>
      </c>
      <c r="I31" s="63">
        <f t="shared" ref="I31:J31" si="12">+I27*I30*$P$24*$P$25*$P$26*$P$34*$Q$26</f>
        <v>122.06878502910206</v>
      </c>
      <c r="J31" s="63">
        <f t="shared" si="12"/>
        <v>145.01203141521111</v>
      </c>
      <c r="K31" s="11"/>
      <c r="L31" s="7"/>
      <c r="O31" s="17" t="s">
        <v>158</v>
      </c>
      <c r="P31" s="76" t="b">
        <v>1</v>
      </c>
      <c r="Q31" s="74">
        <f t="shared" ref="Q31:Q33" si="13">+IF(P31=TRUE,1.1,0.95)</f>
        <v>1.1000000000000001</v>
      </c>
    </row>
    <row r="32" spans="1:26" ht="19" x14ac:dyDescent="0.55000000000000004">
      <c r="A32" s="133" t="s">
        <v>24</v>
      </c>
      <c r="B32" s="134"/>
      <c r="C32" s="104"/>
      <c r="D32" s="110">
        <f>+D27*D28</f>
        <v>0</v>
      </c>
      <c r="E32" s="46">
        <f>+E27*E28*$P$22+E27*E30*$P$26</f>
        <v>751.800441745125</v>
      </c>
      <c r="F32" s="46">
        <f t="shared" ref="F32:G32" si="14">+F27*F28*$P$22+F27*F30*$P$26</f>
        <v>1391.188068509251</v>
      </c>
      <c r="G32" s="46">
        <f t="shared" si="14"/>
        <v>2024.850148987256</v>
      </c>
      <c r="H32" s="46">
        <f>+H27*H28*$P$22*$Q$22+H27*H30*$P$26*$Q$26</f>
        <v>2122.0888218738705</v>
      </c>
      <c r="I32" s="46">
        <f t="shared" ref="I32:J32" si="15">+I27*I28*$P$22*$Q$22+I27*I30*$P$26*$Q$26</f>
        <v>2619.4325891591279</v>
      </c>
      <c r="J32" s="46">
        <f t="shared" si="15"/>
        <v>3111.763919159288</v>
      </c>
      <c r="K32" s="117">
        <f t="shared" ref="K32:K38" si="16">SUM(E32:J32)</f>
        <v>12021.123989433918</v>
      </c>
      <c r="L32" s="7"/>
      <c r="O32" s="17" t="s">
        <v>159</v>
      </c>
      <c r="P32" s="76" t="b">
        <v>1</v>
      </c>
      <c r="Q32" s="74">
        <f t="shared" si="13"/>
        <v>1.1000000000000001</v>
      </c>
    </row>
    <row r="33" spans="1:17" ht="19" x14ac:dyDescent="0.55000000000000004">
      <c r="A33" s="133" t="s">
        <v>23</v>
      </c>
      <c r="B33" s="134"/>
      <c r="C33" s="104"/>
      <c r="D33" s="111">
        <f>+D29*1.02</f>
        <v>0</v>
      </c>
      <c r="E33" s="50">
        <f>+E29+E31+1.05*(E29+E31)</f>
        <v>183.43349260939368</v>
      </c>
      <c r="F33" s="50">
        <f t="shared" ref="F33:J33" si="17">+F29+F31+1.05*(F29+F31)</f>
        <v>339.43912787654745</v>
      </c>
      <c r="G33" s="50">
        <f t="shared" si="17"/>
        <v>494.04777413698832</v>
      </c>
      <c r="H33" s="50">
        <f t="shared" si="17"/>
        <v>517.77325818018744</v>
      </c>
      <c r="I33" s="50">
        <f t="shared" si="17"/>
        <v>639.12129044375024</v>
      </c>
      <c r="J33" s="50">
        <f t="shared" si="17"/>
        <v>759.24632678095213</v>
      </c>
      <c r="K33" s="117">
        <f t="shared" si="16"/>
        <v>2933.0612700278193</v>
      </c>
      <c r="L33" s="7"/>
      <c r="O33" s="17" t="s">
        <v>160</v>
      </c>
      <c r="P33" s="76" t="b">
        <v>1</v>
      </c>
      <c r="Q33" s="74">
        <f t="shared" si="13"/>
        <v>1.1000000000000001</v>
      </c>
    </row>
    <row r="34" spans="1:17" x14ac:dyDescent="0.55000000000000004">
      <c r="A34" s="127" t="s">
        <v>7</v>
      </c>
      <c r="B34" s="6" t="str">
        <f>+C6</f>
        <v>資料請求</v>
      </c>
      <c r="C34" s="6"/>
      <c r="D34" s="11">
        <v>0</v>
      </c>
      <c r="E34" s="113">
        <v>1</v>
      </c>
      <c r="F34" s="113">
        <v>2</v>
      </c>
      <c r="G34" s="113">
        <v>2</v>
      </c>
      <c r="H34" s="113">
        <v>3</v>
      </c>
      <c r="I34" s="113">
        <v>4</v>
      </c>
      <c r="J34" s="113">
        <v>4</v>
      </c>
      <c r="K34" s="118">
        <f t="shared" si="16"/>
        <v>16</v>
      </c>
      <c r="L34" s="7"/>
      <c r="N34" s="69" t="s">
        <v>132</v>
      </c>
      <c r="O34" s="17" t="s">
        <v>145</v>
      </c>
      <c r="P34" s="75">
        <f>1*(Q30*Q31*Q32*Q33)</f>
        <v>1.4641000000000006</v>
      </c>
      <c r="Q34" s="74"/>
    </row>
    <row r="35" spans="1:17" x14ac:dyDescent="0.55000000000000004">
      <c r="A35" s="128"/>
      <c r="B35" s="6" t="str">
        <f>+C7</f>
        <v>学校説明会・相談会</v>
      </c>
      <c r="C35" s="6"/>
      <c r="D35" s="11">
        <v>0</v>
      </c>
      <c r="E35" s="113">
        <v>0</v>
      </c>
      <c r="F35" s="113">
        <v>1</v>
      </c>
      <c r="G35" s="113">
        <v>1</v>
      </c>
      <c r="H35" s="113">
        <v>2</v>
      </c>
      <c r="I35" s="113">
        <v>2</v>
      </c>
      <c r="J35" s="113">
        <v>3</v>
      </c>
      <c r="K35" s="118">
        <f t="shared" si="16"/>
        <v>9</v>
      </c>
      <c r="L35" s="7"/>
      <c r="N35" s="69" t="s">
        <v>132</v>
      </c>
    </row>
    <row r="36" spans="1:17" x14ac:dyDescent="0.55000000000000004">
      <c r="A36" s="127" t="s">
        <v>9</v>
      </c>
      <c r="B36" s="6" t="str">
        <f>+C8</f>
        <v>--</v>
      </c>
      <c r="C36" s="6"/>
      <c r="D36" s="11">
        <v>0</v>
      </c>
      <c r="E36" s="113">
        <v>0</v>
      </c>
      <c r="F36" s="113">
        <v>0</v>
      </c>
      <c r="G36" s="113">
        <v>0</v>
      </c>
      <c r="H36" s="113">
        <v>0</v>
      </c>
      <c r="I36" s="113">
        <v>0</v>
      </c>
      <c r="J36" s="113">
        <v>0</v>
      </c>
      <c r="K36" s="118">
        <f t="shared" si="16"/>
        <v>0</v>
      </c>
      <c r="L36" s="7"/>
      <c r="N36" s="69" t="s">
        <v>133</v>
      </c>
      <c r="O36" s="21" t="s">
        <v>35</v>
      </c>
    </row>
    <row r="37" spans="1:17" x14ac:dyDescent="0.55000000000000004">
      <c r="A37" s="128"/>
      <c r="B37" s="6" t="str">
        <f>+C9</f>
        <v>--</v>
      </c>
      <c r="C37" s="6"/>
      <c r="D37" s="11">
        <v>0</v>
      </c>
      <c r="E37" s="113">
        <v>0</v>
      </c>
      <c r="F37" s="113">
        <v>0</v>
      </c>
      <c r="G37" s="113">
        <v>0</v>
      </c>
      <c r="H37" s="113">
        <v>0</v>
      </c>
      <c r="I37" s="113">
        <v>0</v>
      </c>
      <c r="J37" s="113">
        <v>0</v>
      </c>
      <c r="K37" s="118">
        <f t="shared" si="16"/>
        <v>0</v>
      </c>
      <c r="L37" s="7"/>
      <c r="N37" s="69" t="s">
        <v>133</v>
      </c>
      <c r="O37" s="21" t="s">
        <v>36</v>
      </c>
    </row>
    <row r="38" spans="1:17" x14ac:dyDescent="0.55000000000000004">
      <c r="A38" s="137" t="s">
        <v>51</v>
      </c>
      <c r="B38" s="138"/>
      <c r="C38" s="99"/>
      <c r="D38" s="11">
        <f t="shared" ref="D38:J38" si="18">+SUM(D34:D37)</f>
        <v>0</v>
      </c>
      <c r="E38" s="10">
        <f t="shared" si="18"/>
        <v>1</v>
      </c>
      <c r="F38" s="10">
        <f t="shared" si="18"/>
        <v>3</v>
      </c>
      <c r="G38" s="10">
        <f t="shared" si="18"/>
        <v>3</v>
      </c>
      <c r="H38" s="10">
        <f t="shared" si="18"/>
        <v>5</v>
      </c>
      <c r="I38" s="10">
        <f t="shared" si="18"/>
        <v>6</v>
      </c>
      <c r="J38" s="10">
        <f t="shared" si="18"/>
        <v>7</v>
      </c>
      <c r="K38" s="118">
        <f t="shared" si="16"/>
        <v>25</v>
      </c>
      <c r="L38" s="7"/>
      <c r="O38" s="17"/>
    </row>
    <row r="39" spans="1:17" x14ac:dyDescent="0.55000000000000004">
      <c r="B39" s="5" t="s">
        <v>66</v>
      </c>
      <c r="D39" s="18">
        <f t="shared" ref="D39" si="19">+IFERROR(D38/D33,0)</f>
        <v>0</v>
      </c>
      <c r="E39" s="18">
        <f>+IFERROR(E38/E33,0)</f>
        <v>5.4515671362667479E-3</v>
      </c>
      <c r="F39" s="18">
        <f t="shared" ref="F39:J39" si="20">+IFERROR(F38/F33,0)</f>
        <v>8.8381089674820484E-3</v>
      </c>
      <c r="G39" s="18">
        <f t="shared" si="20"/>
        <v>6.0722872504394027E-3</v>
      </c>
      <c r="H39" s="18">
        <f t="shared" si="20"/>
        <v>9.6567366525908485E-3</v>
      </c>
      <c r="I39" s="18">
        <f t="shared" si="20"/>
        <v>9.387889418977299E-3</v>
      </c>
      <c r="J39" s="18">
        <f t="shared" si="20"/>
        <v>9.219669233934337E-3</v>
      </c>
      <c r="N39" s="69" t="s">
        <v>131</v>
      </c>
    </row>
    <row r="40" spans="1:17" x14ac:dyDescent="0.55000000000000004">
      <c r="D40" s="18"/>
      <c r="E40" s="18"/>
      <c r="F40" s="18"/>
      <c r="G40" s="18"/>
      <c r="H40" s="18"/>
      <c r="I40" s="18"/>
      <c r="J40" s="18"/>
    </row>
    <row r="41" spans="1:17" x14ac:dyDescent="0.55000000000000004">
      <c r="A41" s="29" t="s">
        <v>49</v>
      </c>
      <c r="C41" s="5" t="s">
        <v>177</v>
      </c>
      <c r="D41" s="5" t="s">
        <v>178</v>
      </c>
    </row>
    <row r="42" spans="1:17" x14ac:dyDescent="0.55000000000000004">
      <c r="A42" s="129" t="s">
        <v>25</v>
      </c>
      <c r="B42" s="130"/>
      <c r="C42" s="105"/>
      <c r="D42" s="16" t="s">
        <v>20</v>
      </c>
      <c r="E42" s="31">
        <f>+E73*E74</f>
        <v>0</v>
      </c>
      <c r="F42" s="31">
        <f t="shared" ref="F42:J42" si="21">+F73*F74</f>
        <v>0</v>
      </c>
      <c r="G42" s="31">
        <f t="shared" si="21"/>
        <v>0</v>
      </c>
      <c r="H42" s="31">
        <f t="shared" si="21"/>
        <v>0</v>
      </c>
      <c r="I42" s="31">
        <f t="shared" si="21"/>
        <v>0</v>
      </c>
      <c r="J42" s="31">
        <f t="shared" si="21"/>
        <v>0</v>
      </c>
      <c r="K42" s="11"/>
      <c r="L42" s="7"/>
    </row>
    <row r="43" spans="1:17" x14ac:dyDescent="0.55000000000000004">
      <c r="A43" s="129" t="s">
        <v>154</v>
      </c>
      <c r="B43" s="130"/>
      <c r="C43" s="106">
        <f>+SUM(C63:C70)</f>
        <v>0</v>
      </c>
      <c r="D43" s="82">
        <f>+SUM(D63:D70)</f>
        <v>315000</v>
      </c>
      <c r="E43" s="27">
        <f>SUM(E63:E67)+SUM(E69:E70)</f>
        <v>250000</v>
      </c>
      <c r="F43" s="27">
        <f t="shared" ref="F43:J43" si="22">SUM(F63:F67)+SUM(F69:F70)</f>
        <v>250000</v>
      </c>
      <c r="G43" s="27">
        <f t="shared" si="22"/>
        <v>250000</v>
      </c>
      <c r="H43" s="27">
        <f t="shared" si="22"/>
        <v>250000</v>
      </c>
      <c r="I43" s="27">
        <f t="shared" si="22"/>
        <v>250000</v>
      </c>
      <c r="J43" s="27">
        <f t="shared" si="22"/>
        <v>250000</v>
      </c>
      <c r="K43" s="119">
        <f>SUM(E43:J43)</f>
        <v>1500000</v>
      </c>
      <c r="L43" s="7"/>
    </row>
    <row r="44" spans="1:17" x14ac:dyDescent="0.55000000000000004">
      <c r="A44" s="129" t="s">
        <v>15</v>
      </c>
      <c r="B44" s="130"/>
      <c r="C44" s="105"/>
      <c r="D44" s="16" t="s">
        <v>20</v>
      </c>
      <c r="E44" s="28">
        <f t="shared" ref="E44:J44" si="23">+SUM(E63:E65)/(E26-D26)</f>
        <v>59.800493593274112</v>
      </c>
      <c r="F44" s="28">
        <f t="shared" si="23"/>
        <v>69.475281176652615</v>
      </c>
      <c r="G44" s="28">
        <f t="shared" si="23"/>
        <v>69.303429041938983</v>
      </c>
      <c r="H44" s="28">
        <f t="shared" si="23"/>
        <v>69.130719207827667</v>
      </c>
      <c r="I44" s="28">
        <f t="shared" si="23"/>
        <v>68.957153851037816</v>
      </c>
      <c r="J44" s="28">
        <f t="shared" si="23"/>
        <v>68.782735255027973</v>
      </c>
      <c r="K44" s="11"/>
      <c r="L44" s="7"/>
    </row>
    <row r="45" spans="1:17" x14ac:dyDescent="0.55000000000000004">
      <c r="A45" s="129" t="s">
        <v>16</v>
      </c>
      <c r="B45" s="130"/>
      <c r="C45" s="105"/>
      <c r="D45" s="16" t="s">
        <v>20</v>
      </c>
      <c r="E45" s="28">
        <f t="shared" ref="E45:I45" si="24">+E49/E33</f>
        <v>1417.4074554293545</v>
      </c>
      <c r="F45" s="28">
        <f t="shared" si="24"/>
        <v>883.81089674820487</v>
      </c>
      <c r="G45" s="28">
        <f t="shared" si="24"/>
        <v>607.22872504394024</v>
      </c>
      <c r="H45" s="28">
        <f t="shared" si="24"/>
        <v>656.65809237617759</v>
      </c>
      <c r="I45" s="28">
        <f t="shared" si="24"/>
        <v>547.62688277367579</v>
      </c>
      <c r="J45" s="28">
        <f>+J49/J33</f>
        <v>500.49632984214969</v>
      </c>
      <c r="K45" s="11"/>
      <c r="L45" s="7"/>
    </row>
    <row r="46" spans="1:17" x14ac:dyDescent="0.55000000000000004">
      <c r="A46" s="129" t="s">
        <v>18</v>
      </c>
      <c r="B46" s="130"/>
      <c r="C46" s="105"/>
      <c r="D46" s="16" t="s">
        <v>20</v>
      </c>
      <c r="E46" s="32">
        <f t="shared" ref="E46:J46" si="25">+SUM(E34:E37)/E33</f>
        <v>5.4515671362667479E-3</v>
      </c>
      <c r="F46" s="32">
        <f t="shared" si="25"/>
        <v>8.8381089674820484E-3</v>
      </c>
      <c r="G46" s="32">
        <f t="shared" si="25"/>
        <v>6.0722872504394027E-3</v>
      </c>
      <c r="H46" s="32">
        <f t="shared" si="25"/>
        <v>9.6567366525908485E-3</v>
      </c>
      <c r="I46" s="32">
        <f t="shared" si="25"/>
        <v>9.387889418977299E-3</v>
      </c>
      <c r="J46" s="32">
        <f t="shared" si="25"/>
        <v>9.219669233934337E-3</v>
      </c>
      <c r="K46" s="11"/>
      <c r="L46" s="7"/>
    </row>
    <row r="47" spans="1:17" x14ac:dyDescent="0.55000000000000004">
      <c r="A47" s="137" t="s">
        <v>17</v>
      </c>
      <c r="B47" s="138"/>
      <c r="C47" s="107"/>
      <c r="D47" s="16" t="s">
        <v>20</v>
      </c>
      <c r="E47" s="28">
        <f>+IFERROR(E49/SUM(E34:E37),0)</f>
        <v>260000</v>
      </c>
      <c r="F47" s="28">
        <f t="shared" ref="F47:J47" si="26">+IFERROR(F49/SUM(F34:F37),0)</f>
        <v>100000</v>
      </c>
      <c r="G47" s="28">
        <f t="shared" si="26"/>
        <v>100000</v>
      </c>
      <c r="H47" s="28">
        <f t="shared" si="26"/>
        <v>68000</v>
      </c>
      <c r="I47" s="28">
        <f t="shared" si="26"/>
        <v>58333.333333333336</v>
      </c>
      <c r="J47" s="28">
        <f t="shared" si="26"/>
        <v>54285.714285714283</v>
      </c>
      <c r="K47" s="11"/>
      <c r="L47" s="7"/>
    </row>
    <row r="48" spans="1:17" x14ac:dyDescent="0.55000000000000004">
      <c r="A48" s="137" t="s">
        <v>130</v>
      </c>
      <c r="B48" s="138"/>
      <c r="C48" s="107"/>
      <c r="D48" s="64" t="s">
        <v>20</v>
      </c>
      <c r="E48" s="65">
        <f t="shared" ref="E48:J48" si="27">+E34*$D$6+E35*$D$7+E36*$D$8+E37*$D$9</f>
        <v>10000</v>
      </c>
      <c r="F48" s="65">
        <f t="shared" si="27"/>
        <v>50000</v>
      </c>
      <c r="G48" s="65">
        <f t="shared" si="27"/>
        <v>50000</v>
      </c>
      <c r="H48" s="65">
        <f t="shared" si="27"/>
        <v>90000</v>
      </c>
      <c r="I48" s="65">
        <f t="shared" si="27"/>
        <v>100000</v>
      </c>
      <c r="J48" s="65">
        <f t="shared" si="27"/>
        <v>130000</v>
      </c>
      <c r="K48" s="119">
        <f>SUM(E48:J48)</f>
        <v>430000</v>
      </c>
      <c r="L48" s="7"/>
    </row>
    <row r="49" spans="1:14" x14ac:dyDescent="0.55000000000000004">
      <c r="A49" s="139" t="s">
        <v>69</v>
      </c>
      <c r="B49" s="140"/>
      <c r="C49" s="112">
        <f>+C43</f>
        <v>0</v>
      </c>
      <c r="D49" s="40">
        <f>+D43</f>
        <v>315000</v>
      </c>
      <c r="E49" s="40">
        <f>SUM(E43,E48)+E42</f>
        <v>260000</v>
      </c>
      <c r="F49" s="40">
        <f t="shared" ref="F49:I49" si="28">SUM(F43,F48)+F42</f>
        <v>300000</v>
      </c>
      <c r="G49" s="40">
        <f t="shared" si="28"/>
        <v>300000</v>
      </c>
      <c r="H49" s="40">
        <f t="shared" si="28"/>
        <v>340000</v>
      </c>
      <c r="I49" s="40">
        <f t="shared" si="28"/>
        <v>350000</v>
      </c>
      <c r="J49" s="40">
        <f>SUM(J43,J48)+J42</f>
        <v>380000</v>
      </c>
      <c r="K49" s="119">
        <f>+D49+SUM(E49:J49)</f>
        <v>2245000</v>
      </c>
      <c r="L49" s="7"/>
    </row>
    <row r="50" spans="1:14" x14ac:dyDescent="0.55000000000000004">
      <c r="A50" s="22"/>
      <c r="B50" s="22"/>
      <c r="C50" s="22"/>
      <c r="D50" s="37"/>
      <c r="E50" s="37"/>
      <c r="F50" s="37"/>
      <c r="G50" s="37"/>
      <c r="H50" s="37"/>
      <c r="I50" s="37"/>
      <c r="J50" s="37"/>
    </row>
    <row r="51" spans="1:14" hidden="1" x14ac:dyDescent="0.55000000000000004">
      <c r="A51" s="29" t="s">
        <v>67</v>
      </c>
    </row>
    <row r="52" spans="1:14" hidden="1" x14ac:dyDescent="0.55000000000000004">
      <c r="A52" s="129" t="s">
        <v>25</v>
      </c>
      <c r="B52" s="130"/>
      <c r="C52" s="98"/>
      <c r="D52" s="28">
        <f>+D73*D74</f>
        <v>0</v>
      </c>
      <c r="E52" s="28">
        <f t="shared" ref="E52:J52" si="29">+E73*E74</f>
        <v>0</v>
      </c>
      <c r="F52" s="28">
        <f t="shared" si="29"/>
        <v>0</v>
      </c>
      <c r="G52" s="28">
        <f t="shared" si="29"/>
        <v>0</v>
      </c>
      <c r="H52" s="28">
        <f t="shared" si="29"/>
        <v>0</v>
      </c>
      <c r="I52" s="28">
        <f t="shared" si="29"/>
        <v>0</v>
      </c>
      <c r="J52" s="28">
        <f t="shared" si="29"/>
        <v>0</v>
      </c>
      <c r="K52" s="11"/>
      <c r="L52" s="7"/>
    </row>
    <row r="53" spans="1:14" hidden="1" x14ac:dyDescent="0.55000000000000004">
      <c r="A53" s="129" t="s">
        <v>154</v>
      </c>
      <c r="B53" s="130"/>
      <c r="C53" s="98"/>
      <c r="D53" s="27">
        <f>+SUM(D63:D70)</f>
        <v>315000</v>
      </c>
      <c r="E53" s="27">
        <f>SUM(E63:E70)+E52</f>
        <v>250000</v>
      </c>
      <c r="F53" s="27">
        <f t="shared" ref="F53:J53" si="30">SUM(F63:F70)+F52</f>
        <v>250000</v>
      </c>
      <c r="G53" s="27">
        <f t="shared" si="30"/>
        <v>250000</v>
      </c>
      <c r="H53" s="27">
        <f t="shared" si="30"/>
        <v>250000</v>
      </c>
      <c r="I53" s="27">
        <f t="shared" si="30"/>
        <v>250000</v>
      </c>
      <c r="J53" s="27">
        <f t="shared" si="30"/>
        <v>250000</v>
      </c>
      <c r="K53" s="119">
        <f>+D53+SUM(E53:J53)</f>
        <v>1815000</v>
      </c>
      <c r="L53" s="7"/>
    </row>
    <row r="54" spans="1:14" hidden="1" x14ac:dyDescent="0.55000000000000004">
      <c r="A54" s="129" t="s">
        <v>15</v>
      </c>
      <c r="B54" s="130"/>
      <c r="C54" s="98"/>
      <c r="D54" s="39" t="s">
        <v>20</v>
      </c>
      <c r="E54" s="28">
        <f>+SUM(E63:E65)/(E26-D26)</f>
        <v>59.800493593274112</v>
      </c>
      <c r="F54" s="28">
        <f t="shared" ref="F54:J54" si="31">+SUM(F63:F65)/(F26-E26)</f>
        <v>69.475281176652615</v>
      </c>
      <c r="G54" s="28">
        <f t="shared" si="31"/>
        <v>69.303429041938983</v>
      </c>
      <c r="H54" s="28">
        <f t="shared" si="31"/>
        <v>69.130719207827667</v>
      </c>
      <c r="I54" s="28">
        <f t="shared" si="31"/>
        <v>68.957153851037816</v>
      </c>
      <c r="J54" s="28">
        <f t="shared" si="31"/>
        <v>68.782735255027973</v>
      </c>
      <c r="K54" s="11"/>
      <c r="L54" s="7"/>
    </row>
    <row r="55" spans="1:14" hidden="1" x14ac:dyDescent="0.55000000000000004">
      <c r="A55" s="129" t="s">
        <v>16</v>
      </c>
      <c r="B55" s="130"/>
      <c r="C55" s="98"/>
      <c r="D55" s="39" t="s">
        <v>20</v>
      </c>
      <c r="E55" s="28">
        <f>+E59/E33</f>
        <v>1362.891784066687</v>
      </c>
      <c r="F55" s="28">
        <f t="shared" ref="F55:J55" si="32">+F59/F33</f>
        <v>736.50908062350413</v>
      </c>
      <c r="G55" s="28">
        <f t="shared" si="32"/>
        <v>506.02393753661693</v>
      </c>
      <c r="H55" s="28">
        <f t="shared" si="32"/>
        <v>482.83683262954236</v>
      </c>
      <c r="I55" s="28">
        <f t="shared" si="32"/>
        <v>391.16205912405411</v>
      </c>
      <c r="J55" s="28">
        <f t="shared" si="32"/>
        <v>329.2739012119406</v>
      </c>
      <c r="K55" s="11"/>
      <c r="L55" s="7"/>
    </row>
    <row r="56" spans="1:14" hidden="1" x14ac:dyDescent="0.55000000000000004">
      <c r="A56" s="129" t="s">
        <v>18</v>
      </c>
      <c r="B56" s="130"/>
      <c r="C56" s="98"/>
      <c r="D56" s="39" t="s">
        <v>20</v>
      </c>
      <c r="E56" s="32">
        <f t="shared" ref="E56:J56" si="33">+SUM(E34:E37)/E33</f>
        <v>5.4515671362667479E-3</v>
      </c>
      <c r="F56" s="32">
        <f t="shared" si="33"/>
        <v>8.8381089674820484E-3</v>
      </c>
      <c r="G56" s="32">
        <f t="shared" si="33"/>
        <v>6.0722872504394027E-3</v>
      </c>
      <c r="H56" s="32">
        <f t="shared" si="33"/>
        <v>9.6567366525908485E-3</v>
      </c>
      <c r="I56" s="32">
        <f t="shared" si="33"/>
        <v>9.387889418977299E-3</v>
      </c>
      <c r="J56" s="32">
        <f t="shared" si="33"/>
        <v>9.219669233934337E-3</v>
      </c>
      <c r="K56" s="11"/>
      <c r="L56" s="7"/>
    </row>
    <row r="57" spans="1:14" hidden="1" x14ac:dyDescent="0.55000000000000004">
      <c r="A57" s="137" t="s">
        <v>17</v>
      </c>
      <c r="B57" s="138"/>
      <c r="C57" s="99"/>
      <c r="D57" s="28"/>
      <c r="E57" s="28">
        <f>+IFERROR(E53/E38,0)</f>
        <v>250000</v>
      </c>
      <c r="F57" s="28">
        <f t="shared" ref="F57:J57" si="34">+IFERROR(F53/F38,0)</f>
        <v>83333.333333333328</v>
      </c>
      <c r="G57" s="28">
        <f t="shared" si="34"/>
        <v>83333.333333333328</v>
      </c>
      <c r="H57" s="28">
        <f t="shared" si="34"/>
        <v>50000</v>
      </c>
      <c r="I57" s="28">
        <f t="shared" si="34"/>
        <v>41666.666666666664</v>
      </c>
      <c r="J57" s="28">
        <f t="shared" si="34"/>
        <v>35714.285714285717</v>
      </c>
      <c r="K57" s="11">
        <f>+IFERROR(K53/K38,0)</f>
        <v>72600</v>
      </c>
      <c r="L57" s="7"/>
    </row>
    <row r="58" spans="1:14" hidden="1" x14ac:dyDescent="0.55000000000000004">
      <c r="A58" s="137" t="s">
        <v>130</v>
      </c>
      <c r="B58" s="138"/>
      <c r="C58" s="99"/>
      <c r="D58" s="28"/>
      <c r="E58" s="28"/>
      <c r="F58" s="28"/>
      <c r="G58" s="28"/>
      <c r="H58" s="28"/>
      <c r="I58" s="28"/>
      <c r="J58" s="28"/>
      <c r="K58" s="11"/>
      <c r="L58" s="7"/>
    </row>
    <row r="59" spans="1:14" hidden="1" x14ac:dyDescent="0.55000000000000004">
      <c r="A59" s="139" t="s">
        <v>69</v>
      </c>
      <c r="B59" s="140"/>
      <c r="C59" s="100"/>
      <c r="D59" s="40">
        <f>+D53</f>
        <v>315000</v>
      </c>
      <c r="E59" s="40">
        <f>+SUM(E63:E70)+E52</f>
        <v>250000</v>
      </c>
      <c r="F59" s="40">
        <f t="shared" ref="F59:J59" si="35">+SUM(F63:F70)+F52</f>
        <v>250000</v>
      </c>
      <c r="G59" s="40">
        <f t="shared" si="35"/>
        <v>250000</v>
      </c>
      <c r="H59" s="40">
        <f t="shared" si="35"/>
        <v>250000</v>
      </c>
      <c r="I59" s="40">
        <f t="shared" si="35"/>
        <v>250000</v>
      </c>
      <c r="J59" s="40">
        <f t="shared" si="35"/>
        <v>250000</v>
      </c>
      <c r="K59" s="119">
        <f>+D59+SUM(E59:J59)</f>
        <v>1815000</v>
      </c>
      <c r="L59" s="7"/>
    </row>
    <row r="60" spans="1:14" hidden="1" x14ac:dyDescent="0.55000000000000004"/>
    <row r="62" spans="1:14" x14ac:dyDescent="0.55000000000000004">
      <c r="C62" s="5" t="s">
        <v>177</v>
      </c>
      <c r="D62" s="5" t="s">
        <v>178</v>
      </c>
    </row>
    <row r="63" spans="1:14" x14ac:dyDescent="0.55000000000000004">
      <c r="A63" s="52" t="s">
        <v>26</v>
      </c>
      <c r="B63" s="6" t="s">
        <v>25</v>
      </c>
      <c r="C63" s="92">
        <v>0</v>
      </c>
      <c r="D63" s="51">
        <v>0</v>
      </c>
      <c r="E63" s="28">
        <f t="shared" ref="E63:J63" si="36">MAX(0,15000+(E32-30000)*2.75)</f>
        <v>0</v>
      </c>
      <c r="F63" s="28">
        <f t="shared" si="36"/>
        <v>0</v>
      </c>
      <c r="G63" s="28">
        <f t="shared" si="36"/>
        <v>0</v>
      </c>
      <c r="H63" s="28">
        <f t="shared" si="36"/>
        <v>0</v>
      </c>
      <c r="I63" s="28">
        <f t="shared" si="36"/>
        <v>0</v>
      </c>
      <c r="J63" s="28">
        <f t="shared" si="36"/>
        <v>0</v>
      </c>
    </row>
    <row r="64" spans="1:14" x14ac:dyDescent="0.55000000000000004">
      <c r="A64" s="53" t="s">
        <v>48</v>
      </c>
      <c r="B64" s="6" t="s">
        <v>5</v>
      </c>
      <c r="C64" s="92">
        <v>0</v>
      </c>
      <c r="D64" s="51">
        <v>15000</v>
      </c>
      <c r="E64" s="51">
        <v>15000</v>
      </c>
      <c r="F64" s="51">
        <v>15000</v>
      </c>
      <c r="G64" s="51">
        <v>15000</v>
      </c>
      <c r="H64" s="51">
        <v>15000</v>
      </c>
      <c r="I64" s="51">
        <v>15000</v>
      </c>
      <c r="J64" s="51">
        <v>15000</v>
      </c>
      <c r="N64" s="69" t="s">
        <v>147</v>
      </c>
    </row>
    <row r="65" spans="1:16" x14ac:dyDescent="0.55000000000000004">
      <c r="B65" s="6" t="s">
        <v>6</v>
      </c>
      <c r="C65" s="92">
        <v>0</v>
      </c>
      <c r="D65" s="51">
        <v>100000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s="69" t="s">
        <v>146</v>
      </c>
    </row>
    <row r="66" spans="1:16" x14ac:dyDescent="0.55000000000000004">
      <c r="A66" s="15"/>
      <c r="B66" s="6" t="s">
        <v>46</v>
      </c>
      <c r="C66" s="92">
        <v>0</v>
      </c>
      <c r="D66" s="51">
        <v>0</v>
      </c>
      <c r="E66" s="28">
        <f t="shared" ref="E66:J66" si="37">IF(E32&lt;5000,5000,15000)</f>
        <v>5000</v>
      </c>
      <c r="F66" s="28">
        <f t="shared" si="37"/>
        <v>5000</v>
      </c>
      <c r="G66" s="28">
        <f t="shared" si="37"/>
        <v>5000</v>
      </c>
      <c r="H66" s="28">
        <f t="shared" si="37"/>
        <v>5000</v>
      </c>
      <c r="I66" s="28">
        <f t="shared" si="37"/>
        <v>5000</v>
      </c>
      <c r="J66" s="28">
        <f t="shared" si="37"/>
        <v>5000</v>
      </c>
      <c r="N66" s="69" t="s">
        <v>153</v>
      </c>
      <c r="O66" s="17" t="s">
        <v>152</v>
      </c>
      <c r="P66" s="76">
        <v>5000</v>
      </c>
    </row>
    <row r="67" spans="1:16" x14ac:dyDescent="0.55000000000000004">
      <c r="A67" s="15"/>
      <c r="B67" s="6" t="s">
        <v>55</v>
      </c>
      <c r="C67" s="92">
        <v>0</v>
      </c>
      <c r="D67" s="51">
        <v>0</v>
      </c>
      <c r="E67" s="28">
        <v>150000</v>
      </c>
      <c r="F67" s="28">
        <v>150000</v>
      </c>
      <c r="G67" s="28">
        <v>150000</v>
      </c>
      <c r="H67" s="28">
        <v>150000</v>
      </c>
      <c r="I67" s="28">
        <v>150000</v>
      </c>
      <c r="J67" s="28">
        <v>150000</v>
      </c>
      <c r="N67" s="69" t="s">
        <v>150</v>
      </c>
      <c r="O67" s="5" t="s">
        <v>50</v>
      </c>
    </row>
    <row r="68" spans="1:16" x14ac:dyDescent="0.55000000000000004">
      <c r="A68" s="15"/>
      <c r="B68" s="6" t="s">
        <v>56</v>
      </c>
      <c r="C68" s="92">
        <v>0</v>
      </c>
      <c r="D68" s="51">
        <v>200000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N68" s="69" t="s">
        <v>151</v>
      </c>
    </row>
    <row r="69" spans="1:16" x14ac:dyDescent="0.55000000000000004">
      <c r="A69" s="15"/>
      <c r="B69" s="6" t="s">
        <v>148</v>
      </c>
      <c r="C69" s="92">
        <v>0</v>
      </c>
      <c r="D69" s="51">
        <v>0</v>
      </c>
      <c r="E69" s="28">
        <v>80000</v>
      </c>
      <c r="F69" s="28">
        <v>80000</v>
      </c>
      <c r="G69" s="28">
        <v>80000</v>
      </c>
      <c r="H69" s="28">
        <v>80000</v>
      </c>
      <c r="I69" s="28">
        <v>80000</v>
      </c>
      <c r="J69" s="28">
        <v>80000</v>
      </c>
      <c r="N69" s="69" t="s">
        <v>149</v>
      </c>
    </row>
    <row r="70" spans="1:16" x14ac:dyDescent="0.55000000000000004">
      <c r="A70" s="15"/>
      <c r="B70" s="6" t="s">
        <v>62</v>
      </c>
      <c r="C70" s="92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</row>
    <row r="71" spans="1:16" x14ac:dyDescent="0.55000000000000004">
      <c r="A71" s="15"/>
      <c r="B71" s="114" t="s">
        <v>180</v>
      </c>
      <c r="C71" s="115">
        <v>0</v>
      </c>
      <c r="D71" s="116">
        <f>SUM(D63:D70)</f>
        <v>315000</v>
      </c>
      <c r="E71" s="116">
        <f t="shared" ref="E71" si="38">SUM(E63:E70)</f>
        <v>250000</v>
      </c>
      <c r="F71" s="116">
        <f t="shared" ref="F71" si="39">SUM(F63:F70)</f>
        <v>250000</v>
      </c>
      <c r="G71" s="116">
        <f t="shared" ref="G71" si="40">SUM(G63:G70)</f>
        <v>250000</v>
      </c>
      <c r="H71" s="116">
        <f t="shared" ref="H71" si="41">SUM(H63:H70)</f>
        <v>250000</v>
      </c>
      <c r="I71" s="116">
        <f t="shared" ref="I71" si="42">SUM(I63:I70)</f>
        <v>250000</v>
      </c>
      <c r="J71" s="116">
        <f t="shared" ref="J71" si="43">SUM(J63:J70)</f>
        <v>250000</v>
      </c>
    </row>
    <row r="72" spans="1:16" x14ac:dyDescent="0.55000000000000004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spans="1:16" x14ac:dyDescent="0.55000000000000004">
      <c r="B73" s="5" t="s">
        <v>63</v>
      </c>
      <c r="D73" s="41">
        <f t="shared" ref="D73:J73" si="44">+IF(D32&lt;30001,0,D32-30000)</f>
        <v>0</v>
      </c>
      <c r="E73" s="41">
        <f t="shared" si="44"/>
        <v>0</v>
      </c>
      <c r="F73" s="41">
        <f t="shared" si="44"/>
        <v>0</v>
      </c>
      <c r="G73" s="41">
        <f t="shared" si="44"/>
        <v>0</v>
      </c>
      <c r="H73" s="41">
        <f t="shared" si="44"/>
        <v>0</v>
      </c>
      <c r="I73" s="41">
        <f t="shared" si="44"/>
        <v>0</v>
      </c>
      <c r="J73" s="41">
        <f t="shared" si="44"/>
        <v>0</v>
      </c>
    </row>
    <row r="74" spans="1:16" x14ac:dyDescent="0.55000000000000004">
      <c r="B74" s="5" t="s">
        <v>64</v>
      </c>
      <c r="D74" s="5">
        <f>+IF(D73&lt;=$U$16,$Z$16,IF(D73&lt;=$U$17,$Z$17,IF(D73&lt;=$U$18,$Z$18,IF(D73&lt;=$U$19,$Z$19,IF(D73&lt;=$U$20,$Z$20,IF(D73&lt;=$U$21,$Z$21,IF(D73&lt;=$U$22,$Z$22,IF(D73&lt;=$U$23,$Z$23,IF(D73&lt;=$U$24,$Z$24,IF(D73&lt;=$U$25,$Z$25,IF(D73&lt;=$U$26,$Z$26,IF(D73&lt;=$U$27,$Z$27,IF(D73&lt;=$U$28,$Z$28,0)))))))))))))</f>
        <v>3</v>
      </c>
      <c r="E74" s="5">
        <f t="shared" ref="E74:J74" si="45">+IF(E73&lt;=$U$16,$Z$16,IF(E73&lt;=$U$17,$Z$17,IF(E73&lt;=$U$18,$Z$18,IF(E73&lt;=$U$19,$Z$19,IF(E73&lt;=$U$20,$Z$20,IF(E73&lt;=$U$21,$Z$21,IF(E73&lt;=$U$22,$Z$22,IF(E73&lt;=$U$23,$Z$23,IF(E73&lt;=$U$24,$Z$24,IF(E73&lt;=$U$25,$Z$25,IF(E73&lt;=$U$26,$Z$26,IF(E73&lt;=$U$27,$Z$27,IF(E73&lt;=$U$28,$Z$28,0)))))))))))))</f>
        <v>3</v>
      </c>
      <c r="F74" s="5">
        <f t="shared" si="45"/>
        <v>3</v>
      </c>
      <c r="G74" s="5">
        <f t="shared" si="45"/>
        <v>3</v>
      </c>
      <c r="H74" s="5">
        <f t="shared" si="45"/>
        <v>3</v>
      </c>
      <c r="I74" s="5">
        <f t="shared" si="45"/>
        <v>3</v>
      </c>
      <c r="J74" s="5">
        <f t="shared" si="45"/>
        <v>3</v>
      </c>
    </row>
  </sheetData>
  <mergeCells count="35">
    <mergeCell ref="A59:B59"/>
    <mergeCell ref="A46:B46"/>
    <mergeCell ref="A47:B47"/>
    <mergeCell ref="A48:B48"/>
    <mergeCell ref="A49:B49"/>
    <mergeCell ref="A52:B52"/>
    <mergeCell ref="A53:B53"/>
    <mergeCell ref="A54:B54"/>
    <mergeCell ref="A55:B55"/>
    <mergeCell ref="A56:B56"/>
    <mergeCell ref="A57:B57"/>
    <mergeCell ref="A58:B58"/>
    <mergeCell ref="A45:B45"/>
    <mergeCell ref="A29:B29"/>
    <mergeCell ref="A30:B30"/>
    <mergeCell ref="A31:B31"/>
    <mergeCell ref="A32:B32"/>
    <mergeCell ref="A33:B33"/>
    <mergeCell ref="A34:A35"/>
    <mergeCell ref="A36:A37"/>
    <mergeCell ref="A38:B38"/>
    <mergeCell ref="A42:B42"/>
    <mergeCell ref="A43:B43"/>
    <mergeCell ref="A44:B44"/>
    <mergeCell ref="A28:B28"/>
    <mergeCell ref="A6:A7"/>
    <mergeCell ref="A8:A9"/>
    <mergeCell ref="A11:B11"/>
    <mergeCell ref="A12:A14"/>
    <mergeCell ref="A15:A19"/>
    <mergeCell ref="A20:A23"/>
    <mergeCell ref="A24:B24"/>
    <mergeCell ref="A25:B25"/>
    <mergeCell ref="A26:B26"/>
    <mergeCell ref="A27:B2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abSelected="1" zoomScale="76" workbookViewId="0">
      <selection activeCell="E11" sqref="E11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3" t="s">
        <v>170</v>
      </c>
      <c r="F1" s="83">
        <v>0.6</v>
      </c>
    </row>
    <row r="3" spans="1:25" x14ac:dyDescent="0.55000000000000004">
      <c r="A3" s="84" t="s">
        <v>84</v>
      </c>
      <c r="B3" s="84"/>
      <c r="C3" s="85" t="s">
        <v>78</v>
      </c>
      <c r="D3" s="86" t="s">
        <v>79</v>
      </c>
      <c r="E3" s="86" t="s">
        <v>80</v>
      </c>
      <c r="F3" s="86" t="s">
        <v>164</v>
      </c>
    </row>
    <row r="4" spans="1:25" x14ac:dyDescent="0.55000000000000004">
      <c r="A4" s="87" t="s">
        <v>165</v>
      </c>
      <c r="B4" s="7"/>
      <c r="C4" s="88" t="str">
        <f>+SIM①_推奨!D22</f>
        <v>--</v>
      </c>
      <c r="D4" s="28">
        <f>+SIM①_推奨!G49</f>
        <v>300000</v>
      </c>
      <c r="E4" s="28">
        <f>+SIM①_推奨!J49</f>
        <v>380000</v>
      </c>
      <c r="F4" s="28">
        <f>E4*(F16/E16)</f>
        <v>1707285.7142857143</v>
      </c>
    </row>
    <row r="5" spans="1:25" x14ac:dyDescent="0.55000000000000004">
      <c r="A5" s="87" t="s">
        <v>166</v>
      </c>
      <c r="B5" s="7"/>
      <c r="C5" s="88" t="str">
        <f>+SIM①_推奨!D23</f>
        <v>--</v>
      </c>
      <c r="D5" s="28">
        <f>+SIM①_推奨!G59</f>
        <v>250000</v>
      </c>
      <c r="E5" s="28">
        <f>+SIM①_推奨!J59</f>
        <v>250000</v>
      </c>
      <c r="F5" s="27">
        <f>+E5+(F25-E25)</f>
        <v>250000</v>
      </c>
    </row>
    <row r="6" spans="1:25" x14ac:dyDescent="0.55000000000000004">
      <c r="A6" s="87" t="s">
        <v>81</v>
      </c>
      <c r="B6" s="7"/>
      <c r="C6" s="7">
        <f>+SIM①_推奨!D26</f>
        <v>0</v>
      </c>
      <c r="D6" s="89">
        <f>+SIM①_推奨!G26</f>
        <v>683.17768478000005</v>
      </c>
      <c r="E6" s="89">
        <f>+SIM①_推奨!J26</f>
        <v>1335.7622839027688</v>
      </c>
      <c r="F6" s="10">
        <f>+E6*(E6/D6*0.95)+E6*(E6/D6*0.9)</f>
        <v>4831.6604887243593</v>
      </c>
    </row>
    <row r="7" spans="1:25" x14ac:dyDescent="0.55000000000000004">
      <c r="A7" s="87" t="s">
        <v>82</v>
      </c>
      <c r="B7" s="7"/>
      <c r="C7" s="90">
        <f>+SIM①_推奨!D25</f>
        <v>0.26500000000000001</v>
      </c>
      <c r="D7" s="91">
        <f>+D8/D6</f>
        <v>0.72289523062500005</v>
      </c>
      <c r="E7" s="91">
        <f>+E8/E6</f>
        <v>0.71023753505520038</v>
      </c>
      <c r="F7" s="91">
        <f>+F8/F6</f>
        <v>0.69780147223431122</v>
      </c>
    </row>
    <row r="8" spans="1:25" x14ac:dyDescent="0.55000000000000004">
      <c r="A8" s="87" t="s">
        <v>83</v>
      </c>
      <c r="B8" s="7"/>
      <c r="C8" s="7">
        <f>+SIM①_推奨!D27</f>
        <v>0</v>
      </c>
      <c r="D8" s="10">
        <f>+SIM①_推奨!G27</f>
        <v>493.86588999689172</v>
      </c>
      <c r="E8" s="10">
        <f>+SIM①_推奨!J27</f>
        <v>948.70851193880731</v>
      </c>
      <c r="F8" s="10">
        <f>+E8*(E8/D8*0.95)+E8*(E8/D8*0.9)</f>
        <v>3371.5398023682096</v>
      </c>
    </row>
    <row r="9" spans="1:25" x14ac:dyDescent="0.55000000000000004">
      <c r="A9" s="87"/>
      <c r="B9" s="7"/>
      <c r="C9" s="7"/>
      <c r="D9" s="7"/>
      <c r="E9" s="7"/>
      <c r="F9" s="7"/>
    </row>
    <row r="10" spans="1:25" x14ac:dyDescent="0.55000000000000004">
      <c r="A10" s="87" t="s">
        <v>87</v>
      </c>
      <c r="B10" s="7"/>
      <c r="C10" s="7">
        <f>+SIM①_推奨!D32</f>
        <v>0</v>
      </c>
      <c r="D10" s="10">
        <f>+SIM①_推奨!G32</f>
        <v>2024.850148987256</v>
      </c>
      <c r="E10" s="10">
        <f>+SIM①_推奨!J32</f>
        <v>3111.763919159288</v>
      </c>
      <c r="F10" s="10">
        <f>IF(E10&lt;=30000,E10*(E10/D10*0.75)+E10*(E10/D10*0.7),F1*(E10*(E10/D10*0.75)+E10*(E10/D10*0.7)))</f>
        <v>6934.072778405709</v>
      </c>
    </row>
    <row r="11" spans="1:25" x14ac:dyDescent="0.55000000000000004">
      <c r="A11" s="87" t="s">
        <v>88</v>
      </c>
      <c r="B11" s="7"/>
      <c r="C11" s="7">
        <f>+SIM①_推奨!D33</f>
        <v>0</v>
      </c>
      <c r="D11" s="10">
        <f>+SIM①_推奨!G33</f>
        <v>494.04777413698832</v>
      </c>
      <c r="E11" s="10">
        <f>+SIM①_推奨!J33</f>
        <v>759.24632678095213</v>
      </c>
      <c r="F11" s="10">
        <f>+E11*(E11/D11*0.775)+E11*(E11/D11*0.725)</f>
        <v>1750.2001271152283</v>
      </c>
    </row>
    <row r="12" spans="1:25" x14ac:dyDescent="0.55000000000000004">
      <c r="A12" s="87" t="s">
        <v>173</v>
      </c>
      <c r="B12" s="7"/>
      <c r="C12" s="28">
        <f>+IFERROR(C5/C11,0)</f>
        <v>0</v>
      </c>
      <c r="D12" s="28">
        <f>+D4/D11</f>
        <v>607.22872504394024</v>
      </c>
      <c r="E12" s="28">
        <f t="shared" ref="E12:F12" si="0">+E4/E11</f>
        <v>500.49632984214969</v>
      </c>
      <c r="F12" s="28">
        <f t="shared" si="0"/>
        <v>975.48028241761835</v>
      </c>
    </row>
    <row r="13" spans="1:25" x14ac:dyDescent="0.55000000000000004">
      <c r="A13" s="87" t="s">
        <v>174</v>
      </c>
      <c r="B13" s="7"/>
      <c r="C13" s="28">
        <f>+IFERROR(C6/C12,0)</f>
        <v>0</v>
      </c>
      <c r="D13" s="28">
        <f>+D5/D11</f>
        <v>506.02393753661693</v>
      </c>
      <c r="E13" s="28">
        <f t="shared" ref="E13:F13" si="1">+E5/E11</f>
        <v>329.2739012119406</v>
      </c>
      <c r="F13" s="28">
        <f t="shared" si="1"/>
        <v>142.84080781782546</v>
      </c>
    </row>
    <row r="14" spans="1:25" x14ac:dyDescent="0.55000000000000004">
      <c r="A14" s="87"/>
      <c r="B14" s="7"/>
      <c r="C14" s="7"/>
      <c r="D14" s="7"/>
      <c r="E14" s="7"/>
      <c r="F14" s="7"/>
      <c r="R14" s="29" t="s">
        <v>45</v>
      </c>
    </row>
    <row r="15" spans="1:25" x14ac:dyDescent="0.55000000000000004">
      <c r="A15" s="87" t="s">
        <v>85</v>
      </c>
      <c r="B15" s="7"/>
      <c r="C15" s="89">
        <f>+SIM①_推奨!D14</f>
        <v>90</v>
      </c>
      <c r="D15" s="89">
        <f>+SIM①_推奨!E14</f>
        <v>90</v>
      </c>
      <c r="E15" s="89">
        <f>+SIM①_推奨!F14</f>
        <v>90</v>
      </c>
      <c r="F15" s="89">
        <f>+SIM①_推奨!G14</f>
        <v>90</v>
      </c>
      <c r="R15" s="5" t="s">
        <v>57</v>
      </c>
    </row>
    <row r="16" spans="1:25" x14ac:dyDescent="0.55000000000000004">
      <c r="A16" s="87" t="s">
        <v>86</v>
      </c>
      <c r="B16" s="7"/>
      <c r="C16" s="89">
        <f>SUM(C17:C20)</f>
        <v>0</v>
      </c>
      <c r="D16" s="89">
        <f>SUM(D17:D20)</f>
        <v>3</v>
      </c>
      <c r="E16" s="89">
        <f>SUM(E17:E20)</f>
        <v>7</v>
      </c>
      <c r="F16" s="89">
        <f>SUM(F17:F20)</f>
        <v>31.45</v>
      </c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7" t="s">
        <v>89</v>
      </c>
      <c r="B17" s="7"/>
      <c r="C17" s="89">
        <f>+SIM①_推奨!D34</f>
        <v>0</v>
      </c>
      <c r="D17" s="89">
        <f>+SIM①_推奨!G34</f>
        <v>2</v>
      </c>
      <c r="E17" s="89">
        <f>+SIM①_推奨!J34</f>
        <v>4</v>
      </c>
      <c r="F17" s="10">
        <f>+IF($E$10&lt;=30000,IFERROR(E17*(E17/D17*0.95)+E17*(E17/D17*0.9),0),IFERROR(E17*(E17/D17*0.95)+E17*(E17/D17*0.9),0)*$F$1*1.2)</f>
        <v>14.8</v>
      </c>
      <c r="R17" s="5">
        <v>0</v>
      </c>
      <c r="S17" s="5" t="s">
        <v>61</v>
      </c>
      <c r="T17" s="34">
        <v>50000</v>
      </c>
      <c r="V17" s="5">
        <v>0</v>
      </c>
      <c r="W17" s="5" t="s">
        <v>61</v>
      </c>
      <c r="X17" s="34">
        <v>150000</v>
      </c>
      <c r="Y17" s="35">
        <v>3</v>
      </c>
    </row>
    <row r="18" spans="1:25" x14ac:dyDescent="0.55000000000000004">
      <c r="A18" s="87" t="s">
        <v>90</v>
      </c>
      <c r="B18" s="7"/>
      <c r="C18" s="89">
        <f>+SIM①_推奨!D35</f>
        <v>0</v>
      </c>
      <c r="D18" s="89">
        <f>+SIM①_推奨!G35</f>
        <v>1</v>
      </c>
      <c r="E18" s="89">
        <f>+SIM①_推奨!J35</f>
        <v>3</v>
      </c>
      <c r="F18" s="10">
        <f>+IFERROR(E18*(E18/D18*0.95)+E18*(E18/D18*0.9),0)</f>
        <v>16.649999999999999</v>
      </c>
      <c r="R18" s="34">
        <v>50000</v>
      </c>
      <c r="S18" s="5" t="s">
        <v>61</v>
      </c>
      <c r="T18" s="34">
        <v>100000</v>
      </c>
      <c r="V18" s="34">
        <v>150000</v>
      </c>
      <c r="W18" s="5" t="s">
        <v>61</v>
      </c>
      <c r="X18" s="34">
        <v>290000</v>
      </c>
      <c r="Y18" s="35">
        <v>2.8</v>
      </c>
    </row>
    <row r="19" spans="1:25" x14ac:dyDescent="0.55000000000000004">
      <c r="A19" s="87" t="s">
        <v>92</v>
      </c>
      <c r="B19" s="7"/>
      <c r="C19" s="89">
        <f>+SIM①_推奨!D36</f>
        <v>0</v>
      </c>
      <c r="D19" s="89">
        <f>+SIM①_推奨!G36</f>
        <v>0</v>
      </c>
      <c r="E19" s="89">
        <f>+SIM①_推奨!J36</f>
        <v>0</v>
      </c>
      <c r="F19" s="10">
        <f>+IF($E$10&lt;=30000,IFERROR(E19*(E19/D19*0.95)+E19*(E19/D19*0.9),0),IFERROR(E19*(E19/D19*0.95)+E19*(E19/D19*0.9),0)*$F$1*1.2)</f>
        <v>0</v>
      </c>
      <c r="R19" s="34">
        <v>100000</v>
      </c>
      <c r="S19" s="5" t="s">
        <v>61</v>
      </c>
      <c r="T19" s="34">
        <v>200000</v>
      </c>
      <c r="V19" s="34">
        <v>290000</v>
      </c>
      <c r="W19" s="5" t="s">
        <v>61</v>
      </c>
      <c r="X19" s="34">
        <v>550000</v>
      </c>
      <c r="Y19" s="35">
        <v>2.6</v>
      </c>
    </row>
    <row r="20" spans="1:25" x14ac:dyDescent="0.55000000000000004">
      <c r="A20" s="87" t="s">
        <v>91</v>
      </c>
      <c r="B20" s="7"/>
      <c r="C20" s="89">
        <f>+SIM①_推奨!D37</f>
        <v>0</v>
      </c>
      <c r="D20" s="89">
        <f>+SIM①_推奨!G37</f>
        <v>0</v>
      </c>
      <c r="E20" s="89">
        <f>+SIM①_推奨!J37</f>
        <v>0</v>
      </c>
      <c r="F20" s="10">
        <f t="shared" ref="F20" si="2">+IFERROR(E20*(E20/D20*0.95)+E20*(E20/D20*0.9),0)</f>
        <v>0</v>
      </c>
      <c r="R20" s="34">
        <v>200000</v>
      </c>
      <c r="S20" s="5" t="s">
        <v>61</v>
      </c>
      <c r="T20" s="34">
        <v>300000</v>
      </c>
      <c r="V20" s="34">
        <v>550000</v>
      </c>
      <c r="W20" s="5" t="s">
        <v>61</v>
      </c>
      <c r="X20" s="34">
        <v>790000</v>
      </c>
      <c r="Y20" s="35">
        <v>2.4</v>
      </c>
    </row>
    <row r="21" spans="1:25" x14ac:dyDescent="0.55000000000000004">
      <c r="A21" s="87"/>
      <c r="B21" s="7"/>
      <c r="C21" s="7"/>
      <c r="D21" s="7"/>
      <c r="E21" s="7"/>
      <c r="F21" s="7"/>
      <c r="R21" s="34">
        <v>300000</v>
      </c>
      <c r="S21" s="5" t="s">
        <v>61</v>
      </c>
      <c r="T21" s="34">
        <v>400000</v>
      </c>
      <c r="V21" s="34">
        <v>790000</v>
      </c>
      <c r="W21" s="5" t="s">
        <v>61</v>
      </c>
      <c r="X21" s="34">
        <v>1010000</v>
      </c>
      <c r="Y21" s="35">
        <v>2.2000000000000002</v>
      </c>
    </row>
    <row r="22" spans="1:25" x14ac:dyDescent="0.55000000000000004">
      <c r="A22" s="87" t="s">
        <v>167</v>
      </c>
      <c r="B22" s="7"/>
      <c r="C22" s="92" t="str">
        <f>+IFERROR(C4/C16,"--")</f>
        <v>--</v>
      </c>
      <c r="D22" s="92">
        <f t="shared" ref="D22:E22" si="3">+IFERROR(D4/D16,"--")</f>
        <v>100000</v>
      </c>
      <c r="E22" s="92">
        <f t="shared" si="3"/>
        <v>54285.714285714283</v>
      </c>
      <c r="F22" s="92">
        <f>+IFERROR(F4/F16,"--")*0.95</f>
        <v>51571.428571428572</v>
      </c>
      <c r="R22" s="34">
        <v>400000</v>
      </c>
      <c r="S22" s="5" t="s">
        <v>61</v>
      </c>
      <c r="T22" s="34">
        <v>500000</v>
      </c>
      <c r="V22" s="34">
        <v>1010000</v>
      </c>
      <c r="W22" s="5" t="s">
        <v>61</v>
      </c>
      <c r="X22" s="34">
        <v>1210000</v>
      </c>
      <c r="Y22" s="35">
        <v>2</v>
      </c>
    </row>
    <row r="23" spans="1:25" x14ac:dyDescent="0.55000000000000004">
      <c r="A23" s="87" t="s">
        <v>168</v>
      </c>
      <c r="B23" s="7"/>
      <c r="C23" s="92" t="str">
        <f>+IFERROR(C5/C16,"--")</f>
        <v>--</v>
      </c>
      <c r="D23" s="92">
        <f t="shared" ref="D23" si="4">+IFERROR(D5/D16,"--")</f>
        <v>83333.333333333328</v>
      </c>
      <c r="E23" s="92">
        <f t="shared" ref="E23:F23" si="5">+IFERROR(E5/E16,"--")</f>
        <v>35714.285714285717</v>
      </c>
      <c r="F23" s="92">
        <f t="shared" si="5"/>
        <v>7949.1255961844199</v>
      </c>
      <c r="R23" s="34">
        <v>500000</v>
      </c>
      <c r="S23" s="5" t="s">
        <v>61</v>
      </c>
      <c r="T23" s="34">
        <v>600000</v>
      </c>
      <c r="V23" s="34">
        <v>1210000</v>
      </c>
      <c r="W23" s="5" t="s">
        <v>61</v>
      </c>
      <c r="X23" s="34">
        <v>1400000</v>
      </c>
      <c r="Y23" s="35">
        <v>1.9</v>
      </c>
    </row>
    <row r="24" spans="1:25" x14ac:dyDescent="0.55000000000000004">
      <c r="A24" s="87"/>
      <c r="B24" s="7"/>
      <c r="C24" s="7"/>
      <c r="D24" s="7"/>
      <c r="E24" s="7"/>
      <c r="F24" s="7"/>
      <c r="R24" s="34">
        <v>600000</v>
      </c>
      <c r="S24" s="5" t="s">
        <v>61</v>
      </c>
      <c r="T24" s="34">
        <v>700000</v>
      </c>
      <c r="V24" s="34">
        <v>1400000</v>
      </c>
      <c r="W24" s="5" t="s">
        <v>61</v>
      </c>
      <c r="X24" s="34">
        <v>1580000</v>
      </c>
      <c r="Y24" s="35">
        <v>1.8</v>
      </c>
    </row>
    <row r="25" spans="1:25" x14ac:dyDescent="0.55000000000000004">
      <c r="A25" s="87" t="s">
        <v>175</v>
      </c>
      <c r="B25" s="7"/>
      <c r="C25" s="10">
        <f>15000+C29*C30</f>
        <v>15000</v>
      </c>
      <c r="D25" s="10">
        <f>15000+D29*D30</f>
        <v>15000</v>
      </c>
      <c r="E25" s="10">
        <f>15000+E29*E30</f>
        <v>15000</v>
      </c>
      <c r="F25" s="10">
        <f>15000+F29*F30</f>
        <v>15000</v>
      </c>
      <c r="R25" s="34">
        <v>700000</v>
      </c>
      <c r="S25" s="5" t="s">
        <v>61</v>
      </c>
      <c r="T25" s="34">
        <v>800000</v>
      </c>
      <c r="V25" s="34">
        <v>1580000</v>
      </c>
      <c r="W25" s="5" t="s">
        <v>61</v>
      </c>
      <c r="X25" s="34">
        <v>1750000</v>
      </c>
      <c r="Y25" s="35">
        <v>1.7</v>
      </c>
    </row>
    <row r="26" spans="1:25" x14ac:dyDescent="0.55000000000000004">
      <c r="R26" s="34">
        <v>800000</v>
      </c>
      <c r="S26" s="5" t="s">
        <v>61</v>
      </c>
      <c r="T26" s="34">
        <v>900000</v>
      </c>
      <c r="V26" s="34">
        <v>1750000</v>
      </c>
      <c r="W26" s="5" t="s">
        <v>61</v>
      </c>
      <c r="X26" s="34">
        <v>1910000</v>
      </c>
      <c r="Y26" s="35">
        <v>1.6</v>
      </c>
    </row>
    <row r="27" spans="1:25" x14ac:dyDescent="0.55000000000000004">
      <c r="R27" s="34">
        <v>900000</v>
      </c>
      <c r="S27" s="5" t="s">
        <v>61</v>
      </c>
      <c r="T27" s="34">
        <v>1000000</v>
      </c>
      <c r="V27" s="34">
        <v>1910000</v>
      </c>
      <c r="W27" s="5" t="s">
        <v>61</v>
      </c>
      <c r="X27" s="34">
        <v>2060000</v>
      </c>
      <c r="Y27" s="35">
        <v>1.5</v>
      </c>
    </row>
    <row r="28" spans="1:25" x14ac:dyDescent="0.55000000000000004">
      <c r="R28" s="34">
        <v>1000000</v>
      </c>
      <c r="S28" s="5" t="s">
        <v>61</v>
      </c>
      <c r="T28" s="34">
        <v>3000000</v>
      </c>
      <c r="V28" s="34">
        <v>2060000</v>
      </c>
      <c r="W28" s="5" t="s">
        <v>61</v>
      </c>
      <c r="X28" s="34">
        <v>4860000</v>
      </c>
      <c r="Y28" s="35">
        <v>1.4</v>
      </c>
    </row>
    <row r="29" spans="1:25" x14ac:dyDescent="0.55000000000000004">
      <c r="A29" s="29" t="s">
        <v>171</v>
      </c>
      <c r="C29" s="5">
        <f>+IF(C10&lt;=30000,0,C10-30000)</f>
        <v>0</v>
      </c>
      <c r="D29" s="93">
        <f>+IF(D10&lt;=30000,0,D10-30000)</f>
        <v>0</v>
      </c>
      <c r="E29" s="93">
        <f>+IF(E10&lt;=30000,0,E10-30000)</f>
        <v>0</v>
      </c>
      <c r="F29" s="93">
        <f>+IF(F10&lt;=30000,0,F10-30000)</f>
        <v>0</v>
      </c>
      <c r="R29" s="34">
        <v>3000000</v>
      </c>
      <c r="S29" s="5" t="s">
        <v>61</v>
      </c>
      <c r="T29" s="34">
        <v>5000000</v>
      </c>
      <c r="V29" s="34">
        <v>4860000</v>
      </c>
      <c r="W29" s="5" t="s">
        <v>61</v>
      </c>
      <c r="X29" s="34">
        <v>7460000</v>
      </c>
      <c r="Y29" s="35">
        <v>1.3</v>
      </c>
    </row>
    <row r="30" spans="1:25" x14ac:dyDescent="0.55000000000000004">
      <c r="A30" s="29" t="s">
        <v>169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F30" s="5">
        <f>+IF(F29&lt;=$T$17,$Y$17,IF(F29&lt;=$T$18,$Y$18,IF(F29&lt;=$T$19,$Y$19,IF(F29&lt;=$T$20,$Y$20,IF(F29&lt;=$T$21,$Y$21,IF(F29&lt;=$T$22,$Y$22,IF(F29&lt;=$T$23,$Y$23,IF(F29&lt;=$T$24,$Y$24,IF(F29&lt;=$T$25,$Y$25,IF(F29&lt;=$T$26,$Y$26,IF(F29&lt;=$T$27,$Y$27,IF(F29&lt;=$T$28,$Y$28,IF(F29&lt;=$T$29,$Y$29,0)))))))))))))</f>
        <v>3</v>
      </c>
      <c r="R30" s="34">
        <v>5000000</v>
      </c>
      <c r="S30" s="5" t="s">
        <v>61</v>
      </c>
      <c r="T30" s="34">
        <v>7000000</v>
      </c>
      <c r="V30" s="34">
        <v>7460000</v>
      </c>
      <c r="W30" s="5" t="s">
        <v>61</v>
      </c>
      <c r="X30" s="34">
        <v>9860000</v>
      </c>
      <c r="Y30" s="35">
        <v>1.2</v>
      </c>
    </row>
    <row r="31" spans="1:25" x14ac:dyDescent="0.55000000000000004">
      <c r="R31" s="34">
        <v>7000000</v>
      </c>
      <c r="S31" s="5" t="s">
        <v>61</v>
      </c>
      <c r="T31" s="34">
        <v>10000000</v>
      </c>
      <c r="V31" s="34">
        <v>9860000</v>
      </c>
      <c r="W31" s="5" t="s">
        <v>61</v>
      </c>
      <c r="X31" s="5" t="e">
        <v>#REF!</v>
      </c>
      <c r="Y31" s="35"/>
    </row>
    <row r="35" spans="1:6" x14ac:dyDescent="0.55000000000000004">
      <c r="A35" s="94" t="s">
        <v>123</v>
      </c>
      <c r="B35" s="94"/>
      <c r="C35" s="95" t="s">
        <v>161</v>
      </c>
      <c r="D35" s="96" t="s">
        <v>162</v>
      </c>
      <c r="E35" s="96" t="s">
        <v>163</v>
      </c>
      <c r="F35" s="96" t="s">
        <v>163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topLeftCell="A17" workbookViewId="0">
      <selection activeCell="I29" sqref="I29:J33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93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100</v>
      </c>
    </row>
    <row r="4" spans="1:7" x14ac:dyDescent="0.55000000000000004">
      <c r="A4" t="s">
        <v>98</v>
      </c>
      <c r="B4" t="s">
        <v>99</v>
      </c>
      <c r="E4">
        <v>1000</v>
      </c>
    </row>
    <row r="5" spans="1:7" x14ac:dyDescent="0.55000000000000004">
      <c r="A5" t="s">
        <v>40</v>
      </c>
      <c r="B5" s="60">
        <v>8.5000000000000006E-2</v>
      </c>
    </row>
    <row r="6" spans="1:7" x14ac:dyDescent="0.55000000000000004">
      <c r="A6" t="s">
        <v>102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101</v>
      </c>
    </row>
    <row r="9" spans="1:7" x14ac:dyDescent="0.55000000000000004">
      <c r="A9" t="s">
        <v>98</v>
      </c>
      <c r="B9" t="s">
        <v>99</v>
      </c>
      <c r="E9">
        <v>1000</v>
      </c>
    </row>
    <row r="10" spans="1:7" x14ac:dyDescent="0.55000000000000004">
      <c r="A10" t="s">
        <v>40</v>
      </c>
      <c r="B10" s="60">
        <v>5.0000000000000001E-3</v>
      </c>
    </row>
    <row r="11" spans="1:7" x14ac:dyDescent="0.55000000000000004">
      <c r="A11" t="s">
        <v>102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103</v>
      </c>
      <c r="D13" t="s">
        <v>106</v>
      </c>
    </row>
    <row r="14" spans="1:7" x14ac:dyDescent="0.55000000000000004">
      <c r="A14" t="s">
        <v>104</v>
      </c>
      <c r="B14" t="s">
        <v>99</v>
      </c>
      <c r="E14">
        <v>1000</v>
      </c>
    </row>
    <row r="15" spans="1:7" x14ac:dyDescent="0.55000000000000004">
      <c r="A15" t="s">
        <v>40</v>
      </c>
      <c r="B15" s="60">
        <v>0.9</v>
      </c>
      <c r="C15" t="s">
        <v>105</v>
      </c>
    </row>
    <row r="16" spans="1:7" x14ac:dyDescent="0.55000000000000004">
      <c r="A16" t="s">
        <v>102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107</v>
      </c>
      <c r="D18" t="s">
        <v>106</v>
      </c>
    </row>
    <row r="19" spans="1:10" x14ac:dyDescent="0.55000000000000004">
      <c r="A19" t="s">
        <v>98</v>
      </c>
      <c r="B19" s="60">
        <v>0.7</v>
      </c>
      <c r="C19" t="s">
        <v>99</v>
      </c>
      <c r="E19">
        <v>1000</v>
      </c>
    </row>
    <row r="20" spans="1:10" x14ac:dyDescent="0.55000000000000004">
      <c r="A20" t="s">
        <v>40</v>
      </c>
      <c r="B20" s="60">
        <v>1</v>
      </c>
    </row>
    <row r="21" spans="1:10" x14ac:dyDescent="0.55000000000000004">
      <c r="A21" t="s">
        <v>102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94</v>
      </c>
      <c r="B23" s="59"/>
      <c r="C23" s="59" t="s">
        <v>97</v>
      </c>
      <c r="D23" s="59"/>
      <c r="E23" s="59"/>
      <c r="F23" s="59"/>
      <c r="G23" s="59"/>
      <c r="I23" s="67" t="s">
        <v>113</v>
      </c>
      <c r="J23" s="68"/>
    </row>
    <row r="24" spans="1:10" x14ac:dyDescent="0.55000000000000004">
      <c r="A24" s="54" t="s">
        <v>95</v>
      </c>
      <c r="I24" s="66">
        <v>1</v>
      </c>
      <c r="J24" t="s">
        <v>114</v>
      </c>
    </row>
    <row r="25" spans="1:10" x14ac:dyDescent="0.55000000000000004">
      <c r="A25" t="s">
        <v>39</v>
      </c>
      <c r="B25" s="61">
        <v>0.8</v>
      </c>
      <c r="I25" s="66">
        <v>2</v>
      </c>
      <c r="J25" t="s">
        <v>115</v>
      </c>
    </row>
    <row r="26" spans="1:10" x14ac:dyDescent="0.55000000000000004">
      <c r="A26" t="s">
        <v>40</v>
      </c>
      <c r="B26" s="61">
        <v>0.06</v>
      </c>
      <c r="I26" s="66">
        <v>3</v>
      </c>
      <c r="J26" t="s">
        <v>116</v>
      </c>
    </row>
    <row r="27" spans="1:10" x14ac:dyDescent="0.55000000000000004">
      <c r="A27" t="s">
        <v>96</v>
      </c>
      <c r="B27" s="61">
        <v>3.0000000000000001E-3</v>
      </c>
      <c r="I27" s="66">
        <v>4</v>
      </c>
      <c r="J27" t="s">
        <v>117</v>
      </c>
    </row>
    <row r="29" spans="1:10" x14ac:dyDescent="0.55000000000000004">
      <c r="A29" s="54" t="s">
        <v>112</v>
      </c>
      <c r="I29" s="67" t="s">
        <v>118</v>
      </c>
      <c r="J29" s="68"/>
    </row>
    <row r="30" spans="1:10" x14ac:dyDescent="0.55000000000000004">
      <c r="A30" t="s">
        <v>39</v>
      </c>
      <c r="B30" s="61">
        <v>0.75</v>
      </c>
      <c r="I30" s="66">
        <v>1</v>
      </c>
      <c r="J30" t="s">
        <v>119</v>
      </c>
    </row>
    <row r="31" spans="1:10" x14ac:dyDescent="0.55000000000000004">
      <c r="A31" t="s">
        <v>40</v>
      </c>
      <c r="B31" s="61">
        <v>0.08</v>
      </c>
      <c r="I31" s="66">
        <v>2</v>
      </c>
      <c r="J31" t="s">
        <v>120</v>
      </c>
    </row>
    <row r="32" spans="1:10" x14ac:dyDescent="0.55000000000000004">
      <c r="A32" t="s">
        <v>96</v>
      </c>
      <c r="B32" s="61">
        <v>6.0000000000000001E-3</v>
      </c>
      <c r="I32" s="66">
        <v>3</v>
      </c>
      <c r="J32" t="s">
        <v>121</v>
      </c>
    </row>
    <row r="33" spans="1:10" x14ac:dyDescent="0.55000000000000004">
      <c r="I33" s="66">
        <v>4</v>
      </c>
      <c r="J33" t="s">
        <v>122</v>
      </c>
    </row>
    <row r="34" spans="1:10" x14ac:dyDescent="0.55000000000000004">
      <c r="A34" s="54" t="s">
        <v>108</v>
      </c>
    </row>
    <row r="35" spans="1:10" x14ac:dyDescent="0.55000000000000004">
      <c r="A35" t="s">
        <v>39</v>
      </c>
      <c r="B35" s="62" t="s">
        <v>20</v>
      </c>
    </row>
    <row r="36" spans="1:10" x14ac:dyDescent="0.55000000000000004">
      <c r="A36" t="s">
        <v>40</v>
      </c>
      <c r="B36" s="61">
        <v>0.02</v>
      </c>
    </row>
    <row r="37" spans="1:10" x14ac:dyDescent="0.55000000000000004">
      <c r="A37" t="s">
        <v>96</v>
      </c>
      <c r="B37" s="61">
        <v>4.0000000000000001E-3</v>
      </c>
    </row>
    <row r="39" spans="1:10" x14ac:dyDescent="0.55000000000000004">
      <c r="A39" s="54" t="s">
        <v>109</v>
      </c>
      <c r="E39" s="54" t="s">
        <v>110</v>
      </c>
    </row>
    <row r="40" spans="1:10" x14ac:dyDescent="0.55000000000000004">
      <c r="A40" t="s">
        <v>39</v>
      </c>
      <c r="B40" s="62">
        <v>1</v>
      </c>
      <c r="E40" t="s">
        <v>39</v>
      </c>
      <c r="F40" s="62" t="s">
        <v>20</v>
      </c>
    </row>
    <row r="41" spans="1:10" x14ac:dyDescent="0.55000000000000004">
      <c r="A41" t="s">
        <v>40</v>
      </c>
      <c r="B41" s="61">
        <v>3.5000000000000003E-2</v>
      </c>
      <c r="E41" t="s">
        <v>111</v>
      </c>
      <c r="F41" s="61">
        <v>0.25</v>
      </c>
    </row>
    <row r="42" spans="1:10" x14ac:dyDescent="0.55000000000000004">
      <c r="A42" t="s">
        <v>96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SIM①_推奨</vt:lpstr>
      <vt:lpstr>SIM①_比較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2026-09-01T18:35:14Z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
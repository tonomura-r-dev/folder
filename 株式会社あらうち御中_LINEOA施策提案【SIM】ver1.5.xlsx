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FC02200C-28AD-4498-8E09-DD0D77A1FFB8}" xr6:coauthVersionLast="47" xr6:coauthVersionMax="47" xr10:uidLastSave="{00000000-0000-0000-0000-000000000000}"/>
  <bookViews>
    <workbookView xWindow="-110" yWindow="-110" windowWidth="19420" windowHeight="11500" xr2:uid="{02433765-3560-48F5-BC99-B30FC64129A4}"/>
  </bookViews>
  <sheets>
    <sheet name="SIM_離脱防止＋サイトのボタン" sheetId="1" r:id="rId1"/>
    <sheet name="SIM_比較" sheetId="2" r:id="rId2"/>
    <sheet name="SIM考え方" sheetId="3" r:id="rId3"/>
    <sheet name="AD提案0914" sheetId="4" r:id="rId101"/>
    <sheet name="SIM_AD30万" sheetId="5" r:id="rId102"/>
    <sheet name="SIM_AD100万" sheetId="6" r:id="rId10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<sst xmlns="http://schemas.openxmlformats.org/spreadsheetml/2006/main" count="283" uniqueCount="198">
  <si>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</si>
  <si>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</si>
  <si>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</si>
  <si>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</si>
  <si>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</si>
  <si>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</si>
  <si>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</si>
  <si>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</si>
  <si>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</si>
  <si>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</si>
  <si>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</si>
  <si>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</si>
  <si>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</si>
  <si>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</si>
  <si>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</si>
  <si>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</si>
  <si>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</si>
  <si>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</si>
  <si>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</si>
  <si>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</si>
  <si>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</si>
  <si>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</si>
  <si>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</si>
  <si>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</si>
  <si>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</si>
  <si>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</si>
  <si>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</si>
  <si>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</si>
  <si>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</si>
  <si>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</si>
  <si>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</si>
  <si>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</si>
  <si>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</si>
  <si>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</si>
  <si>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</si>
  <si>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</si>
  <si>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</si>
  <si>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</si>
  <si>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</si>
  <si>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</si>
  <si>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</si>
  <si>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</si>
  <si>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</si>
  <si>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</si>
  <si>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</si>
  <si>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</si>
  <si>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</si>
  <si>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</si>
  <si>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</si>
  <si>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</si>
  <si>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</si>
  <si>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</si>
  <si>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</si>
  <si>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</si>
  <si>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</si>
  <si>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</si>
  <si>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</si>
  <si>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</si>
  <si>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</si>
  <si>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</si>
  <si>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</si>
  <si>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</si>
  <si>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</si>
  <si>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</si>
  <si>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</si>
  <si>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</si>
  <si>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</si>
  <si>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</si>
  <si>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</si>
  <si>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</si>
  <si>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</si>
  <si>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</si>
  <si>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</si>
  <si>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</si>
  <si>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</si>
  <si>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</si>
  <si>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</si>
  <si>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</si>
  <si>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</si>
  <si>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</si>
  <si>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</si>
  <si>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</si>
  <si>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</si>
  <si>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</si>
  <si>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</si>
  <si>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</si>
  <si>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</si>
  <si>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</si>
  <si>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</si>
  <si>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</si>
  <si>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</si>
  <si>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</si>
  <si>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</si>
  <si>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</si>
  <si>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</si>
  <si>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</si>
  <si>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</si>
  <si>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</si>
  <si>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</si>
  <si>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</si>
  <si>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</si>
  <si>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</si>
  <si>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</si>
  <si>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</si>
  <si>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</si>
  <si>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</si>
  <si>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</si>
  <si>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</si>
  <si>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</si>
  <si>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</si>
  <si>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</si>
  <si>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</si>
  <si>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</si>
  <si>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</si>
  <si>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</si>
  <si>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</si>
  <si>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</si>
  <si>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</si>
  <si>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</si>
  <si>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</si>
  <si>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</si>
  <si>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</si>
  <si>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</si>
  <si>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</si>
  <si>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</si>
  <si>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</si>
  <si>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</si>
  <si>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</si>
  <si>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</si>
  <si>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</si>
  <si>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</si>
  <si>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</si>
  <si>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</si>
  <si>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</si>
  <si>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</si>
  <si>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</si>
  <si>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</si>
  <si>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</si>
  <si>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</si>
  <si>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</si>
  <si>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</si>
  <si>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</si>
  <si>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</si>
  <si>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</si>
  <si>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</si>
  <si>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</si>
  <si>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</si>
  <si>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</si>
  <si>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</si>
  <si>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</si>
  <si>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</si>
  <si>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</si>
  <si>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</si>
  <si>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</si>
  <si>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</si>
  <si>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</si>
  <si>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</si>
  <si>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</si>
  <si>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</si>
  <si>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</si>
  <si>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</si>
  <si>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</si>
  <si>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</si>
  <si>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</si>
  <si>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</si>
  <si>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</si>
  <si>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株式会社あらうち御中_LINEOA施策提案【SIM】（離脱防止＋サイトのLINEボタン）</t>
  </si>
  <si>
    <t>問い合わせ①（LINEで物件URL送付）</t>
  </si>
  <si>
    <t>UU 1,737/月・友だち1,241人（2026-10-09 殿村さん提供）。ターゲット＝都内在住の女性オフィスワーカー</t>
  </si>
  <si>
    <t>問い合わせ②（配信経由）</t>
  </si>
  <si>
    <t>サイトのフォームの問い合わせ 月30件（仮置き。UUの約1.7%）。今の状態の参考値（サンクスLINEは入れないのでSIMの計算には使わない）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</si>
  <si>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</si>
  <si>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</si>
  <si>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</si>
  <si>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</si>
  <si>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</si>
  <si>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</si>
  <si>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友だち追加広告（CPF）は使わない（30万／100万はADの提案予算でLINEのSIMには入れない）</t>
  </si>
  <si>
    <t>離脱防止＝UU×表示55%×クリック12%×追加12%（FMTの式）。3か月目以降は前月の1.01倍（FMTの式）</t>
  </si>
  <si>
    <t>サンクスLINEは入れない：問い合わせ済みの方が友だちになるのでCVは増えず、費用だけCPAに乗る。問い合わせ月30件（仮）×15%＝月4〜5人、月3万で1人約6,700円（初期10万込みで約1万円）＝離脱防止（約2,200円）の3〜5倍</t>
  </si>
  <si>
    <t>サイトのLINEボタン＝UU×0.5%（FMTのP15）＝月約9人。リンク先を友だち追加URLに差し替える前提</t>
  </si>
  <si>
    <t>ブロック率：現状35%（仮置き）から前月の1.01倍ずつ上昇（6か月目で37%。用済み型。友だち追加広告の流入が無いので上げ幅は小さい）</t>
  </si>
  <si>
    <t>企画配信：有効な友だち×80%（FMT）。4か月目からは反応しない方・問い合わせ済みの方を外して、さらに8割に絞る想定（FMTのQ24）</t>
  </si>
  <si>
    <t>ステップ配信10通（サイト経由・サンクスLINE経由で各10通。企画案の表2）</t>
  </si>
  <si>
    <t>ステップ配信の対象＝その月の新しい友だち（開始条件＝友だち追加）。FMTの「ターゲット数×20%」は使わない</t>
  </si>
  <si>
    <t>問い合わせ①＝（新規友だち−サンクスLINE経由）×25%（LINEで物件URLを送る＝問い合わせ。仮置き）。サンクスLINE経由はフォームで問い合わせ済みなので数えない</t>
  </si>
  <si>
    <t>問い合わせ②＝配信クリック×0.4〜0.8%（運用が育つ想定で月ごとに上げる）</t>
  </si>
  <si>
    <t>CVR＝LINEのクリック経由の問い合わせ（②）÷クリック（2026-10-09 殿村さん確定）。①は友だち追加の直後に物件URLを送る問い合わせで、クリックを通らないので入れない</t>
  </si>
  <si>
    <t>友だち獲得単価＝離脱防止の月額÷増えた友だち（無料のサイトのボタン経由も含む）</t>
  </si>
  <si>
    <t>従量課金は54行（新料金テーブル）で計算。65行の旧式（2.75円）は二重計上になるため0</t>
  </si>
  <si>
    <t>離脱防止：初期1.5万・月3万（資料S19）</t>
  </si>
  <si>
    <t>サンクスLINE</t>
  </si>
  <si>
    <t>サンクスLINE：入れない（0）。入れる目安＝問い合わせ後の来店・内見・成約を追いたい案件で、フォームの問い合わせが月100件以上（友だち月15人・1人約2,000円で離脱防止並み）。費用は初期10万・月3万〜</t>
  </si>
  <si>
    <t>アカウント費：配信5,000通未満は月5,000円（FMTの式）。初期は0（アカウントは既にある）</t>
  </si>
  <si>
    <t>LINE運用コンサル</t>
  </si>
  <si>
    <t>LINE運用コンサル：初期20万（アカウントの作り直し：あいさつ・リッチメニュー・自動応答・ステップ配信）／月10万（企画4本＋ステップ10本の運用）。2026-10-09 殿村さん確定</t>
  </si>
  <si>
    <t>CV①_問い合わせ①（LINEで物件URL送付）</t>
  </si>
  <si>
    <t>CV②_問い合わせ②（配信経由）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</si>
</sst>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01" Type="http://schemas.openxmlformats.org/officeDocument/2006/relationships/worksheet" Target="worksheets/sheet4.xml"/><Relationship Id="rId102" Type="http://schemas.openxmlformats.org/officeDocument/2006/relationships/worksheet" Target="worksheets/sheet5.xml"/><Relationship Id="rId103" Type="http://schemas.openxmlformats.org/officeDocument/2006/relationships/worksheet" Target="worksheets/sheet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9" zoomScale="55" zoomScaleNormal="55" workbookViewId="0">
      <selection activeCell="I38" sqref="I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s">
        <v>166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167</v>
      </c>
      <c r="D8" s="33">
        <v>0</v>
      </c>
      <c r="G8" s="121" t="s">
        <v>66</v>
      </c>
      <c r="H8" s="122">
        <v>1737</v>
      </c>
      <c r="I8" s="123"/>
      <c r="J8" s="123" t="s">
        <v>71</v>
      </c>
      <c r="K8" s="129">
        <v>0</v>
      </c>
      <c r="N8" s="69" t="s">
        <v>168</v>
      </c>
      <c r="O8" s="35" t="s">
        <v>160</v>
      </c>
    </row>
    <row r="9" spans="1:25" ht="18" thickBot="1" x14ac:dyDescent="0.6">
      <c r="A9" s="138"/>
      <c r="B9" s="19" t="s">
        <v>8</v>
      </c>
      <c r="C9" s="38" t="s">
        <v>169</v>
      </c>
      <c r="D9" s="33">
        <v>0</v>
      </c>
      <c r="G9" s="124" t="s">
        <v>152</v>
      </c>
      <c r="H9" s="125">
        <v>0</v>
      </c>
      <c r="I9" s="22"/>
      <c r="J9" s="29"/>
      <c r="K9" s="118"/>
      <c r="N9" s="132" t="s">
        <v>115</v>
      </c>
      <c r="O9" s="130" t="s">
        <v>159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170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171</v>
      </c>
      <c r="F13" s="36" t="s">
        <v>172</v>
      </c>
      <c r="G13" s="36" t="s">
        <v>173</v>
      </c>
      <c r="H13" s="36" t="s">
        <v>174</v>
      </c>
      <c r="I13" s="36" t="s">
        <v>175</v>
      </c>
      <c r="J13" s="36" t="s">
        <v>176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1737</v>
      </c>
      <c r="E14" s="43">
        <f>+D14</f>
        <v>1737</v>
      </c>
      <c r="F14" s="43">
        <f t="shared" ref="F14:J14" si="0">+E14</f>
        <v>1737</v>
      </c>
      <c r="G14" s="43">
        <f t="shared" si="0"/>
        <v>1737</v>
      </c>
      <c r="H14" s="43">
        <f t="shared" si="0"/>
        <v>1737</v>
      </c>
      <c r="I14" s="43">
        <f t="shared" si="0"/>
        <v>1737</v>
      </c>
      <c r="J14" s="43">
        <f t="shared" si="0"/>
        <v>1737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155</v>
      </c>
      <c r="C16" s="99"/>
      <c r="D16" s="42">
        <f>H10</f>
        <v>30</v>
      </c>
      <c r="E16" s="43">
        <f t="shared" si="2"/>
        <v>30</v>
      </c>
      <c r="F16" s="43">
        <f t="shared" si="2"/>
        <v>30</v>
      </c>
      <c r="G16" s="43">
        <f t="shared" si="2"/>
        <v>30</v>
      </c>
      <c r="H16" s="43">
        <f t="shared" si="2"/>
        <v>30</v>
      </c>
      <c r="I16" s="43">
        <f t="shared" si="2"/>
        <v>30</v>
      </c>
      <c r="J16" s="43">
        <f t="shared" si="2"/>
        <v>30</v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13.757039999999998</v>
      </c>
      <c r="F23" s="46">
        <f>IF(F18=FALSE,0,F15*$P$18*0.08*0.08+(F14-F15)*$P$19*0.12*0.12)</f>
        <v>13.757039999999998</v>
      </c>
      <c r="G23" s="63">
        <f t="shared" ref="G23:J24" si="3">F23*1.01</f>
        <v>13.894610399999998</v>
      </c>
      <c r="H23" s="63">
        <f t="shared" si="3"/>
        <v>14.033556503999998</v>
      </c>
      <c r="I23" s="63">
        <f t="shared" si="3"/>
        <v>14.173892069039999</v>
      </c>
      <c r="J23" s="63">
        <f t="shared" si="3"/>
        <v>14.315630989730399</v>
      </c>
      <c r="K23" s="11"/>
      <c r="L23" s="7"/>
      <c r="N23" s="69" t="s">
        <v>178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118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179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22.442039999999999</v>
      </c>
      <c r="F26" s="46">
        <f t="shared" ref="F26:J26" si="5">+SUM(F22:F25)+$H$9*$P$16+($H$8-$H$9)*$P$15</f>
        <v>22.442039999999999</v>
      </c>
      <c r="G26" s="46">
        <f>+SUM(G22:G25)+$H$9*$P$16+($H$8-$H$9)*$P$15</f>
        <v>22.5796104</v>
      </c>
      <c r="H26" s="46">
        <f t="shared" si="5"/>
        <v>22.718556503999999</v>
      </c>
      <c r="I26" s="46">
        <f t="shared" si="5"/>
        <v>22.858892069039999</v>
      </c>
      <c r="J26" s="46">
        <f t="shared" si="5"/>
        <v>23.0006309897304</v>
      </c>
      <c r="K26" s="11"/>
      <c r="L26" s="7"/>
      <c r="N26" s="72" t="s">
        <v>180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0.35</v>
      </c>
      <c r="E27" s="47">
        <v>0.35</v>
      </c>
      <c r="F27" s="47">
        <f>ROUND(E27*1.01,3)</f>
        <v>0.35399999999999998</v>
      </c>
      <c r="G27" s="47">
        <f>ROUND(F27*1.01,3)</f>
        <v>0.35799999999999998</v>
      </c>
      <c r="H27" s="47">
        <f>ROUND(G27*1.01,3)</f>
        <v>0.36199999999999999</v>
      </c>
      <c r="I27" s="47">
        <f>ROUND(H27*1.01,3)</f>
        <v>0.36599999999999999</v>
      </c>
      <c r="J27" s="47">
        <f>ROUND(I27*1.01,3)</f>
        <v>0.37</v>
      </c>
      <c r="K27" s="11"/>
      <c r="L27" s="7"/>
      <c r="N27" t="s">
        <v>181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1241</v>
      </c>
      <c r="E28" s="49">
        <f>+D28+E26</f>
        <v>1263.4420399999999</v>
      </c>
      <c r="F28" s="49">
        <f t="shared" ref="F28:J28" si="6">+E28+F26</f>
        <v>1285.8840799999998</v>
      </c>
      <c r="G28" s="49">
        <f t="shared" si="6"/>
        <v>1308.4636903999999</v>
      </c>
      <c r="H28" s="49">
        <f t="shared" si="6"/>
        <v>1331.1822469039998</v>
      </c>
      <c r="I28" s="49">
        <f t="shared" si="6"/>
        <v>1354.0411389730398</v>
      </c>
      <c r="J28" s="49">
        <f t="shared" si="6"/>
        <v>1377.0417699627701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806.65</v>
      </c>
      <c r="E29" s="50">
        <f>+E28*(1-E27)</f>
        <v>821.23732599999994</v>
      </c>
      <c r="F29" s="50">
        <f t="shared" ref="F29:J29" si="7">+F28*(1-F27)</f>
        <v>830.68111567999995</v>
      </c>
      <c r="G29" s="50">
        <f t="shared" si="7"/>
        <v>840.0336892368</v>
      </c>
      <c r="H29" s="50">
        <f t="shared" si="7"/>
        <v>849.29427352475193</v>
      </c>
      <c r="I29" s="50">
        <f t="shared" si="7"/>
        <v>858.46208210890723</v>
      </c>
      <c r="J29" s="50">
        <f t="shared" si="7"/>
        <v>867.53631507654518</v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0</v>
      </c>
      <c r="E31" s="63">
        <f>+E29*E30*$P$24*$P$22*$P$23*$P$36</f>
        <v>259.18801880043077</v>
      </c>
      <c r="F31" s="63">
        <f>+F29*F30*$P$24*$P$22*$P$23*$P$36</f>
        <v>262.16854228570543</v>
      </c>
      <c r="G31" s="63">
        <f>+G29*G30*$P$24*$P$22*$P$23*$P$36</f>
        <v>265.12027734952585</v>
      </c>
      <c r="H31" s="63">
        <f>+H29*H30*$P$24*$P$22*$P$23*$P$36*$Q$24</f>
        <v>214.43438398554392</v>
      </c>
      <c r="I31" s="63">
        <f>+I29*I30*$P$24*$P$22*$P$23*$P$36*$Q$24</f>
        <v>216.74912158301041</v>
      </c>
      <c r="J31" s="63">
        <f>+J29*J30*$P$24*$P$22*$P$23*$P$36*$Q$24</f>
        <v>219.04023270575604</v>
      </c>
      <c r="K31" s="11"/>
      <c r="L31" s="7"/>
      <c r="N31" t="s">
        <v>182</v>
      </c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183</v>
      </c>
      <c r="O32" s="17" t="s">
        <v>127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  <v>24.687848605860001</v>
      </c>
      <c r="F33" s="63">
        <f t="shared" si="8"/>
        <v>24.687848605860001</v>
      </c>
      <c r="G33" s="63">
        <f t="shared" si="8"/>
        <v>24.839185882143607</v>
      </c>
      <c r="H33" s="63">
        <f t="shared" si="8"/>
        <v>24.992036531190038</v>
      </c>
      <c r="I33" s="63">
        <f t="shared" si="8"/>
        <v>25.146415686726939</v>
      </c>
      <c r="J33" s="63">
        <f t="shared" si="8"/>
        <v>25.302338633819208</v>
      </c>
      <c r="K33" s="11"/>
      <c r="L33" s="7"/>
      <c r="N33" t="s">
        <v>184</v>
      </c>
      <c r="O33" s="17" t="s">
        <v>136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0</v>
      </c>
      <c r="E34" s="46">
        <f>+E29*E30*$P$24+E26*E32</f>
        <v>2852.3798431999999</v>
      </c>
      <c r="F34" s="46">
        <f>+F29*F30*$P$24+F26*F32</f>
        <v>2882.5999701760002</v>
      </c>
      <c r="G34" s="46">
        <f>+G29*G30*$P$24+G26*G32</f>
        <v>2913.90390955776</v>
      </c>
      <c r="H34" s="46">
        <f>+H29*H30*$P$24*$Q$24+H26*H32</f>
        <v>2401.3789052633651</v>
      </c>
      <c r="I34" s="46">
        <f>+I29*I30*$P$24*$Q$24+I26*I32</f>
        <v>2426.2518508892026</v>
      </c>
      <c r="J34" s="46">
        <f>+J29*J30*$P$24*$Q$24+J26*J32</f>
        <v>2450.89927649326</v>
      </c>
      <c r="K34" s="11"/>
      <c r="L34" s="7"/>
      <c r="O34" s="17" t="s">
        <v>137</v>
      </c>
      <c r="P34" s="75" t="b">
        <v>0</v>
      </c>
      <c r="Q34" s="73">
        <f t="shared" si="9"/>
        <v>0.95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0</v>
      </c>
      <c r="E35" s="50">
        <f>+E31+E33+1.05*(E31+E33)</f>
        <v>581.94552818289606</v>
      </c>
      <c r="F35" s="50">
        <f t="shared" ref="F35:J35" si="10">+F31+F33+1.05*(F31+F33)</f>
        <v>588.05560132770916</v>
      </c>
      <c r="G35" s="50">
        <f t="shared" si="10"/>
        <v>594.41689962492251</v>
      </c>
      <c r="H35" s="50">
        <f t="shared" si="10"/>
        <v>490.82416205930463</v>
      </c>
      <c r="I35" s="50">
        <f t="shared" si="10"/>
        <v>495.88585140296163</v>
      </c>
      <c r="J35" s="50">
        <f t="shared" si="10"/>
        <v>500.90227124612932</v>
      </c>
      <c r="K35" s="11"/>
      <c r="L35" s="7"/>
      <c r="O35" s="17" t="s">
        <v>138</v>
      </c>
      <c r="P35" s="75" t="b">
        <v>1</v>
      </c>
      <c r="Q35" s="73">
        <f t="shared" si="9"/>
        <v>1.1000000000000001</v>
      </c>
    </row>
    <row r="36" spans="1:17" x14ac:dyDescent="0.55000000000000004">
      <c r="A36" s="150" t="s">
        <v>6</v>
      </c>
      <c r="B36" s="6" t="str">
        <f>+C8</f>
        <v>問い合わせ①（LINEで物件URL送付）</v>
      </c>
      <c r="C36" s="6"/>
      <c r="D36" s="11">
        <v>0</v>
      </c>
      <c r="E36" s="111">
        <v>5</v>
      </c>
      <c r="F36" s="111">
        <v>7</v>
      </c>
      <c r="G36" s="111">
        <v>8</v>
      </c>
      <c r="H36" s="111">
        <v>10</v>
      </c>
      <c r="I36" s="111">
        <v>12</v>
      </c>
      <c r="J36" s="111">
        <v>13</v>
      </c>
      <c r="K36" s="115">
        <f>SUM(E36:J36)</f>
        <v>55</v>
      </c>
      <c r="L36" s="7"/>
      <c r="N36" s="69" t="s">
        <v>185</v>
      </c>
      <c r="O36" s="17" t="s">
        <v>128</v>
      </c>
      <c r="P36" s="74">
        <f>1*(Q32*Q33*Q34*Q35)</f>
        <v>1.2644500000000003</v>
      </c>
      <c r="Q36" s="73"/>
    </row>
    <row r="37" spans="1:17" x14ac:dyDescent="0.55000000000000004">
      <c r="A37" s="151"/>
      <c r="B37" s="6" t="str">
        <f>+C9</f>
        <v>問い合わせ②（配信経由）</v>
      </c>
      <c r="C37" s="6"/>
      <c r="D37" s="11">
        <v>0</v>
      </c>
      <c r="E37" s="111">
        <v>2</v>
      </c>
      <c r="F37" s="111">
        <v>3</v>
      </c>
      <c r="G37" s="111">
        <v>5</v>
      </c>
      <c r="H37" s="111">
        <v>6</v>
      </c>
      <c r="I37" s="111">
        <v>9</v>
      </c>
      <c r="J37" s="111">
        <v>10</v>
      </c>
      <c r="K37" s="115">
        <f>SUM(E37:J37)</f>
        <v>35</v>
      </c>
      <c r="L37" s="7"/>
      <c r="N37" s="69" t="s">
        <v>186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1">+SUM(D36:D39)</f>
        <v>0</v>
      </c>
      <c r="E40" s="10">
        <f t="shared" si="11"/>
        <v>7</v>
      </c>
      <c r="F40" s="10">
        <f t="shared" si="11"/>
        <v>10</v>
      </c>
      <c r="G40" s="10">
        <f t="shared" si="11"/>
        <v>13</v>
      </c>
      <c r="H40" s="10">
        <f t="shared" si="11"/>
        <v>16</v>
      </c>
      <c r="I40" s="10">
        <f t="shared" si="11"/>
        <v>21</v>
      </c>
      <c r="J40" s="10">
        <f t="shared" si="11"/>
        <v>23</v>
      </c>
      <c r="K40" s="115">
        <f>SUM(E40:J40)</f>
        <v>90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 t="shared" ref="E41:J41" si="13">+IFERROR(E37/E35,0)</f>
        <v>3.4367477764541431E-3</v>
      </c>
      <c r="F41" s="18">
        <f t="shared" si="13"/>
        <v>5.1015584125491094E-3</v>
      </c>
      <c r="G41" s="18">
        <f t="shared" si="13"/>
        <v>8.4116047224683608E-3</v>
      </c>
      <c r="H41" s="18">
        <f t="shared" si="13"/>
        <v>1.2224337071806665E-2</v>
      </c>
      <c r="I41" s="18">
        <f t="shared" si="13"/>
        <v>1.8149338148158844E-2</v>
      </c>
      <c r="J41" s="18">
        <f t="shared" si="13"/>
        <v>1.9963974160313362E-2</v>
      </c>
      <c r="N41" s="69" t="s">
        <v>187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44" t="s">
        <v>133</v>
      </c>
      <c r="B45" s="145"/>
      <c r="C45" s="104">
        <f>+SUM(C65:C72)</f>
        <v>0</v>
      </c>
      <c r="D45" s="80">
        <f>+SUM(D65:D72)</f>
        <v>215000</v>
      </c>
      <c r="E45" s="27">
        <f>SUM(E65:E69)+SUM(E71:E72)</f>
        <v>135000</v>
      </c>
      <c r="F45" s="27">
        <f t="shared" ref="F45:J45" si="15">SUM(F65:F69)+SUM(F71:F72)</f>
        <v>135000</v>
      </c>
      <c r="G45" s="27">
        <f t="shared" si="15"/>
        <v>135000</v>
      </c>
      <c r="H45" s="27">
        <f t="shared" si="15"/>
        <v>135000</v>
      </c>
      <c r="I45" s="27">
        <f t="shared" si="15"/>
        <v>135000</v>
      </c>
      <c r="J45" s="27">
        <f t="shared" si="15"/>
        <v>135000</v>
      </c>
      <c r="K45" s="11"/>
      <c r="L45" s="7"/>
    </row>
    <row r="46" spans="1:17" ht="18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(SUM(E65:E67)+E71)/(E28-D28)</f>
        <v>1336.7768705518806</v>
      </c>
      <c r="F46" s="28">
        <f t="shared" si="16"/>
        <v>1336.7768705518806</v>
      </c>
      <c r="G46" s="28">
        <f t="shared" si="16"/>
        <v>1328.6323133369865</v>
      </c>
      <c r="H46" s="28">
        <f t="shared" si="16"/>
        <v>1320.5064324715377</v>
      </c>
      <c r="I46" s="28">
        <f t="shared" si="16"/>
        <v>1312.399564659215</v>
      </c>
      <c r="J46" s="28">
        <f t="shared" si="16"/>
        <v>1304.312043151984</v>
      </c>
      <c r="K46" s="11"/>
      <c r="L46" s="7"/>
      <c r="N46" t="s">
        <v>188</v>
      </c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  <v>231.98047491065466</v>
      </c>
      <c r="F47" s="28">
        <f t="shared" si="17"/>
        <v>229.57012856470993</v>
      </c>
      <c r="G47" s="28">
        <f t="shared" si="17"/>
        <v>227.11332750664576</v>
      </c>
      <c r="H47" s="28">
        <f t="shared" si="17"/>
        <v>275.04758411564995</v>
      </c>
      <c r="I47" s="28">
        <f t="shared" si="17"/>
        <v>272.24007222238265</v>
      </c>
      <c r="J47" s="28">
        <f>+J51/J35</f>
        <v>269.5136511642304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8">+IFERROR(E37/E35,0)</f>
        <v>3.4367477764541431E-3</v>
      </c>
      <c r="F48" s="32">
        <f t="shared" si="18"/>
        <v>5.1015584125491094E-3</v>
      </c>
      <c r="G48" s="32">
        <f t="shared" si="18"/>
        <v>8.4116047224683608E-3</v>
      </c>
      <c r="H48" s="32">
        <f t="shared" si="18"/>
        <v>1.2224337071806665E-2</v>
      </c>
      <c r="I48" s="32">
        <f t="shared" si="18"/>
        <v>1.8149338148158844E-2</v>
      </c>
      <c r="J48" s="32">
        <f t="shared" si="18"/>
        <v>1.9963974160313362E-2</v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19285.714285714286</v>
      </c>
      <c r="F49" s="28">
        <f t="shared" ref="F49:J49" si="19">+IFERROR(F51/SUM(F36:F39),0)</f>
        <v>13500</v>
      </c>
      <c r="G49" s="28">
        <f t="shared" si="19"/>
        <v>10384.615384615385</v>
      </c>
      <c r="H49" s="28">
        <f t="shared" si="19"/>
        <v>8437.5</v>
      </c>
      <c r="I49" s="28">
        <f t="shared" si="19"/>
        <v>6428.5714285714284</v>
      </c>
      <c r="J49" s="28">
        <f t="shared" si="19"/>
        <v>5869.565217391304</v>
      </c>
      <c r="K49" s="11"/>
      <c r="L49" s="7"/>
    </row>
    <row r="50" spans="1:12" x14ac:dyDescent="0.55000000000000004">
      <c r="A50" s="152" t="s">
        <v>119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0">+F36*$D$8+F38*$D$10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  <v>0</v>
      </c>
      <c r="D51" s="40">
        <f>+D45</f>
        <v>215000</v>
      </c>
      <c r="E51" s="40">
        <f>SUM(E45,E50)+E44</f>
        <v>135000</v>
      </c>
      <c r="F51" s="40">
        <f t="shared" ref="F51:I51" si="21">SUM(F45,F50)+F44</f>
        <v>135000</v>
      </c>
      <c r="G51" s="40">
        <f t="shared" si="21"/>
        <v>135000</v>
      </c>
      <c r="H51" s="40">
        <f t="shared" si="21"/>
        <v>135000</v>
      </c>
      <c r="I51" s="40">
        <f t="shared" si="21"/>
        <v>135000</v>
      </c>
      <c r="J51" s="40">
        <f>SUM(J45,J50)+J44</f>
        <v>135000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44" t="s">
        <v>133</v>
      </c>
      <c r="B55" s="145"/>
      <c r="C55" s="96"/>
      <c r="D55" s="27">
        <f>+SUM(D65:D72)</f>
        <v>215000</v>
      </c>
      <c r="E55" s="27">
        <f>SUM(E65:E72)+E54</f>
        <v>135000</v>
      </c>
      <c r="F55" s="27">
        <f t="shared" ref="F55:J55" si="23">SUM(F65:F72)+F54</f>
        <v>135000</v>
      </c>
      <c r="G55" s="27">
        <f t="shared" si="23"/>
        <v>135000</v>
      </c>
      <c r="H55" s="27">
        <f t="shared" si="23"/>
        <v>135000</v>
      </c>
      <c r="I55" s="27">
        <f t="shared" si="23"/>
        <v>135000</v>
      </c>
      <c r="J55" s="27">
        <f t="shared" si="23"/>
        <v>135000</v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(SUM(E65:E67)+E71)/(E28-D28)</f>
        <v>1336.7768705518806</v>
      </c>
      <c r="F56" s="28">
        <f t="shared" si="24"/>
        <v>1336.7768705518806</v>
      </c>
      <c r="G56" s="28">
        <f t="shared" si="24"/>
        <v>1328.6323133369865</v>
      </c>
      <c r="H56" s="28">
        <f t="shared" si="24"/>
        <v>1320.5064324715377</v>
      </c>
      <c r="I56" s="28">
        <f t="shared" si="24"/>
        <v>1312.399564659215</v>
      </c>
      <c r="J56" s="28">
        <f t="shared" si="24"/>
        <v>1304.312043151984</v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231.98047491065466</v>
      </c>
      <c r="F57" s="28">
        <f t="shared" ref="F57:J57" si="25">+F61/F35</f>
        <v>229.57012856470993</v>
      </c>
      <c r="G57" s="28">
        <f t="shared" si="25"/>
        <v>227.11332750664576</v>
      </c>
      <c r="H57" s="28">
        <f t="shared" si="25"/>
        <v>275.04758411564995</v>
      </c>
      <c r="I57" s="28">
        <f t="shared" si="25"/>
        <v>272.24007222238265</v>
      </c>
      <c r="J57" s="28">
        <f t="shared" si="25"/>
        <v>269.5136511642304</v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+IFERROR(E37/E35,0)</f>
        <v>3.4367477764541431E-3</v>
      </c>
      <c r="F58" s="32">
        <f t="shared" si="26"/>
        <v>5.1015584125491094E-3</v>
      </c>
      <c r="G58" s="32">
        <f t="shared" si="26"/>
        <v>8.4116047224683608E-3</v>
      </c>
      <c r="H58" s="32">
        <f t="shared" si="26"/>
        <v>1.2224337071806665E-2</v>
      </c>
      <c r="I58" s="32">
        <f t="shared" si="26"/>
        <v>1.8149338148158844E-2</v>
      </c>
      <c r="J58" s="32">
        <f t="shared" si="26"/>
        <v>1.9963974160313362E-2</v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>+IFERROR(E55/E40,0)</f>
        <v>19285.714285714286</v>
      </c>
      <c r="F59" s="28">
        <f t="shared" ref="F59:J59" si="27">+IFERROR(F55/F40,0)</f>
        <v>13500</v>
      </c>
      <c r="G59" s="28">
        <f t="shared" si="27"/>
        <v>10384.615384615385</v>
      </c>
      <c r="H59" s="28">
        <f t="shared" si="27"/>
        <v>8437.5</v>
      </c>
      <c r="I59" s="28">
        <f t="shared" si="27"/>
        <v>6428.5714285714284</v>
      </c>
      <c r="J59" s="28">
        <f t="shared" si="27"/>
        <v>5869.565217391304</v>
      </c>
      <c r="K59" s="11"/>
      <c r="L59" s="7"/>
    </row>
    <row r="60" spans="1:12" hidden="1" x14ac:dyDescent="0.55000000000000004">
      <c r="A60" s="152" t="s">
        <v>119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  <v>215000</v>
      </c>
      <c r="E61" s="40">
        <f>+SUM(E65:E72)+E54</f>
        <v>135000</v>
      </c>
      <c r="F61" s="40">
        <f t="shared" ref="F61:J61" si="28">+SUM(F65:F72)+F54</f>
        <v>135000</v>
      </c>
      <c r="G61" s="40">
        <f t="shared" si="28"/>
        <v>135000</v>
      </c>
      <c r="H61" s="40">
        <f t="shared" si="28"/>
        <v>135000</v>
      </c>
      <c r="I61" s="40">
        <f t="shared" si="28"/>
        <v>135000</v>
      </c>
      <c r="J61" s="40">
        <f t="shared" si="28"/>
        <v>135000</v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189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190</v>
      </c>
    </row>
    <row r="67" spans="1:16" x14ac:dyDescent="0.55000000000000004">
      <c r="B67" s="6" t="s">
        <v>191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192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193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194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195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  <v>215000</v>
      </c>
      <c r="E73" s="114">
        <f t="shared" ref="E73:J73" si="30">SUM(E65:E72)+E54</f>
        <v>135000</v>
      </c>
      <c r="F73" s="114">
        <f t="shared" si="30"/>
        <v>135000</v>
      </c>
      <c r="G73" s="114">
        <f t="shared" si="30"/>
        <v>135000</v>
      </c>
      <c r="H73" s="114">
        <f t="shared" si="30"/>
        <v>135000</v>
      </c>
      <c r="I73" s="114">
        <f t="shared" si="30"/>
        <v>135000</v>
      </c>
      <c r="J73" s="114">
        <f t="shared" si="30"/>
        <v>135000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147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142</v>
      </c>
      <c r="B4" s="7"/>
      <c r="C4" s="86" t="str">
        <f>+'SIM_離脱防止＋サイトのボタン'!D24</f>
        <v>--</v>
      </c>
      <c r="D4" s="28">
        <f>+'SIM_離脱防止＋サイトのボタン'!G51</f>
        <v>135000</v>
      </c>
      <c r="E4" s="28">
        <f>+'SIM_離脱防止＋サイトのボタン'!J51</f>
        <v>135000</v>
      </c>
      <c r="F4" s="28"/>
    </row>
    <row r="5" spans="1:25" x14ac:dyDescent="0.55000000000000004">
      <c r="A5" s="85" t="s">
        <v>143</v>
      </c>
      <c r="B5" s="7"/>
      <c r="C5" s="86" t="str">
        <f>+'SIM_離脱防止＋サイトのボタン'!D25</f>
        <v>--</v>
      </c>
      <c r="D5" s="28">
        <f>+'SIM_離脱防止＋サイトのボタン'!G61</f>
        <v>135000</v>
      </c>
      <c r="E5" s="28">
        <f>+'SIM_離脱防止＋サイトのボタン'!J61</f>
        <v>135000</v>
      </c>
      <c r="F5" s="27"/>
    </row>
    <row r="6" spans="1:25" x14ac:dyDescent="0.55000000000000004">
      <c r="A6" s="85" t="s">
        <v>76</v>
      </c>
      <c r="B6" s="7"/>
      <c r="C6" s="117">
        <f>+'SIM_離脱防止＋サイトのボタン'!D28</f>
        <v>1241</v>
      </c>
      <c r="D6" s="87">
        <f>+'SIM_離脱防止＋サイトのボタン'!G28</f>
        <v>1308.4636903999999</v>
      </c>
      <c r="E6" s="87">
        <f>+'SIM_離脱防止＋サイトのボタン'!J28</f>
        <v>1377.0417699627701</v>
      </c>
      <c r="F6" s="10"/>
    </row>
    <row r="7" spans="1:25" x14ac:dyDescent="0.55000000000000004">
      <c r="A7" s="85" t="s">
        <v>77</v>
      </c>
      <c r="B7" s="7"/>
      <c r="C7" s="88">
        <f>+'SIM_離脱防止＋サイトのボタン'!D27</f>
        <v>0.35</v>
      </c>
      <c r="D7" s="89">
        <f>+'SIM_離脱防止＋サイトのボタン'!G27</f>
        <v>0.35799999999999998</v>
      </c>
      <c r="E7" s="89">
        <f>+'SIM_離脱防止＋サイトのボタン'!J27</f>
        <v>0.37</v>
      </c>
      <c r="F7" s="89"/>
    </row>
    <row r="8" spans="1:25" x14ac:dyDescent="0.55000000000000004">
      <c r="A8" s="85" t="s">
        <v>78</v>
      </c>
      <c r="B8" s="7"/>
      <c r="C8" s="117">
        <f>+'SIM_離脱防止＋サイトのボタン'!D29</f>
        <v>806.65</v>
      </c>
      <c r="D8" s="10">
        <f>+'SIM_離脱防止＋サイトのボタン'!G29</f>
        <v>840.0336892368</v>
      </c>
      <c r="E8" s="10">
        <f>+'SIM_離脱防止＋サイトのボタン'!J29</f>
        <v>867.53631507654518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82</v>
      </c>
      <c r="B10" s="7"/>
      <c r="C10" s="117">
        <f>+'SIM_離脱防止＋サイトのボタン'!D34</f>
        <v>0</v>
      </c>
      <c r="D10" s="10">
        <f>+'SIM_離脱防止＋サイトのボタン'!G34</f>
        <v>2913.90390955776</v>
      </c>
      <c r="E10" s="10">
        <f>+'SIM_離脱防止＋サイトのボタン'!J34</f>
        <v>2450.89927649326</v>
      </c>
      <c r="F10" s="10"/>
    </row>
    <row r="11" spans="1:25" x14ac:dyDescent="0.55000000000000004">
      <c r="A11" s="85" t="s">
        <v>83</v>
      </c>
      <c r="B11" s="7"/>
      <c r="C11" s="117">
        <f>+'SIM_離脱防止＋サイトのボタン'!D35</f>
        <v>0</v>
      </c>
      <c r="D11" s="10">
        <f>+'SIM_離脱防止＋サイトのボタン'!G35</f>
        <v>594.41689962492251</v>
      </c>
      <c r="E11" s="10">
        <f>+'SIM_離脱防止＋サイトのボタン'!J35</f>
        <v>500.90227124612932</v>
      </c>
      <c r="F11" s="10"/>
    </row>
    <row r="12" spans="1:25" x14ac:dyDescent="0.55000000000000004">
      <c r="A12" s="85" t="s">
        <v>149</v>
      </c>
      <c r="B12" s="7"/>
      <c r="C12" s="28">
        <f>+IFERROR(C5/C11,0)</f>
        <v>0</v>
      </c>
      <c r="D12" s="28">
        <f>+D4/D11</f>
        <v>227.11332750664576</v>
      </c>
      <c r="E12" s="28">
        <f t="shared" ref="E12" si="0">+E4/E11</f>
        <v>269.5136511642304</v>
      </c>
      <c r="F12" s="28"/>
    </row>
    <row r="13" spans="1:25" x14ac:dyDescent="0.55000000000000004">
      <c r="A13" s="85" t="s">
        <v>150</v>
      </c>
      <c r="B13" s="7"/>
      <c r="C13" s="28">
        <f>+IFERROR(C6/C12,0)</f>
        <v>0</v>
      </c>
      <c r="D13" s="28">
        <f>+D5/D11</f>
        <v>227.11332750664576</v>
      </c>
      <c r="E13" s="28">
        <f t="shared" ref="E13" si="1">+E5/E11</f>
        <v>269.5136511642304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80</v>
      </c>
      <c r="B15" s="7"/>
      <c r="C15" s="87">
        <f>+'SIM_離脱防止＋サイトのボタン'!D16</f>
        <v>30</v>
      </c>
      <c r="D15" s="87">
        <f>+'SIM_離脱防止＋サイトのボタン'!G16</f>
        <v>30</v>
      </c>
      <c r="E15" s="87">
        <f>+'SIM_離脱防止＋サイトのボタン'!J16</f>
        <v>30</v>
      </c>
      <c r="F15" s="87"/>
      <c r="R15" s="5" t="s">
        <v>58</v>
      </c>
    </row>
    <row r="16" spans="1:25" x14ac:dyDescent="0.55000000000000004">
      <c r="A16" s="85" t="s">
        <v>81</v>
      </c>
      <c r="B16" s="7"/>
      <c r="C16" s="87">
        <f>SUM(C17:C20)</f>
        <v>0</v>
      </c>
      <c r="D16" s="87">
        <f>SUM(D17:D20)</f>
        <v>13</v>
      </c>
      <c r="E16" s="87">
        <f>SUM(E17:E20)</f>
        <v>23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196</v>
      </c>
      <c r="B17" s="7"/>
      <c r="C17" s="87">
        <f>+'SIM_離脱防止＋サイトのボタン'!D36</f>
        <v>0</v>
      </c>
      <c r="D17" s="87">
        <f>+'SIM_離脱防止＋サイトのボタン'!G36</f>
        <v>8</v>
      </c>
      <c r="E17" s="87">
        <f>+'SIM_離脱防止＋サイトのボタン'!J36</f>
        <v>13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197</v>
      </c>
      <c r="B18" s="7"/>
      <c r="C18" s="87">
        <f>+'SIM_離脱防止＋サイトのボタン'!D37</f>
        <v>0</v>
      </c>
      <c r="D18" s="87">
        <f>+'SIM_離脱防止＋サイトのボタン'!G37</f>
        <v>5</v>
      </c>
      <c r="E18" s="87">
        <f>+'SIM_離脱防止＋サイトのボタン'!J37</f>
        <v>10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+'SIM_離脱防止＋サイトのボタン'!D38</f>
        <v>0</v>
      </c>
      <c r="D19" s="87">
        <f>+'SIM_離脱防止＋サイトのボタン'!G38</f>
        <v>0</v>
      </c>
      <c r="E19" s="87">
        <f>+'SIM_離脱防止＋サイトのボタン'!J38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+'SIM_離脱防止＋サイトのボタン'!D39</f>
        <v>0</v>
      </c>
      <c r="D20" s="87">
        <f>+'SIM_離脱防止＋サイトのボタン'!G39</f>
        <v>0</v>
      </c>
      <c r="E20" s="87">
        <f>+'SIM_離脱防止＋サイトのボタン'!J39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144</v>
      </c>
      <c r="B22" s="7"/>
      <c r="C22" s="90" t="str">
        <f>+IFERROR(C4/C16,"--")</f>
        <v>--</v>
      </c>
      <c r="D22" s="90">
        <f t="shared" ref="D22:E22" si="2">+IFERROR(D4/D16,"--")</f>
        <v>10384.615384615385</v>
      </c>
      <c r="E22" s="90">
        <f t="shared" si="2"/>
        <v>5869.565217391304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145</v>
      </c>
      <c r="B23" s="7"/>
      <c r="C23" s="90" t="str">
        <f>+IFERROR(C5/C16,"--")</f>
        <v>--</v>
      </c>
      <c r="D23" s="90">
        <f t="shared" ref="D23" si="3">+IFERROR(D5/D16,"--")</f>
        <v>10384.615384615385</v>
      </c>
      <c r="E23" s="90">
        <f t="shared" ref="E23" si="4">+IFERROR(E5/E16,"--")</f>
        <v>5869.565217391304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151</v>
      </c>
      <c r="B25" s="7"/>
      <c r="C25" s="10">
        <f>+'SIM_離脱防止＋サイトのボタン'!E68+C29*C30</f>
        <v>5000</v>
      </c>
      <c r="D25" s="10">
        <f>+'SIM_離脱防止＋サイトのボタン'!G68+D29*D30</f>
        <v>5000</v>
      </c>
      <c r="E25" s="10">
        <f>+'SIM_離脱防止＋サイトのボタン'!J68+E29*E30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148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114</v>
      </c>
      <c r="B35" s="92"/>
      <c r="C35" s="93" t="s">
        <v>139</v>
      </c>
      <c r="D35" s="94" t="s">
        <v>140</v>
      </c>
      <c r="E35" s="94" t="s">
        <v>141</v>
      </c>
      <c r="F35" s="94" t="s">
        <v>141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84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91</v>
      </c>
    </row>
    <row r="4" spans="1:7" x14ac:dyDescent="0.55000000000000004">
      <c r="A4" t="s">
        <v>89</v>
      </c>
      <c r="B4" t="s">
        <v>90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93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92</v>
      </c>
    </row>
    <row r="9" spans="1:7" x14ac:dyDescent="0.55000000000000004">
      <c r="A9" t="s">
        <v>89</v>
      </c>
      <c r="B9" t="s">
        <v>90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93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94</v>
      </c>
      <c r="D13" t="s">
        <v>97</v>
      </c>
    </row>
    <row r="14" spans="1:7" x14ac:dyDescent="0.55000000000000004">
      <c r="A14" t="s">
        <v>95</v>
      </c>
      <c r="B14" t="s">
        <v>90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96</v>
      </c>
    </row>
    <row r="16" spans="1:7" x14ac:dyDescent="0.55000000000000004">
      <c r="A16" t="s">
        <v>93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98</v>
      </c>
      <c r="D18" t="s">
        <v>97</v>
      </c>
    </row>
    <row r="19" spans="1:10" x14ac:dyDescent="0.55000000000000004">
      <c r="A19" t="s">
        <v>89</v>
      </c>
      <c r="B19" s="60">
        <v>0.7</v>
      </c>
      <c r="C19" t="s">
        <v>90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93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85</v>
      </c>
      <c r="B23" s="59"/>
      <c r="C23" s="59" t="s">
        <v>88</v>
      </c>
      <c r="D23" s="59"/>
      <c r="E23" s="59"/>
      <c r="F23" s="59"/>
      <c r="G23" s="59"/>
      <c r="I23" s="67" t="s">
        <v>104</v>
      </c>
      <c r="J23" s="68"/>
    </row>
    <row r="24" spans="1:10" x14ac:dyDescent="0.55000000000000004">
      <c r="A24" s="54" t="s">
        <v>86</v>
      </c>
      <c r="I24" s="66">
        <v>1</v>
      </c>
      <c r="J24" t="s">
        <v>105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106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107</v>
      </c>
    </row>
    <row r="27" spans="1:10" x14ac:dyDescent="0.55000000000000004">
      <c r="A27" t="s">
        <v>87</v>
      </c>
      <c r="B27" s="61">
        <v>3.0000000000000001E-3</v>
      </c>
      <c r="I27" s="66">
        <v>4</v>
      </c>
      <c r="J27" t="s">
        <v>108</v>
      </c>
    </row>
    <row r="29" spans="1:10" x14ac:dyDescent="0.55000000000000004">
      <c r="A29" s="54" t="s">
        <v>103</v>
      </c>
      <c r="I29" s="67" t="s">
        <v>109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110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111</v>
      </c>
    </row>
    <row r="32" spans="1:10" x14ac:dyDescent="0.55000000000000004">
      <c r="A32" t="s">
        <v>87</v>
      </c>
      <c r="B32" s="61">
        <v>6.0000000000000001E-3</v>
      </c>
      <c r="I32" s="66">
        <v>3</v>
      </c>
      <c r="J32" t="s">
        <v>112</v>
      </c>
    </row>
    <row r="33" spans="1:10" x14ac:dyDescent="0.55000000000000004">
      <c r="I33" s="66">
        <v>4</v>
      </c>
      <c r="J33" t="s">
        <v>113</v>
      </c>
    </row>
    <row r="34" spans="1:10" x14ac:dyDescent="0.55000000000000004">
      <c r="A34" s="54" t="s">
        <v>99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87</v>
      </c>
      <c r="B37" s="61">
        <v>4.0000000000000001E-3</v>
      </c>
    </row>
    <row r="39" spans="1:10" x14ac:dyDescent="0.55000000000000004">
      <c r="A39" s="54" t="s">
        <v>100</v>
      </c>
      <c r="E39" s="54" t="s">
        <v>101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102</v>
      </c>
      <c r="F41" s="61">
        <v>0.25</v>
      </c>
    </row>
    <row r="42" spans="1:10" x14ac:dyDescent="0.55000000000000004">
      <c r="A42" t="s">
        <v>87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showGridLines="0" workbookViewId="0"/>
  </sheetViews>
  <sheetFormatPr defaultRowHeight="18.5"/>
  <cols>
    <col min="1" max="1" width="34" customWidth="1"/>
    <col min="2" max="2" width="26" customWidth="1"/>
    <col min="3" max="3" width="22" customWidth="1"/>
    <col min="4" max="9" width="13" customWidth="1"/>
    <col min="10" max="10" width="18" customWidth="1"/>
    <col min="11" max="11" width="26" customWidth="1"/>
  </cols>
  <sheetData>
    <row r="1">
      <c r="A1" t="inlineStr" s="56">
        <is>
          <t xml:space="preserve">AD側の提案（2026/9/14作成）と、LINEへの影響</t>
        </is>
      </c>
    </row>
    <row r="2">
      <c r="A2" t="inlineStr" s="69">
        <is>
          <t xml:space="preserve">ADの提案シミュレーション（Meta広告）の数字。他社実績をもとにした想定値で、成果の保証ではない。CV地点＝お問い合わせ（タップ込み）／地域＝東京都／25〜65歳／男女／金額は税抜き・グロス</t>
        </is>
      </c>
    </row>
    <row r="4">
      <c r="A4" t="inlineStr" s="29">
        <is>
          <t xml:space="preserve">■ADの提案（月）</t>
        </is>
      </c>
    </row>
    <row r="5">
      <c r="A5" t="inlineStr" s="139">
        <is>
          <t xml:space="preserve">項目</t>
        </is>
      </c>
      <c r="B5" t="inlineStr" s="139">
        <is>
          <t xml:space="preserve">30万円案</t>
        </is>
      </c>
      <c r="C5" t="inlineStr" s="139">
        <is>
          <t xml:space="preserve">100万円案</t>
        </is>
      </c>
    </row>
    <row r="6">
      <c r="A6" t="inlineStr" s="140">
        <is>
          <t xml:space="preserve">配信予算（円）</t>
        </is>
      </c>
      <c r="B6" s="28">
        <v>300000</v>
      </c>
      <c r="C6" s="28">
        <v>1000000</v>
      </c>
    </row>
    <row r="7">
      <c r="A7" t="inlineStr" s="140">
        <is>
          <t xml:space="preserve">表示回数</t>
        </is>
      </c>
      <c r="B7" s="10">
        <v>90625</v>
      </c>
      <c r="C7" s="10">
        <v>306250</v>
      </c>
    </row>
    <row r="8">
      <c r="A8" t="inlineStr" s="140">
        <is>
          <t xml:space="preserve">クリック数</t>
        </is>
      </c>
      <c r="B8" s="10">
        <v>5811</v>
      </c>
      <c r="C8" s="10">
        <v>18030</v>
      </c>
    </row>
    <row r="9">
      <c r="A9" t="inlineStr" s="140">
        <is>
          <t xml:space="preserve">クリック率</t>
        </is>
      </c>
      <c r="B9" s="18">
        <v>0.0641</v>
      </c>
      <c r="C9" s="18">
        <v>0.0589</v>
      </c>
    </row>
    <row r="10">
      <c r="A10" t="inlineStr" s="140">
        <is>
          <t xml:space="preserve">クリック単価（円）</t>
        </is>
      </c>
      <c r="B10" s="28">
        <v>52</v>
      </c>
      <c r="C10" s="28">
        <v>55</v>
      </c>
    </row>
    <row r="11">
      <c r="A11" t="inlineStr" s="140">
        <is>
          <t xml:space="preserve">CV（ADの想定・タップ込み）</t>
        </is>
      </c>
      <c r="B11" s="10">
        <v>340</v>
      </c>
      <c r="C11" s="10">
        <v>1000</v>
      </c>
    </row>
    <row r="12">
      <c r="A12" t="inlineStr" s="140">
        <is>
          <t xml:space="preserve">CVR（クリックに対するCV）</t>
        </is>
      </c>
      <c r="B12" s="18">
        <v>0.0585</v>
      </c>
      <c r="C12" s="18">
        <v>0.0555</v>
      </c>
    </row>
    <row r="13">
      <c r="A13" t="inlineStr" s="140">
        <is>
          <t xml:space="preserve">CPA（円）＝予算÷CV</t>
        </is>
      </c>
      <c r="B13" s="28">
        <f>B6/B11</f>
      </c>
      <c r="C13" s="28">
        <f>C6/C11</f>
      </c>
    </row>
    <row r="14">
      <c r="A14" t="inlineStr" s="69">
        <is>
          <t xml:space="preserve">内訳：30万＝meta_オーディエンス25万＋meta_RM5万／100万＝オーディエンス90万＋RM10万（RM＝リマーケティング）</t>
        </is>
      </c>
    </row>
    <row r="16">
      <c r="A16" t="inlineStr" s="29">
        <is>
          <t xml:space="preserve">■LINEへの影響（プラン①｜総合運用・月13.5万。LINEの費用はADの有無で変わらない）</t>
        </is>
      </c>
    </row>
    <row r="17">
      <c r="A17" t="inlineStr" s="139">
        <is>
          <t xml:space="preserve">パターン</t>
        </is>
      </c>
      <c r="B17" t="inlineStr" s="139">
        <is>
          <t xml:space="preserve">指標</t>
        </is>
      </c>
      <c r="C17" t="inlineStr" s="139">
        <is>
          <t xml:space="preserve">1か月目</t>
        </is>
      </c>
      <c r="D17" t="inlineStr" s="139">
        <is>
          <t xml:space="preserve">2か月目</t>
        </is>
      </c>
      <c r="E17" t="inlineStr" s="139">
        <is>
          <t xml:space="preserve">3か月目</t>
        </is>
      </c>
      <c r="F17" t="inlineStr" s="139">
        <is>
          <t xml:space="preserve">4か月目</t>
        </is>
      </c>
      <c r="G17" t="inlineStr" s="139">
        <is>
          <t xml:space="preserve">5か月目</t>
        </is>
      </c>
      <c r="H17" t="inlineStr" s="139">
        <is>
          <t xml:space="preserve">6か月目</t>
        </is>
      </c>
      <c r="I17" t="inlineStr" s="139">
        <is>
          <t xml:space="preserve">6か月累計</t>
        </is>
      </c>
      <c r="J17" t="inlineStr" s="139">
        <is>
          <t xml:space="preserve">CPA（6か月目）</t>
        </is>
      </c>
      <c r="K17" t="inlineStr" s="139">
        <is>
          <t xml:space="preserve">CPA（累計・初期込み）</t>
        </is>
      </c>
    </row>
    <row r="18">
      <c r="A18" t="inlineStr" s="140">
        <is>
          <t xml:space="preserve">AD無し（今のSIM＝ver1.4）</t>
        </is>
      </c>
      <c r="B18" t="inlineStr" s="140">
        <is>
          <t xml:space="preserve">新しい友だち（人／月）</t>
        </is>
      </c>
      <c r="C18" s="10">
        <f>'SIM_離脱防止＋サイトのボタン'!E26</f>
      </c>
      <c r="D18" s="10">
        <f>'SIM_離脱防止＋サイトのボタン'!F26</f>
      </c>
      <c r="E18" s="10">
        <f>'SIM_離脱防止＋サイトのボタン'!G26</f>
      </c>
      <c r="F18" s="10">
        <f>'SIM_離脱防止＋サイトのボタン'!H26</f>
      </c>
      <c r="G18" s="10">
        <f>'SIM_離脱防止＋サイトのボタン'!I26</f>
      </c>
      <c r="H18" s="10">
        <f>'SIM_離脱防止＋サイトのボタン'!J26</f>
      </c>
      <c r="I18" s="10">
        <f>SUM(C18:H18)</f>
      </c>
    </row>
    <row r="19">
      <c r="A19" t="inlineStr" s="140">
        <is>
          <t xml:space="preserve"/>
        </is>
      </c>
      <c r="B19" t="inlineStr" s="140">
        <is>
          <t xml:space="preserve">問い合わせ合計（件／月）</t>
        </is>
      </c>
      <c r="C19" s="10">
        <f>'SIM_離脱防止＋サイトのボタン'!E40</f>
      </c>
      <c r="D19" s="10">
        <f>'SIM_離脱防止＋サイトのボタン'!F40</f>
      </c>
      <c r="E19" s="10">
        <f>'SIM_離脱防止＋サイトのボタン'!G40</f>
      </c>
      <c r="F19" s="10">
        <f>'SIM_離脱防止＋サイトのボタン'!H40</f>
      </c>
      <c r="G19" s="10">
        <f>'SIM_離脱防止＋サイトのボタン'!I40</f>
      </c>
      <c r="H19" s="10">
        <f>'SIM_離脱防止＋サイトのボタン'!J40</f>
      </c>
      <c r="I19" s="10">
        <f>SUM(C19:H19)</f>
      </c>
      <c r="J19" s="28">
        <f>'SIM_離脱防止＋サイトのボタン'!J49</f>
      </c>
      <c r="K19" s="28">
        <f>('SIM_離脱防止＋サイトのボタン'!D51+SUM('SIM_離脱防止＋サイトのボタン'!E51:J51))/I19</f>
      </c>
    </row>
    <row r="20">
      <c r="A20" t="inlineStr" s="140">
        <is>
          <t xml:space="preserve">AD30万円案の流入を足す</t>
        </is>
      </c>
      <c r="B20" t="inlineStr" s="140">
        <is>
          <t xml:space="preserve">新しい友だち（人／月）</t>
        </is>
      </c>
      <c r="C20" s="10">
        <f>'SIM_AD30万'!E26</f>
      </c>
      <c r="D20" s="10">
        <f>'SIM_AD30万'!F26</f>
      </c>
      <c r="E20" s="10">
        <f>'SIM_AD30万'!G26</f>
      </c>
      <c r="F20" s="10">
        <f>'SIM_AD30万'!H26</f>
      </c>
      <c r="G20" s="10">
        <f>'SIM_AD30万'!I26</f>
      </c>
      <c r="H20" s="10">
        <f>'SIM_AD30万'!J26</f>
      </c>
      <c r="I20" s="10">
        <f>SUM(C20:H20)</f>
      </c>
    </row>
    <row r="21">
      <c r="A21" t="inlineStr" s="140">
        <is>
          <t xml:space="preserve"/>
        </is>
      </c>
      <c r="B21" t="inlineStr" s="140">
        <is>
          <t xml:space="preserve">問い合わせ合計（件／月）</t>
        </is>
      </c>
      <c r="C21" s="10">
        <f>'SIM_AD30万'!E40</f>
      </c>
      <c r="D21" s="10">
        <f>'SIM_AD30万'!F40</f>
      </c>
      <c r="E21" s="10">
        <f>'SIM_AD30万'!G40</f>
      </c>
      <c r="F21" s="10">
        <f>'SIM_AD30万'!H40</f>
      </c>
      <c r="G21" s="10">
        <f>'SIM_AD30万'!I40</f>
      </c>
      <c r="H21" s="10">
        <f>'SIM_AD30万'!J40</f>
      </c>
      <c r="I21" s="10">
        <f>SUM(C21:H21)</f>
      </c>
      <c r="J21" s="28">
        <f>'SIM_AD30万'!J49</f>
      </c>
      <c r="K21" s="28">
        <f>('SIM_AD30万'!D51+SUM('SIM_AD30万'!E51:J51))/I21</f>
      </c>
    </row>
    <row r="22">
      <c r="A22" t="inlineStr" s="140">
        <is>
          <t xml:space="preserve">AD100万円案の流入を足す</t>
        </is>
      </c>
      <c r="B22" t="inlineStr" s="140">
        <is>
          <t xml:space="preserve">新しい友だち（人／月）</t>
        </is>
      </c>
      <c r="C22" s="10">
        <f>'SIM_AD100万'!E26</f>
      </c>
      <c r="D22" s="10">
        <f>'SIM_AD100万'!F26</f>
      </c>
      <c r="E22" s="10">
        <f>'SIM_AD100万'!G26</f>
      </c>
      <c r="F22" s="10">
        <f>'SIM_AD100万'!H26</f>
      </c>
      <c r="G22" s="10">
        <f>'SIM_AD100万'!I26</f>
      </c>
      <c r="H22" s="10">
        <f>'SIM_AD100万'!J26</f>
      </c>
      <c r="I22" s="10">
        <f>SUM(C22:H22)</f>
      </c>
    </row>
    <row r="23">
      <c r="A23" t="inlineStr" s="140">
        <is>
          <t xml:space="preserve"/>
        </is>
      </c>
      <c r="B23" t="inlineStr" s="140">
        <is>
          <t xml:space="preserve">問い合わせ合計（件／月）</t>
        </is>
      </c>
      <c r="C23" s="10">
        <f>'SIM_AD100万'!E40</f>
      </c>
      <c r="D23" s="10">
        <f>'SIM_AD100万'!F40</f>
      </c>
      <c r="E23" s="10">
        <f>'SIM_AD100万'!G40</f>
      </c>
      <c r="F23" s="10">
        <f>'SIM_AD100万'!H40</f>
      </c>
      <c r="G23" s="10">
        <f>'SIM_AD100万'!I40</f>
      </c>
      <c r="H23" s="10">
        <f>'SIM_AD100万'!J40</f>
      </c>
      <c r="I23" s="10">
        <f>SUM(C23:H23)</f>
      </c>
      <c r="J23" s="28">
        <f>'SIM_AD100万'!J49</f>
      </c>
      <c r="K23" s="28">
        <f>('SIM_AD100万'!D51+SUM('SIM_AD100万'!E51:J51))/I23</f>
      </c>
    </row>
    <row r="25">
      <c r="A25" t="inlineStr" s="29">
        <is>
          <t xml:space="preserve">■ADと合わせた目安（6か月目の月）</t>
        </is>
      </c>
    </row>
    <row r="26">
      <c r="A26" t="inlineStr" s="139">
        <is>
          <t xml:space="preserve">パターン</t>
        </is>
      </c>
      <c r="B26" t="inlineStr" s="139">
        <is>
          <t xml:space="preserve">AD費用＋LINE費用（円）</t>
        </is>
      </c>
      <c r="C26" t="inlineStr" s="139">
        <is>
          <t xml:space="preserve">AD CV＋LINE CV（件）</t>
        </is>
      </c>
      <c r="D26" t="inlineStr" s="139">
        <is>
          <t xml:space="preserve">合算CPA（円）</t>
        </is>
      </c>
    </row>
    <row r="27">
      <c r="A27" t="inlineStr" s="140">
        <is>
          <t xml:space="preserve">AD30万円案</t>
        </is>
      </c>
      <c r="B27" s="28">
        <f>B6+'SIM_AD30万'!J51</f>
      </c>
      <c r="C27" s="10">
        <f>B11+'SIM_AD30万'!J40</f>
      </c>
      <c r="D27" s="28">
        <f>B27/C27</f>
      </c>
    </row>
    <row r="28">
      <c r="A28" t="inlineStr" s="140">
        <is>
          <t xml:space="preserve">AD100万円案</t>
        </is>
      </c>
      <c r="B28" s="28">
        <f>C6+'SIM_AD100万'!J51</f>
      </c>
      <c r="C28" s="10">
        <f>C11+'SIM_AD100万'!J40</f>
      </c>
      <c r="D28" s="28">
        <f>B28/C28</f>
      </c>
    </row>
    <row r="30">
      <c r="A30" t="inlineStr" s="69">
        <is>
          <t xml:space="preserve">※ADのCVは「お問い合わせ（タップ込み）」、LINEのCVは「物件情報の送信」で数え方が違う。ADのCVにLINEボタンのタップが含まれる場合は重なるので、合算は参考値。</t>
        </is>
      </c>
    </row>
    <row r="31">
      <c r="A31" t="inlineStr" s="69">
        <is>
          <t xml:space="preserve">※ADのクリック数を、サイトへの流入数としてそのまま足している（UUより多めになる）。広告から来た方の友だち追加率は、FMTの広告用の値（離脱防止＝表示65%×8%×8%／サイトのボタン0.25%）で、広告以外（55%×12%×12%／0.5%）の約半分。</t>
        </is>
      </c>
    </row>
    <row r="32">
      <c r="A32" t="inlineStr" s="69">
        <is>
          <t xml:space="preserve">※問い合わせ①②は、ver1.4（AD無し）の「新しい友だちに対する率」「クリックに対するCVR」を、そのまま広告流入にも当てている（仮置き）。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2909-3098-5A39-8FF2-CC109D375A2A}">
  <dimension ref="A2:Z76"/>
  <sheetViews>
    <sheetView topLeftCell="A9" zoomScale="55" zoomScaleNormal="55" workbookViewId="0">
      <selection activeCell="I38" sqref="I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inlineStr">
        <is>
          <t xml:space="preserve">株式会社あらうち御中_LINEOA施策提案【SIM】（離脱防止＋サイトのLINEボタン）＋ AD30万円案の広告流入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167</v>
      </c>
      <c r="D8" s="33">
        <v>0</v>
      </c>
      <c r="G8" s="121" t="s">
        <v>66</v>
      </c>
      <c r="H8" s="122">
        <f>'SIM_離脱防止＋サイトのボタン'!H8+H9</f>
      </c>
      <c r="I8" s="123"/>
      <c r="J8" s="123" t="s">
        <v>71</v>
      </c>
      <c r="K8" s="129">
        <v>0</v>
      </c>
      <c r="N8" s="69" t="inlineStr">
        <is>
          <t xml:space="preserve">UU＝今の1,737＋ADの提案（9/14）の月間クリック数（AD30万円案）。ADの数字はシート「AD提案0914」</t>
        </is>
      </c>
      <c r="O8" s="35" t="s">
        <v>160</v>
      </c>
    </row>
    <row r="9" spans="1:25" ht="18" thickBot="1" x14ac:dyDescent="0.6">
      <c r="A9" s="138"/>
      <c r="B9" s="19" t="s">
        <v>8</v>
      </c>
      <c r="C9" s="38" t="s">
        <v>169</v>
      </c>
      <c r="D9" s="33">
        <v>0</v>
      </c>
      <c r="G9" s="124" t="s">
        <v>152</v>
      </c>
      <c r="H9" s="125">
        <f>'AD提案0914'!B8</f>
      </c>
      <c r="I9" s="22"/>
      <c r="J9" s="29"/>
      <c r="K9" s="118"/>
      <c r="N9" s="132" t="inlineStr">
        <is>
          <t xml:space="preserve">広告流入。友だち追加率はFMTの広告用の値（離脱防止 表示65%×8%×8%／サイトのボタン0.25%）</t>
        </is>
      </c>
      <c r="O9" s="130" t="s">
        <v>159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170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171</v>
      </c>
      <c r="F13" s="36" t="s">
        <v>172</v>
      </c>
      <c r="G13" s="36" t="s">
        <v>173</v>
      </c>
      <c r="H13" s="36" t="s">
        <v>174</v>
      </c>
      <c r="I13" s="36" t="s">
        <v>175</v>
      </c>
      <c r="J13" s="36" t="s">
        <v>176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155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</c>
      <c r="Z19" s="35">
        <v>2.5</v>
      </c>
    </row>
    <row r="20" spans="1:26" x14ac:dyDescent="0.55000000000000004">
      <c r="A20" s="14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3">F23*1.01</f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178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118</v>
      </c>
      <c r="C24" s="17"/>
      <c r="D24" s="44" t="s">
        <v>21</v>
      </c>
      <c r="E24" s="46">
        <f>+IF(E19=FALSE,0,SUM(H10:H11)*0.15)</f>
      </c>
      <c r="F24" s="63">
        <f>E24*1.01</f>
      </c>
      <c r="G24" s="63">
        <f t="shared" si="3"/>
      </c>
      <c r="H24" s="63">
        <f t="shared" si="3"/>
      </c>
      <c r="I24" s="63">
        <f t="shared" si="3"/>
      </c>
      <c r="J24" s="63">
        <f t="shared" si="3"/>
      </c>
      <c r="K24" s="11"/>
      <c r="L24" s="7"/>
      <c r="N24" s="69" t="s">
        <v>179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</c>
      <c r="F25" s="46">
        <f t="shared" ref="F25:J25" si="4">+IF(F20=FALSE,0,SUM($H$10:$H$11)*0.7*0.3)+IF($E$21=FALSE,0,$K$8*0.15*0.15)</f>
      </c>
      <c r="G25" s="46">
        <f t="shared" si="4"/>
      </c>
      <c r="H25" s="46">
        <f t="shared" si="4"/>
      </c>
      <c r="I25" s="46">
        <f t="shared" si="4"/>
      </c>
      <c r="J25" s="46">
        <f t="shared" si="4"/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</c>
      <c r="F26" s="46">
        <f t="shared" ref="F26:J26" si="5">+SUM(F22:F25)+$H$9*$P$16+($H$8-$H$9)*$P$15</f>
      </c>
      <c r="G26" s="46">
        <f>+SUM(G22:G25)+$H$9*$P$16+($H$8-$H$9)*$P$15</f>
      </c>
      <c r="H26" s="46">
        <f t="shared" si="5"/>
      </c>
      <c r="I26" s="46">
        <f t="shared" si="5"/>
      </c>
      <c r="J26" s="46">
        <f t="shared" si="5"/>
      </c>
      <c r="K26" s="11"/>
      <c r="L26" s="7"/>
      <c r="N26" s="72" t="s">
        <v>180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0.35</v>
      </c>
      <c r="E27" s="47">
        <v>0.35</v>
      </c>
      <c r="F27" s="47">
        <f>ROUND(E27*1.01,3)</f>
      </c>
      <c r="G27" s="47">
        <f>ROUND(F27*1.01,3)</f>
      </c>
      <c r="H27" s="47">
        <f>ROUND(G27*1.01,3)</f>
      </c>
      <c r="I27" s="47">
        <f>ROUND(H27*1.01,3)</f>
      </c>
      <c r="J27" s="47">
        <f>ROUND(I27*1.01,3)</f>
      </c>
      <c r="K27" s="11"/>
      <c r="L27" s="7"/>
      <c r="N27" t="s">
        <v>181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1241</v>
      </c>
      <c r="E28" s="49">
        <f>+D28+E26</f>
      </c>
      <c r="F28" s="49">
        <f t="shared" ref="F28:J28" si="6">+E28+F26</f>
      </c>
      <c r="G28" s="49">
        <f t="shared" si="6"/>
      </c>
      <c r="H28" s="49">
        <f t="shared" si="6"/>
      </c>
      <c r="I28" s="49">
        <f t="shared" si="6"/>
      </c>
      <c r="J28" s="49">
        <f t="shared" si="6"/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</c>
      <c r="E29" s="50">
        <f>+E28*(1-E27)</f>
      </c>
      <c r="F29" s="50">
        <f t="shared" ref="F29:J29" si="7">+F28*(1-F27)</f>
      </c>
      <c r="G29" s="50">
        <f t="shared" si="7"/>
      </c>
      <c r="H29" s="50">
        <f t="shared" si="7"/>
      </c>
      <c r="I29" s="50">
        <f t="shared" si="7"/>
      </c>
      <c r="J29" s="50">
        <f t="shared" si="7"/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N31" t="s">
        <v>182</v>
      </c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183</v>
      </c>
      <c r="O32" s="17" t="s">
        <v>127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</c>
      <c r="F33" s="63">
        <f t="shared" si="8"/>
      </c>
      <c r="G33" s="63">
        <f t="shared" si="8"/>
      </c>
      <c r="H33" s="63">
        <f t="shared" si="8"/>
      </c>
      <c r="I33" s="63">
        <f t="shared" si="8"/>
      </c>
      <c r="J33" s="63">
        <f t="shared" si="8"/>
      </c>
      <c r="K33" s="11"/>
      <c r="L33" s="7"/>
      <c r="N33" t="s">
        <v>184</v>
      </c>
      <c r="O33" s="17" t="s">
        <v>136</v>
      </c>
      <c r="P33" s="75" t="b">
        <v>1</v>
      </c>
      <c r="Q33" s="73">
        <f t="shared" ref="Q33:Q35" si="9">+IF(P33=TRUE,1.1,0.95)</f>
      </c>
    </row>
    <row r="34" spans="1:17" ht="19" x14ac:dyDescent="0.55000000000000004">
      <c r="A34" s="148" t="s">
        <v>26</v>
      </c>
      <c r="B34" s="149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137</v>
      </c>
      <c r="P34" s="75" t="b">
        <v>0</v>
      </c>
      <c r="Q34" s="73">
        <f t="shared" si="9"/>
      </c>
    </row>
    <row r="35" spans="1:17" ht="19" x14ac:dyDescent="0.55000000000000004">
      <c r="A35" s="148" t="s">
        <v>25</v>
      </c>
      <c r="B35" s="149"/>
      <c r="C35" s="102"/>
      <c r="D35" s="109">
        <f>+D31*1.02</f>
      </c>
      <c r="E35" s="50">
        <f>+E31+E33+1.05*(E31+E33)</f>
      </c>
      <c r="F35" s="50">
        <f t="shared" ref="F35:J35" si="10">+F31+F33+1.05*(F31+F33)</f>
      </c>
      <c r="G35" s="50">
        <f t="shared" si="10"/>
      </c>
      <c r="H35" s="50">
        <f t="shared" si="10"/>
      </c>
      <c r="I35" s="50">
        <f t="shared" si="10"/>
      </c>
      <c r="J35" s="50">
        <f t="shared" si="10"/>
      </c>
      <c r="K35" s="11"/>
      <c r="L35" s="7"/>
      <c r="O35" s="17" t="s">
        <v>138</v>
      </c>
      <c r="P35" s="75" t="b">
        <v>1</v>
      </c>
      <c r="Q35" s="73">
        <f t="shared" si="9"/>
      </c>
    </row>
    <row r="36" spans="1:17" x14ac:dyDescent="0.55000000000000004">
      <c r="A36" s="150" t="s">
        <v>6</v>
      </c>
      <c r="B36" s="6">
        <f>+C8</f>
      </c>
      <c r="C36" s="6"/>
      <c r="D36" s="11">
        <v>0</v>
      </c>
      <c r="E36" s="111">
        <f>ROUND(E26*'SIM_離脱防止＋サイトのボタン'!E36/'SIM_離脱防止＋サイトのボタン'!E26,0)</f>
      </c>
      <c r="F36" s="111">
        <f>ROUND(F26*'SIM_離脱防止＋サイトのボタン'!F36/'SIM_離脱防止＋サイトのボタン'!F26,0)</f>
      </c>
      <c r="G36" s="111">
        <f>ROUND(G26*'SIM_離脱防止＋サイトのボタン'!G36/'SIM_離脱防止＋サイトのボタン'!G26,0)</f>
      </c>
      <c r="H36" s="111">
        <f>ROUND(H26*'SIM_離脱防止＋サイトのボタン'!H36/'SIM_離脱防止＋サイトのボタン'!H26,0)</f>
      </c>
      <c r="I36" s="111">
        <f>ROUND(I26*'SIM_離脱防止＋サイトのボタン'!I36/'SIM_離脱防止＋サイトのボタン'!I26,0)</f>
      </c>
      <c r="J36" s="111">
        <f>ROUND(J26*'SIM_離脱防止＋サイトのボタン'!J36/'SIM_離脱防止＋サイトのボタン'!J26,0)</f>
      </c>
      <c r="K36" s="115">
        <f>SUM(E36:J36)</f>
      </c>
      <c r="L36" s="7"/>
      <c r="N36" s="69" t="inlineStr">
        <is>
          <t xml:space="preserve">問い合わせ①＝新規友だち×ver1.4（AD無し）の率（22→57%）。広告流入にも同じ率を当てている（仮置き）</t>
        </is>
      </c>
      <c r="O36" s="17" t="s">
        <v>128</v>
      </c>
      <c r="P36" s="74">
        <f>1*(Q32*Q33*Q34*Q35)</f>
      </c>
      <c r="Q36" s="73"/>
    </row>
    <row r="37" spans="1:17" x14ac:dyDescent="0.55000000000000004">
      <c r="A37" s="151"/>
      <c r="B37" s="6">
        <f>+C9</f>
      </c>
      <c r="C37" s="6"/>
      <c r="D37" s="11">
        <v>0</v>
      </c>
      <c r="E37" s="111">
        <f>ROUND(E35*'SIM_離脱防止＋サイトのボタン'!E37/'SIM_離脱防止＋サイトのボタン'!E35,0)</f>
      </c>
      <c r="F37" s="111">
        <f>ROUND(F35*'SIM_離脱防止＋サイトのボタン'!F37/'SIM_離脱防止＋サイトのボタン'!F35,0)</f>
      </c>
      <c r="G37" s="111">
        <f>ROUND(G35*'SIM_離脱防止＋サイトのボタン'!G37/'SIM_離脱防止＋サイトのボタン'!G35,0)</f>
      </c>
      <c r="H37" s="111">
        <f>ROUND(H35*'SIM_離脱防止＋サイトのボタン'!H37/'SIM_離脱防止＋サイトのボタン'!H35,0)</f>
      </c>
      <c r="I37" s="111">
        <f>ROUND(I35*'SIM_離脱防止＋サイトのボタン'!I37/'SIM_離脱防止＋サイトのボタン'!I35,0)</f>
      </c>
      <c r="J37" s="111">
        <f>ROUND(J35*'SIM_離脱防止＋サイトのボタン'!J37/'SIM_離脱防止＋サイトのボタン'!J35,0)</f>
      </c>
      <c r="K37" s="115">
        <f>SUM(E37:J37)</f>
      </c>
      <c r="L37" s="7"/>
      <c r="N37" s="69" t="inlineStr">
        <is>
          <t xml:space="preserve">問い合わせ②＝配信クリック×ver1.4（AD無し）のCVR（0.3→2.0%）。広告流入にも同じ率を当てている（仮置き）</t>
        </is>
      </c>
    </row>
    <row r="38" spans="1:17" x14ac:dyDescent="0.55000000000000004">
      <c r="A38" s="150" t="s">
        <v>9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1">+SUM(D36:D39)</f>
      </c>
      <c r="E40" s="10">
        <f t="shared" si="11"/>
      </c>
      <c r="F40" s="10">
        <f t="shared" si="11"/>
      </c>
      <c r="G40" s="10">
        <f t="shared" si="11"/>
      </c>
      <c r="H40" s="10">
        <f t="shared" si="11"/>
      </c>
      <c r="I40" s="10">
        <f t="shared" si="11"/>
      </c>
      <c r="J40" s="10">
        <f t="shared" si="11"/>
      </c>
      <c r="K40" s="115">
        <f>SUM(E40:J40)</f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</c>
      <c r="E41" s="18">
        <f t="shared" ref="E41:J41" si="13">+IFERROR(E37/E35,0)</f>
      </c>
      <c r="F41" s="18">
        <f t="shared" si="13"/>
      </c>
      <c r="G41" s="18">
        <f t="shared" si="13"/>
      </c>
      <c r="H41" s="18">
        <f t="shared" si="13"/>
      </c>
      <c r="I41" s="18">
        <f t="shared" si="13"/>
      </c>
      <c r="J41" s="18">
        <f t="shared" si="13"/>
      </c>
      <c r="N41" s="69" t="s">
        <v>187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</c>
      <c r="F44" s="31">
        <f t="shared" ref="F44:J44" si="14">+F75*F76</f>
      </c>
      <c r="G44" s="31">
        <f t="shared" si="14"/>
      </c>
      <c r="H44" s="31">
        <f t="shared" si="14"/>
      </c>
      <c r="I44" s="31">
        <f t="shared" si="14"/>
      </c>
      <c r="J44" s="31">
        <f t="shared" si="14"/>
      </c>
      <c r="K44" s="11"/>
      <c r="L44" s="7"/>
    </row>
    <row r="45" spans="1:17" x14ac:dyDescent="0.55000000000000004">
      <c r="A45" s="144" t="s">
        <v>133</v>
      </c>
      <c r="B45" s="145"/>
      <c r="C45" s="104">
        <f>+SUM(C65:C72)</f>
      </c>
      <c r="D45" s="80">
        <f>+SUM(D65:D72)</f>
      </c>
      <c r="E45" s="27">
        <f>SUM(E65:E69)+SUM(E71:E72)</f>
      </c>
      <c r="F45" s="27">
        <f t="shared" ref="F45:J45" si="15">SUM(F65:F69)+SUM(F71:F72)</f>
      </c>
      <c r="G45" s="27">
        <f t="shared" si="15"/>
      </c>
      <c r="H45" s="27">
        <f t="shared" si="15"/>
      </c>
      <c r="I45" s="27">
        <f t="shared" si="15"/>
      </c>
      <c r="J45" s="27">
        <f t="shared" si="15"/>
      </c>
      <c r="K45" s="11"/>
      <c r="L45" s="7"/>
    </row>
    <row r="46" spans="1:17" ht="18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(SUM(E65:E67)+E71)/(E28-D28)</f>
      </c>
      <c r="F46" s="28">
        <f t="shared" si="16"/>
      </c>
      <c r="G46" s="28">
        <f t="shared" si="16"/>
      </c>
      <c r="H46" s="28">
        <f t="shared" si="16"/>
      </c>
      <c r="I46" s="28">
        <f t="shared" si="16"/>
      </c>
      <c r="J46" s="28">
        <f t="shared" si="16"/>
      </c>
      <c r="K46" s="11"/>
      <c r="L46" s="7"/>
      <c r="N46" t="s">
        <v>188</v>
      </c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</c>
      <c r="F47" s="28">
        <f t="shared" si="17"/>
      </c>
      <c r="G47" s="28">
        <f t="shared" si="17"/>
      </c>
      <c r="H47" s="28">
        <f t="shared" si="17"/>
      </c>
      <c r="I47" s="28">
        <f t="shared" si="17"/>
      </c>
      <c r="J47" s="28">
        <f>+J51/J35</f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8">+IFERROR(E37/E35,0)</f>
      </c>
      <c r="F48" s="32">
        <f t="shared" si="18"/>
      </c>
      <c r="G48" s="32">
        <f t="shared" si="18"/>
      </c>
      <c r="H48" s="32">
        <f t="shared" si="18"/>
      </c>
      <c r="I48" s="32">
        <f t="shared" si="18"/>
      </c>
      <c r="J48" s="32">
        <f t="shared" si="18"/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</c>
      <c r="F49" s="28">
        <f t="shared" ref="F49:J49" si="19">+IFERROR(F51/SUM(F36:F39),0)</f>
      </c>
      <c r="G49" s="28">
        <f t="shared" si="19"/>
      </c>
      <c r="H49" s="28">
        <f t="shared" si="19"/>
      </c>
      <c r="I49" s="28">
        <f t="shared" si="19"/>
      </c>
      <c r="J49" s="28">
        <f t="shared" si="19"/>
      </c>
      <c r="K49" s="11"/>
      <c r="L49" s="7"/>
    </row>
    <row r="50" spans="1:12" x14ac:dyDescent="0.55000000000000004">
      <c r="A50" s="152" t="s">
        <v>119</v>
      </c>
      <c r="B50" s="153"/>
      <c r="C50" s="105"/>
      <c r="D50" s="64" t="s">
        <v>22</v>
      </c>
      <c r="E50" s="65">
        <f>+E36*$D$8+E38*$D$10</f>
      </c>
      <c r="F50" s="65">
        <f t="shared" ref="F50:J50" si="20">+F36*$D$8+F38*$D$10</f>
      </c>
      <c r="G50" s="65">
        <f t="shared" si="20"/>
      </c>
      <c r="H50" s="65">
        <f t="shared" si="20"/>
      </c>
      <c r="I50" s="65">
        <f t="shared" si="20"/>
      </c>
      <c r="J50" s="65">
        <f t="shared" si="20"/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</c>
      <c r="D51" s="40">
        <f>+D45</f>
      </c>
      <c r="E51" s="40">
        <f>SUM(E45,E50)+E44</f>
      </c>
      <c r="F51" s="40">
        <f t="shared" ref="F51:I51" si="21">SUM(F45,F50)+F44</f>
      </c>
      <c r="G51" s="40">
        <f t="shared" si="21"/>
      </c>
      <c r="H51" s="40">
        <f t="shared" si="21"/>
      </c>
      <c r="I51" s="40">
        <f t="shared" si="21"/>
      </c>
      <c r="J51" s="40">
        <f>SUM(J45,J50)+J44</f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</c>
      <c r="E54" s="28">
        <f t="shared" ref="E54:J54" si="22">+E75*E76</f>
      </c>
      <c r="F54" s="28">
        <f t="shared" si="22"/>
      </c>
      <c r="G54" s="28">
        <f t="shared" si="22"/>
      </c>
      <c r="H54" s="28">
        <f t="shared" si="22"/>
      </c>
      <c r="I54" s="28">
        <f t="shared" si="22"/>
      </c>
      <c r="J54" s="28">
        <f t="shared" si="22"/>
      </c>
      <c r="K54" s="11"/>
      <c r="L54" s="7"/>
    </row>
    <row r="55" spans="1:12" hidden="1" x14ac:dyDescent="0.55000000000000004">
      <c r="A55" s="144" t="s">
        <v>133</v>
      </c>
      <c r="B55" s="145"/>
      <c r="C55" s="96"/>
      <c r="D55" s="27">
        <f>+SUM(D65:D72)</f>
      </c>
      <c r="E55" s="27">
        <f>SUM(E65:E72)+E54</f>
      </c>
      <c r="F55" s="27">
        <f t="shared" ref="F55:J55" si="23">SUM(F65:F72)+F54</f>
      </c>
      <c r="G55" s="27">
        <f t="shared" si="23"/>
      </c>
      <c r="H55" s="27">
        <f t="shared" si="23"/>
      </c>
      <c r="I55" s="27">
        <f t="shared" si="23"/>
      </c>
      <c r="J55" s="27">
        <f t="shared" si="23"/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(SUM(E65:E67)+E71)/(E28-D28)</f>
      </c>
      <c r="F56" s="28">
        <f t="shared" si="24"/>
      </c>
      <c r="G56" s="28">
        <f t="shared" si="24"/>
      </c>
      <c r="H56" s="28">
        <f t="shared" si="24"/>
      </c>
      <c r="I56" s="28">
        <f t="shared" si="24"/>
      </c>
      <c r="J56" s="28">
        <f t="shared" si="24"/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</c>
      <c r="F57" s="28">
        <f t="shared" ref="F57:J57" si="25">+F61/F35</f>
      </c>
      <c r="G57" s="28">
        <f t="shared" si="25"/>
      </c>
      <c r="H57" s="28">
        <f t="shared" si="25"/>
      </c>
      <c r="I57" s="28">
        <f t="shared" si="25"/>
      </c>
      <c r="J57" s="28">
        <f t="shared" si="25"/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+IFERROR(E37/E35,0)</f>
      </c>
      <c r="F58" s="32">
        <f t="shared" si="26"/>
      </c>
      <c r="G58" s="32">
        <f t="shared" si="26"/>
      </c>
      <c r="H58" s="32">
        <f t="shared" si="26"/>
      </c>
      <c r="I58" s="32">
        <f t="shared" si="26"/>
      </c>
      <c r="J58" s="32">
        <f t="shared" si="26"/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>+IFERROR(E55/E40,0)</f>
      </c>
      <c r="F59" s="28">
        <f t="shared" ref="F59:J59" si="27">+IFERROR(F55/F40,0)</f>
      </c>
      <c r="G59" s="28">
        <f t="shared" si="27"/>
      </c>
      <c r="H59" s="28">
        <f t="shared" si="27"/>
      </c>
      <c r="I59" s="28">
        <f t="shared" si="27"/>
      </c>
      <c r="J59" s="28">
        <f t="shared" si="27"/>
      </c>
      <c r="K59" s="11"/>
      <c r="L59" s="7"/>
    </row>
    <row r="60" spans="1:12" hidden="1" x14ac:dyDescent="0.55000000000000004">
      <c r="A60" s="152" t="s">
        <v>119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</c>
      <c r="E61" s="40">
        <f>+SUM(E65:E72)+E54</f>
      </c>
      <c r="F61" s="40">
        <f t="shared" ref="F61:J61" si="28">+SUM(F65:F72)+F54</f>
      </c>
      <c r="G61" s="40">
        <f t="shared" si="28"/>
      </c>
      <c r="H61" s="40">
        <f t="shared" si="28"/>
      </c>
      <c r="I61" s="40">
        <f t="shared" si="28"/>
      </c>
      <c r="J61" s="40">
        <f t="shared" si="28"/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189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190</v>
      </c>
    </row>
    <row r="67" spans="1:16" x14ac:dyDescent="0.55000000000000004">
      <c r="B67" s="6" t="s">
        <v>191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192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</c>
      <c r="F68" s="28">
        <f t="shared" si="29"/>
      </c>
      <c r="G68" s="28">
        <f t="shared" si="29"/>
      </c>
      <c r="H68" s="28">
        <f t="shared" si="29"/>
      </c>
      <c r="I68" s="28">
        <f t="shared" si="29"/>
      </c>
      <c r="J68" s="28">
        <f t="shared" si="29"/>
      </c>
      <c r="N68" s="69" t="s">
        <v>193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194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195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</c>
      <c r="E73" s="114">
        <f t="shared" ref="E73:J73" si="30">SUM(E65:E72)+E54</f>
      </c>
      <c r="F73" s="114">
        <f t="shared" si="30"/>
      </c>
      <c r="G73" s="114">
        <f t="shared" si="30"/>
      </c>
      <c r="H73" s="114">
        <f t="shared" si="30"/>
      </c>
      <c r="I73" s="114">
        <f t="shared" si="30"/>
      </c>
      <c r="J73" s="114">
        <f t="shared" si="30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</c>
      <c r="E75" s="41">
        <f t="shared" si="31"/>
      </c>
      <c r="F75" s="41">
        <f t="shared" si="31"/>
      </c>
      <c r="G75" s="41">
        <f t="shared" si="31"/>
      </c>
      <c r="H75" s="41">
        <f t="shared" si="31"/>
      </c>
      <c r="I75" s="41">
        <f t="shared" si="31"/>
      </c>
      <c r="J75" s="41">
        <f t="shared" si="31"/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2"/>
      </c>
      <c r="F76" s="5">
        <f t="shared" si="32"/>
      </c>
      <c r="G76" s="5">
        <f t="shared" si="32"/>
      </c>
      <c r="H76" s="5">
        <f t="shared" si="32"/>
      </c>
      <c r="I76" s="5">
        <f t="shared" si="32"/>
      </c>
      <c r="J76" s="5">
        <f t="shared" si="32"/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72C5-97BC-50FA-8D9D-E141EEB2C794}">
  <dimension ref="A2:Z76"/>
  <sheetViews>
    <sheetView topLeftCell="A9" zoomScale="55" zoomScaleNormal="55" workbookViewId="0">
      <selection activeCell="I38" sqref="I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inlineStr">
        <is>
          <t xml:space="preserve">株式会社あらうち御中_LINEOA施策提案【SIM】（離脱防止＋サイトのLINEボタン）＋ AD100万円案の広告流入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167</v>
      </c>
      <c r="D8" s="33">
        <v>0</v>
      </c>
      <c r="G8" s="121" t="s">
        <v>66</v>
      </c>
      <c r="H8" s="122">
        <f>'SIM_離脱防止＋サイトのボタン'!H8+H9</f>
      </c>
      <c r="I8" s="123"/>
      <c r="J8" s="123" t="s">
        <v>71</v>
      </c>
      <c r="K8" s="129">
        <v>0</v>
      </c>
      <c r="N8" s="69" t="inlineStr">
        <is>
          <t xml:space="preserve">UU＝今の1,737＋ADの提案（9/14）の月間クリック数（AD100万円案）。ADの数字はシート「AD提案0914」</t>
        </is>
      </c>
      <c r="O8" s="35" t="s">
        <v>160</v>
      </c>
    </row>
    <row r="9" spans="1:25" ht="18" thickBot="1" x14ac:dyDescent="0.6">
      <c r="A9" s="138"/>
      <c r="B9" s="19" t="s">
        <v>8</v>
      </c>
      <c r="C9" s="38" t="s">
        <v>169</v>
      </c>
      <c r="D9" s="33">
        <v>0</v>
      </c>
      <c r="G9" s="124" t="s">
        <v>152</v>
      </c>
      <c r="H9" s="125">
        <f>'AD提案0914'!C8</f>
      </c>
      <c r="I9" s="22"/>
      <c r="J9" s="29"/>
      <c r="K9" s="118"/>
      <c r="N9" s="132" t="inlineStr">
        <is>
          <t xml:space="preserve">広告流入。友だち追加率はFMTの広告用の値（離脱防止 表示65%×8%×8%／サイトのボタン0.25%）</t>
        </is>
      </c>
      <c r="O9" s="130" t="s">
        <v>159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170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171</v>
      </c>
      <c r="F13" s="36" t="s">
        <v>172</v>
      </c>
      <c r="G13" s="36" t="s">
        <v>173</v>
      </c>
      <c r="H13" s="36" t="s">
        <v>174</v>
      </c>
      <c r="I13" s="36" t="s">
        <v>175</v>
      </c>
      <c r="J13" s="36" t="s">
        <v>176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155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</c>
      <c r="Z19" s="35">
        <v>2.5</v>
      </c>
    </row>
    <row r="20" spans="1:26" x14ac:dyDescent="0.55000000000000004">
      <c r="A20" s="14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3">F23*1.01</f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178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118</v>
      </c>
      <c r="C24" s="17"/>
      <c r="D24" s="44" t="s">
        <v>21</v>
      </c>
      <c r="E24" s="46">
        <f>+IF(E19=FALSE,0,SUM(H10:H11)*0.15)</f>
      </c>
      <c r="F24" s="63">
        <f>E24*1.01</f>
      </c>
      <c r="G24" s="63">
        <f t="shared" si="3"/>
      </c>
      <c r="H24" s="63">
        <f t="shared" si="3"/>
      </c>
      <c r="I24" s="63">
        <f t="shared" si="3"/>
      </c>
      <c r="J24" s="63">
        <f t="shared" si="3"/>
      </c>
      <c r="K24" s="11"/>
      <c r="L24" s="7"/>
      <c r="N24" s="69" t="s">
        <v>179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</c>
      <c r="F25" s="46">
        <f t="shared" ref="F25:J25" si="4">+IF(F20=FALSE,0,SUM($H$10:$H$11)*0.7*0.3)+IF($E$21=FALSE,0,$K$8*0.15*0.15)</f>
      </c>
      <c r="G25" s="46">
        <f t="shared" si="4"/>
      </c>
      <c r="H25" s="46">
        <f t="shared" si="4"/>
      </c>
      <c r="I25" s="46">
        <f t="shared" si="4"/>
      </c>
      <c r="J25" s="46">
        <f t="shared" si="4"/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</c>
      <c r="F26" s="46">
        <f t="shared" ref="F26:J26" si="5">+SUM(F22:F25)+$H$9*$P$16+($H$8-$H$9)*$P$15</f>
      </c>
      <c r="G26" s="46">
        <f>+SUM(G22:G25)+$H$9*$P$16+($H$8-$H$9)*$P$15</f>
      </c>
      <c r="H26" s="46">
        <f t="shared" si="5"/>
      </c>
      <c r="I26" s="46">
        <f t="shared" si="5"/>
      </c>
      <c r="J26" s="46">
        <f t="shared" si="5"/>
      </c>
      <c r="K26" s="11"/>
      <c r="L26" s="7"/>
      <c r="N26" s="72" t="s">
        <v>180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0.35</v>
      </c>
      <c r="E27" s="47">
        <v>0.35</v>
      </c>
      <c r="F27" s="47">
        <f>ROUND(E27*1.01,3)</f>
      </c>
      <c r="G27" s="47">
        <f>ROUND(F27*1.01,3)</f>
      </c>
      <c r="H27" s="47">
        <f>ROUND(G27*1.01,3)</f>
      </c>
      <c r="I27" s="47">
        <f>ROUND(H27*1.01,3)</f>
      </c>
      <c r="J27" s="47">
        <f>ROUND(I27*1.01,3)</f>
      </c>
      <c r="K27" s="11"/>
      <c r="L27" s="7"/>
      <c r="N27" t="s">
        <v>181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1241</v>
      </c>
      <c r="E28" s="49">
        <f>+D28+E26</f>
      </c>
      <c r="F28" s="49">
        <f t="shared" ref="F28:J28" si="6">+E28+F26</f>
      </c>
      <c r="G28" s="49">
        <f t="shared" si="6"/>
      </c>
      <c r="H28" s="49">
        <f t="shared" si="6"/>
      </c>
      <c r="I28" s="49">
        <f t="shared" si="6"/>
      </c>
      <c r="J28" s="49">
        <f t="shared" si="6"/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</c>
      <c r="E29" s="50">
        <f>+E28*(1-E27)</f>
      </c>
      <c r="F29" s="50">
        <f t="shared" ref="F29:J29" si="7">+F28*(1-F27)</f>
      </c>
      <c r="G29" s="50">
        <f t="shared" si="7"/>
      </c>
      <c r="H29" s="50">
        <f t="shared" si="7"/>
      </c>
      <c r="I29" s="50">
        <f t="shared" si="7"/>
      </c>
      <c r="J29" s="50">
        <f t="shared" si="7"/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N31" t="s">
        <v>182</v>
      </c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183</v>
      </c>
      <c r="O32" s="17" t="s">
        <v>127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</c>
      <c r="F33" s="63">
        <f t="shared" si="8"/>
      </c>
      <c r="G33" s="63">
        <f t="shared" si="8"/>
      </c>
      <c r="H33" s="63">
        <f t="shared" si="8"/>
      </c>
      <c r="I33" s="63">
        <f t="shared" si="8"/>
      </c>
      <c r="J33" s="63">
        <f t="shared" si="8"/>
      </c>
      <c r="K33" s="11"/>
      <c r="L33" s="7"/>
      <c r="N33" t="s">
        <v>184</v>
      </c>
      <c r="O33" s="17" t="s">
        <v>136</v>
      </c>
      <c r="P33" s="75" t="b">
        <v>1</v>
      </c>
      <c r="Q33" s="73">
        <f t="shared" ref="Q33:Q35" si="9">+IF(P33=TRUE,1.1,0.95)</f>
      </c>
    </row>
    <row r="34" spans="1:17" ht="19" x14ac:dyDescent="0.55000000000000004">
      <c r="A34" s="148" t="s">
        <v>26</v>
      </c>
      <c r="B34" s="149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137</v>
      </c>
      <c r="P34" s="75" t="b">
        <v>0</v>
      </c>
      <c r="Q34" s="73">
        <f t="shared" si="9"/>
      </c>
    </row>
    <row r="35" spans="1:17" ht="19" x14ac:dyDescent="0.55000000000000004">
      <c r="A35" s="148" t="s">
        <v>25</v>
      </c>
      <c r="B35" s="149"/>
      <c r="C35" s="102"/>
      <c r="D35" s="109">
        <f>+D31*1.02</f>
      </c>
      <c r="E35" s="50">
        <f>+E31+E33+1.05*(E31+E33)</f>
      </c>
      <c r="F35" s="50">
        <f t="shared" ref="F35:J35" si="10">+F31+F33+1.05*(F31+F33)</f>
      </c>
      <c r="G35" s="50">
        <f t="shared" si="10"/>
      </c>
      <c r="H35" s="50">
        <f t="shared" si="10"/>
      </c>
      <c r="I35" s="50">
        <f t="shared" si="10"/>
      </c>
      <c r="J35" s="50">
        <f t="shared" si="10"/>
      </c>
      <c r="K35" s="11"/>
      <c r="L35" s="7"/>
      <c r="O35" s="17" t="s">
        <v>138</v>
      </c>
      <c r="P35" s="75" t="b">
        <v>1</v>
      </c>
      <c r="Q35" s="73">
        <f t="shared" si="9"/>
      </c>
    </row>
    <row r="36" spans="1:17" x14ac:dyDescent="0.55000000000000004">
      <c r="A36" s="150" t="s">
        <v>6</v>
      </c>
      <c r="B36" s="6">
        <f>+C8</f>
      </c>
      <c r="C36" s="6"/>
      <c r="D36" s="11">
        <v>0</v>
      </c>
      <c r="E36" s="111">
        <f>ROUND(E26*'SIM_離脱防止＋サイトのボタン'!E36/'SIM_離脱防止＋サイトのボタン'!E26,0)</f>
      </c>
      <c r="F36" s="111">
        <f>ROUND(F26*'SIM_離脱防止＋サイトのボタン'!F36/'SIM_離脱防止＋サイトのボタン'!F26,0)</f>
      </c>
      <c r="G36" s="111">
        <f>ROUND(G26*'SIM_離脱防止＋サイトのボタン'!G36/'SIM_離脱防止＋サイトのボタン'!G26,0)</f>
      </c>
      <c r="H36" s="111">
        <f>ROUND(H26*'SIM_離脱防止＋サイトのボタン'!H36/'SIM_離脱防止＋サイトのボタン'!H26,0)</f>
      </c>
      <c r="I36" s="111">
        <f>ROUND(I26*'SIM_離脱防止＋サイトのボタン'!I36/'SIM_離脱防止＋サイトのボタン'!I26,0)</f>
      </c>
      <c r="J36" s="111">
        <f>ROUND(J26*'SIM_離脱防止＋サイトのボタン'!J36/'SIM_離脱防止＋サイトのボタン'!J26,0)</f>
      </c>
      <c r="K36" s="115">
        <f>SUM(E36:J36)</f>
      </c>
      <c r="L36" s="7"/>
      <c r="N36" s="69" t="inlineStr">
        <is>
          <t xml:space="preserve">問い合わせ①＝新規友だち×ver1.4（AD無し）の率（22→57%）。広告流入にも同じ率を当てている（仮置き）</t>
        </is>
      </c>
      <c r="O36" s="17" t="s">
        <v>128</v>
      </c>
      <c r="P36" s="74">
        <f>1*(Q32*Q33*Q34*Q35)</f>
      </c>
      <c r="Q36" s="73"/>
    </row>
    <row r="37" spans="1:17" x14ac:dyDescent="0.55000000000000004">
      <c r="A37" s="151"/>
      <c r="B37" s="6">
        <f>+C9</f>
      </c>
      <c r="C37" s="6"/>
      <c r="D37" s="11">
        <v>0</v>
      </c>
      <c r="E37" s="111">
        <f>ROUND(E35*'SIM_離脱防止＋サイトのボタン'!E37/'SIM_離脱防止＋サイトのボタン'!E35,0)</f>
      </c>
      <c r="F37" s="111">
        <f>ROUND(F35*'SIM_離脱防止＋サイトのボタン'!F37/'SIM_離脱防止＋サイトのボタン'!F35,0)</f>
      </c>
      <c r="G37" s="111">
        <f>ROUND(G35*'SIM_離脱防止＋サイトのボタン'!G37/'SIM_離脱防止＋サイトのボタン'!G35,0)</f>
      </c>
      <c r="H37" s="111">
        <f>ROUND(H35*'SIM_離脱防止＋サイトのボタン'!H37/'SIM_離脱防止＋サイトのボタン'!H35,0)</f>
      </c>
      <c r="I37" s="111">
        <f>ROUND(I35*'SIM_離脱防止＋サイトのボタン'!I37/'SIM_離脱防止＋サイトのボタン'!I35,0)</f>
      </c>
      <c r="J37" s="111">
        <f>ROUND(J35*'SIM_離脱防止＋サイトのボタン'!J37/'SIM_離脱防止＋サイトのボタン'!J35,0)</f>
      </c>
      <c r="K37" s="115">
        <f>SUM(E37:J37)</f>
      </c>
      <c r="L37" s="7"/>
      <c r="N37" s="69" t="inlineStr">
        <is>
          <t xml:space="preserve">問い合わせ②＝配信クリック×ver1.4（AD無し）のCVR（0.3→2.0%）。広告流入にも同じ率を当てている（仮置き）</t>
        </is>
      </c>
    </row>
    <row r="38" spans="1:17" x14ac:dyDescent="0.55000000000000004">
      <c r="A38" s="150" t="s">
        <v>9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1">+SUM(D36:D39)</f>
      </c>
      <c r="E40" s="10">
        <f t="shared" si="11"/>
      </c>
      <c r="F40" s="10">
        <f t="shared" si="11"/>
      </c>
      <c r="G40" s="10">
        <f t="shared" si="11"/>
      </c>
      <c r="H40" s="10">
        <f t="shared" si="11"/>
      </c>
      <c r="I40" s="10">
        <f t="shared" si="11"/>
      </c>
      <c r="J40" s="10">
        <f t="shared" si="11"/>
      </c>
      <c r="K40" s="115">
        <f>SUM(E40:J40)</f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</c>
      <c r="E41" s="18">
        <f t="shared" ref="E41:J41" si="13">+IFERROR(E37/E35,0)</f>
      </c>
      <c r="F41" s="18">
        <f t="shared" si="13"/>
      </c>
      <c r="G41" s="18">
        <f t="shared" si="13"/>
      </c>
      <c r="H41" s="18">
        <f t="shared" si="13"/>
      </c>
      <c r="I41" s="18">
        <f t="shared" si="13"/>
      </c>
      <c r="J41" s="18">
        <f t="shared" si="13"/>
      </c>
      <c r="N41" s="69" t="s">
        <v>187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</c>
      <c r="F44" s="31">
        <f t="shared" ref="F44:J44" si="14">+F75*F76</f>
      </c>
      <c r="G44" s="31">
        <f t="shared" si="14"/>
      </c>
      <c r="H44" s="31">
        <f t="shared" si="14"/>
      </c>
      <c r="I44" s="31">
        <f t="shared" si="14"/>
      </c>
      <c r="J44" s="31">
        <f t="shared" si="14"/>
      </c>
      <c r="K44" s="11"/>
      <c r="L44" s="7"/>
    </row>
    <row r="45" spans="1:17" x14ac:dyDescent="0.55000000000000004">
      <c r="A45" s="144" t="s">
        <v>133</v>
      </c>
      <c r="B45" s="145"/>
      <c r="C45" s="104">
        <f>+SUM(C65:C72)</f>
      </c>
      <c r="D45" s="80">
        <f>+SUM(D65:D72)</f>
      </c>
      <c r="E45" s="27">
        <f>SUM(E65:E69)+SUM(E71:E72)</f>
      </c>
      <c r="F45" s="27">
        <f t="shared" ref="F45:J45" si="15">SUM(F65:F69)+SUM(F71:F72)</f>
      </c>
      <c r="G45" s="27">
        <f t="shared" si="15"/>
      </c>
      <c r="H45" s="27">
        <f t="shared" si="15"/>
      </c>
      <c r="I45" s="27">
        <f t="shared" si="15"/>
      </c>
      <c r="J45" s="27">
        <f t="shared" si="15"/>
      </c>
      <c r="K45" s="11"/>
      <c r="L45" s="7"/>
    </row>
    <row r="46" spans="1:17" ht="18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(SUM(E65:E67)+E71)/(E28-D28)</f>
      </c>
      <c r="F46" s="28">
        <f t="shared" si="16"/>
      </c>
      <c r="G46" s="28">
        <f t="shared" si="16"/>
      </c>
      <c r="H46" s="28">
        <f t="shared" si="16"/>
      </c>
      <c r="I46" s="28">
        <f t="shared" si="16"/>
      </c>
      <c r="J46" s="28">
        <f t="shared" si="16"/>
      </c>
      <c r="K46" s="11"/>
      <c r="L46" s="7"/>
      <c r="N46" t="s">
        <v>188</v>
      </c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</c>
      <c r="F47" s="28">
        <f t="shared" si="17"/>
      </c>
      <c r="G47" s="28">
        <f t="shared" si="17"/>
      </c>
      <c r="H47" s="28">
        <f t="shared" si="17"/>
      </c>
      <c r="I47" s="28">
        <f t="shared" si="17"/>
      </c>
      <c r="J47" s="28">
        <f>+J51/J35</f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8">+IFERROR(E37/E35,0)</f>
      </c>
      <c r="F48" s="32">
        <f t="shared" si="18"/>
      </c>
      <c r="G48" s="32">
        <f t="shared" si="18"/>
      </c>
      <c r="H48" s="32">
        <f t="shared" si="18"/>
      </c>
      <c r="I48" s="32">
        <f t="shared" si="18"/>
      </c>
      <c r="J48" s="32">
        <f t="shared" si="18"/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</c>
      <c r="F49" s="28">
        <f t="shared" ref="F49:J49" si="19">+IFERROR(F51/SUM(F36:F39),0)</f>
      </c>
      <c r="G49" s="28">
        <f t="shared" si="19"/>
      </c>
      <c r="H49" s="28">
        <f t="shared" si="19"/>
      </c>
      <c r="I49" s="28">
        <f t="shared" si="19"/>
      </c>
      <c r="J49" s="28">
        <f t="shared" si="19"/>
      </c>
      <c r="K49" s="11"/>
      <c r="L49" s="7"/>
    </row>
    <row r="50" spans="1:12" x14ac:dyDescent="0.55000000000000004">
      <c r="A50" s="152" t="s">
        <v>119</v>
      </c>
      <c r="B50" s="153"/>
      <c r="C50" s="105"/>
      <c r="D50" s="64" t="s">
        <v>22</v>
      </c>
      <c r="E50" s="65">
        <f>+E36*$D$8+E38*$D$10</f>
      </c>
      <c r="F50" s="65">
        <f t="shared" ref="F50:J50" si="20">+F36*$D$8+F38*$D$10</f>
      </c>
      <c r="G50" s="65">
        <f t="shared" si="20"/>
      </c>
      <c r="H50" s="65">
        <f t="shared" si="20"/>
      </c>
      <c r="I50" s="65">
        <f t="shared" si="20"/>
      </c>
      <c r="J50" s="65">
        <f t="shared" si="20"/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</c>
      <c r="D51" s="40">
        <f>+D45</f>
      </c>
      <c r="E51" s="40">
        <f>SUM(E45,E50)+E44</f>
      </c>
      <c r="F51" s="40">
        <f t="shared" ref="F51:I51" si="21">SUM(F45,F50)+F44</f>
      </c>
      <c r="G51" s="40">
        <f t="shared" si="21"/>
      </c>
      <c r="H51" s="40">
        <f t="shared" si="21"/>
      </c>
      <c r="I51" s="40">
        <f t="shared" si="21"/>
      </c>
      <c r="J51" s="40">
        <f>SUM(J45,J50)+J44</f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</c>
      <c r="E54" s="28">
        <f t="shared" ref="E54:J54" si="22">+E75*E76</f>
      </c>
      <c r="F54" s="28">
        <f t="shared" si="22"/>
      </c>
      <c r="G54" s="28">
        <f t="shared" si="22"/>
      </c>
      <c r="H54" s="28">
        <f t="shared" si="22"/>
      </c>
      <c r="I54" s="28">
        <f t="shared" si="22"/>
      </c>
      <c r="J54" s="28">
        <f t="shared" si="22"/>
      </c>
      <c r="K54" s="11"/>
      <c r="L54" s="7"/>
    </row>
    <row r="55" spans="1:12" hidden="1" x14ac:dyDescent="0.55000000000000004">
      <c r="A55" s="144" t="s">
        <v>133</v>
      </c>
      <c r="B55" s="145"/>
      <c r="C55" s="96"/>
      <c r="D55" s="27">
        <f>+SUM(D65:D72)</f>
      </c>
      <c r="E55" s="27">
        <f>SUM(E65:E72)+E54</f>
      </c>
      <c r="F55" s="27">
        <f t="shared" ref="F55:J55" si="23">SUM(F65:F72)+F54</f>
      </c>
      <c r="G55" s="27">
        <f t="shared" si="23"/>
      </c>
      <c r="H55" s="27">
        <f t="shared" si="23"/>
      </c>
      <c r="I55" s="27">
        <f t="shared" si="23"/>
      </c>
      <c r="J55" s="27">
        <f t="shared" si="23"/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(SUM(E65:E67)+E71)/(E28-D28)</f>
      </c>
      <c r="F56" s="28">
        <f t="shared" si="24"/>
      </c>
      <c r="G56" s="28">
        <f t="shared" si="24"/>
      </c>
      <c r="H56" s="28">
        <f t="shared" si="24"/>
      </c>
      <c r="I56" s="28">
        <f t="shared" si="24"/>
      </c>
      <c r="J56" s="28">
        <f t="shared" si="24"/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</c>
      <c r="F57" s="28">
        <f t="shared" ref="F57:J57" si="25">+F61/F35</f>
      </c>
      <c r="G57" s="28">
        <f t="shared" si="25"/>
      </c>
      <c r="H57" s="28">
        <f t="shared" si="25"/>
      </c>
      <c r="I57" s="28">
        <f t="shared" si="25"/>
      </c>
      <c r="J57" s="28">
        <f t="shared" si="25"/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+IFERROR(E37/E35,0)</f>
      </c>
      <c r="F58" s="32">
        <f t="shared" si="26"/>
      </c>
      <c r="G58" s="32">
        <f t="shared" si="26"/>
      </c>
      <c r="H58" s="32">
        <f t="shared" si="26"/>
      </c>
      <c r="I58" s="32">
        <f t="shared" si="26"/>
      </c>
      <c r="J58" s="32">
        <f t="shared" si="26"/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>+IFERROR(E55/E40,0)</f>
      </c>
      <c r="F59" s="28">
        <f t="shared" ref="F59:J59" si="27">+IFERROR(F55/F40,0)</f>
      </c>
      <c r="G59" s="28">
        <f t="shared" si="27"/>
      </c>
      <c r="H59" s="28">
        <f t="shared" si="27"/>
      </c>
      <c r="I59" s="28">
        <f t="shared" si="27"/>
      </c>
      <c r="J59" s="28">
        <f t="shared" si="27"/>
      </c>
      <c r="K59" s="11"/>
      <c r="L59" s="7"/>
    </row>
    <row r="60" spans="1:12" hidden="1" x14ac:dyDescent="0.55000000000000004">
      <c r="A60" s="152" t="s">
        <v>119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</c>
      <c r="E61" s="40">
        <f>+SUM(E65:E72)+E54</f>
      </c>
      <c r="F61" s="40">
        <f t="shared" ref="F61:J61" si="28">+SUM(F65:F72)+F54</f>
      </c>
      <c r="G61" s="40">
        <f t="shared" si="28"/>
      </c>
      <c r="H61" s="40">
        <f t="shared" si="28"/>
      </c>
      <c r="I61" s="40">
        <f t="shared" si="28"/>
      </c>
      <c r="J61" s="40">
        <f t="shared" si="28"/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189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190</v>
      </c>
    </row>
    <row r="67" spans="1:16" x14ac:dyDescent="0.55000000000000004">
      <c r="B67" s="6" t="s">
        <v>191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192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</c>
      <c r="F68" s="28">
        <f t="shared" si="29"/>
      </c>
      <c r="G68" s="28">
        <f t="shared" si="29"/>
      </c>
      <c r="H68" s="28">
        <f t="shared" si="29"/>
      </c>
      <c r="I68" s="28">
        <f t="shared" si="29"/>
      </c>
      <c r="J68" s="28">
        <f t="shared" si="29"/>
      </c>
      <c r="N68" s="69" t="s">
        <v>193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194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195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</c>
      <c r="E73" s="114">
        <f t="shared" ref="E73:J73" si="30">SUM(E65:E72)+E54</f>
      </c>
      <c r="F73" s="114">
        <f t="shared" si="30"/>
      </c>
      <c r="G73" s="114">
        <f t="shared" si="30"/>
      </c>
      <c r="H73" s="114">
        <f t="shared" si="30"/>
      </c>
      <c r="I73" s="114">
        <f t="shared" si="30"/>
      </c>
      <c r="J73" s="114">
        <f t="shared" si="30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</c>
      <c r="E75" s="41">
        <f t="shared" si="31"/>
      </c>
      <c r="F75" s="41">
        <f t="shared" si="31"/>
      </c>
      <c r="G75" s="41">
        <f t="shared" si="31"/>
      </c>
      <c r="H75" s="41">
        <f t="shared" si="31"/>
      </c>
      <c r="I75" s="41">
        <f t="shared" si="31"/>
      </c>
      <c r="J75" s="41">
        <f t="shared" si="31"/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2"/>
      </c>
      <c r="F76" s="5">
        <f t="shared" si="32"/>
      </c>
      <c r="G76" s="5">
        <f t="shared" si="32"/>
      </c>
      <c r="H76" s="5">
        <f t="shared" si="32"/>
      </c>
      <c r="I76" s="5">
        <f t="shared" si="32"/>
      </c>
      <c r="J76" s="5">
        <f t="shared" si="32"/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SIM_離脱防止＋サイトのボタン</vt:lpstr>
      <vt:lpstr>SIM_比較</vt:lpstr>
      <vt:lpstr>SIM考え方</vt:lpstr>
      <vt:lpstr>AD提案0914</vt:lpstr>
      <vt:lpstr>SIM_AD30万</vt:lpstr>
      <vt:lpstr>SIM_AD100万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2026-10-13T04:51:26Z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
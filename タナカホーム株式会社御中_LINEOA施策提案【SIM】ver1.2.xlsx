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CE05BB34-E479-40B4-B536-863DE4397AA7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A_サンクス有" sheetId="1" r:id="rId1"/>
    <sheet name="A_比較" sheetId="2" r:id="rId2"/>
    <sheet name="B_サンクス無" sheetId="3" r:id="rId100"/>
    <sheet name="B_比較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<sst xmlns="http://schemas.openxmlformats.org/spreadsheetml/2006/main" count="280" uniqueCount="195">
  <si>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</si>
  <si>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</si>
  <si>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</si>
  <si>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</si>
  <si>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</si>
  <si>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</si>
  <si>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</si>
  <si>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</si>
  <si>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</si>
  <si>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</si>
  <si>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</si>
  <si>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</si>
  <si>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</si>
  <si>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</si>
  <si>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</si>
  <si>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</si>
  <si>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</si>
  <si>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</si>
  <si>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</si>
  <si>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</si>
  <si>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</si>
  <si>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</si>
  <si>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</si>
  <si>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</si>
  <si>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</si>
  <si>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</si>
  <si>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</si>
  <si>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</si>
  <si>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</si>
  <si>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</si>
  <si>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</si>
  <si>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</si>
  <si>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</si>
  <si>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</si>
  <si>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</si>
  <si>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</si>
  <si>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</si>
  <si>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</si>
  <si>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</si>
  <si>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</si>
  <si>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</si>
  <si>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</si>
  <si>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</si>
  <si>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</si>
  <si>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</si>
  <si>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</si>
  <si>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</si>
  <si>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</si>
  <si>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</si>
  <si>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</si>
  <si>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</si>
  <si>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</si>
  <si>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</si>
  <si>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</si>
  <si>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</si>
  <si>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</si>
  <si>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</si>
  <si>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</si>
  <si>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</si>
  <si>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</si>
  <si>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</si>
  <si>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</si>
  <si>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</si>
  <si>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</si>
  <si>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</si>
  <si>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</si>
  <si>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</si>
  <si>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</si>
  <si>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</si>
  <si>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</si>
  <si>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</si>
  <si>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</si>
  <si>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</si>
  <si>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</si>
  <si>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</si>
  <si>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</si>
  <si>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</si>
  <si>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</si>
  <si>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</si>
  <si>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</si>
  <si>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</si>
  <si>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</si>
  <si>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</si>
  <si>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</si>
  <si>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</si>
  <si>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</si>
  <si>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</si>
  <si>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</si>
  <si>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</si>
  <si>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</si>
  <si>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</si>
  <si>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</si>
  <si>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</si>
  <si>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</si>
  <si>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</si>
  <si>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</si>
  <si>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</si>
  <si>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</si>
  <si>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</si>
  <si>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</si>
  <si>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</si>
  <si>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</si>
  <si>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</si>
  <si>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</si>
  <si>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</si>
  <si>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</si>
  <si>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</si>
  <si>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</si>
  <si>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</si>
  <si>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</si>
  <si>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</si>
  <si>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</si>
  <si>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</si>
  <si>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</si>
  <si>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</si>
  <si>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</si>
  <si>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</si>
  <si>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</si>
  <si>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</si>
  <si>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</si>
  <si>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</si>
  <si>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</si>
  <si>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</si>
  <si>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</si>
  <si>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</si>
  <si>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</si>
  <si>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</si>
  <si>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</si>
  <si>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</si>
  <si>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</si>
  <si>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</si>
  <si>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</si>
  <si>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</si>
  <si>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</si>
  <si>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</si>
  <si>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</si>
  <si>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</si>
  <si>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</si>
  <si>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</si>
  <si>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</si>
  <si>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</si>
  <si>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</si>
  <si>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</si>
  <si>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</si>
  <si>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</si>
  <si>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</si>
  <si>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</si>
  <si>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</si>
  <si>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</si>
  <si>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</si>
  <si>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</si>
  <si>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</si>
  <si>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</si>
  <si>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</si>
  <si>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</si>
  <si>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</si>
  <si>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</si>
  <si>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</si>
  <si>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</si>
  <si>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</si>
  <si>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</si>
  <si>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タナカホーム株式会社御中_LINEOA施策提案【SIM】（離脱防止＋サイトのボタン＋サンクスLINE）</t>
  </si>
  <si>
    <t>サイトUU 13,228／友だち417人（2026-10-15〜16 殿村さん）。CVは来場予約（資料の軸＝資料請求の時点から来場・契約まで追う）</t>
  </si>
  <si>
    <t>資料請求（LINE経由）は参考。合計CV・CVR・CPAには入れない</t>
  </si>
  <si>
    <t>来場予約（月）</t>
  </si>
  <si>
    <t>来場予約 月35件（議事録の現状35〜40件の下限）・資料請求 月8件（自社サイトは月一桁・仮に8件）＝サンクスLINEの母数</t>
  </si>
  <si>
    <t>資料請求（月）</t>
  </si>
  <si>
    <t>1か月目</t>
  </si>
  <si>
    <t>2か月目</t>
  </si>
  <si>
    <t>3か月目</t>
  </si>
  <si>
    <t>4か月目</t>
  </si>
  <si>
    <t>5か月目</t>
  </si>
  <si>
    <t>6か月目</t>
  </si>
  <si>
    <t>友だち追加広告（CPF）は入れていない。友だちを月500人規模にするなら、LINE広告で月300人強（1人200円で月6〜7万円）が別に要る</t>
  </si>
  <si>
    <t>離脱防止＝UU×表示55%×クリック12%×追加12%（FMTの式）＝月約105人。今の来場特典のポップアップに加えて、来場前の方向けに情報で追加してもらう案内に作り直す想定</t>
  </si>
  <si>
    <t>サンクスLINE誘導＝（来場予約＋資料請求）×15%（FMTの式）＝月約6人。資料請求・来場予約の完了ページからLINEへ</t>
  </si>
  <si>
    <t>サイトのLINEボタン＝UU×0.5%（FMTのP15）＝月約66人。今はサイトにLINEの導線が無いので新しく置く</t>
  </si>
  <si>
    <t>ブロック率：28%（殿村さんの表）から前月の1.02倍ずつ上昇</t>
  </si>
  <si>
    <t>企画配信 月4本（有効な友だち×80%。4か月目からは反応しない方を外してさらに8割）</t>
  </si>
  <si>
    <t>ステップ配信5通（会社の特長→費用・住宅ローン→断熱性能・間取り→ルームツアー→見学会・来場予約）。対象＝その月の新しい友だち</t>
  </si>
  <si>
    <t>来場予約＝クリック×0.4〜0.8%（運用が育つ想定で月ごとに上げる）</t>
  </si>
  <si>
    <t>資料請求＝クリック×0.6〜1.0%（参考）</t>
  </si>
  <si>
    <t>従量課金は54行（新料金テーブル）で計算。65行の旧式は二重計上になるため0</t>
  </si>
  <si>
    <t>離脱防止：初期1.5万・月3万</t>
  </si>
  <si>
    <t>サンクスLINE誘導</t>
  </si>
  <si>
    <t>サンクスLINE誘導：初期15万・月3万〜。完了ページの件数が月40件ほどなので、1人あたりは約5,000円（目安の月100件を下回る）</t>
  </si>
  <si>
    <t>アカウント費：FMTの式。初期は0（アカウントは既にある）</t>
  </si>
  <si>
    <t>LINE運用コンサル</t>
  </si>
  <si>
    <t>LINE運用コンサル：初期10万円〜・月額20万円〜（費用目安）</t>
  </si>
  <si>
    <t>来場予約（もともと・月）</t>
  </si>
  <si>
    <t>来場予約（+LINEOA施策）</t>
  </si>
  <si>
    <t>CV①_来場予約（LINE経由）</t>
  </si>
  <si>
    <t>参考_資料請求（LINE経由）</t>
  </si>
  <si>
    <t>来場予約</t>
    <phoneticPr fontId="2"/>
  </si>
  <si>
    <t>資料請求</t>
    <rPh sb="0" eb="4">
      <t>シリョウセイキュウ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</si>
</sst>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21" fillId="0" borderId="0" xfId="0" applyFont="1" applyAlignment="1">
      <alignment vertical="center" wrapText="1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5" zoomScale="46" zoomScaleNormal="55" workbookViewId="0">
      <selection activeCell="N45" sqref="N45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160</v>
      </c>
      <c r="B2" s="134">
        <v>46311</v>
      </c>
    </row>
    <row r="4" spans="1:25" ht="45.75" customHeight="1" x14ac:dyDescent="0.55000000000000004">
      <c r="A4" s="56" t="inlineStr">
        <is>
          <t xml:space="preserve">タナカホーム株式会社御中_LINEOA施策提案【SIM】ver1.2　A_サンクス有（離脱防止＋サイトのボタン＋サンクスLINE誘導）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156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194</v>
      </c>
      <c r="D8" s="33">
        <v>0</v>
      </c>
      <c r="G8" s="121" t="s">
        <v>66</v>
      </c>
      <c r="H8" s="122">
        <v>13228</v>
      </c>
      <c r="I8" s="123"/>
      <c r="J8" s="123" t="s">
        <v>71</v>
      </c>
      <c r="K8" s="129">
        <v>0</v>
      </c>
      <c r="N8" s="69" t="s">
        <v>162</v>
      </c>
      <c r="O8" s="35" t="s">
        <v>155</v>
      </c>
    </row>
    <row r="9" spans="1:25" ht="18" thickBot="1" x14ac:dyDescent="0.6">
      <c r="A9" s="138"/>
      <c r="B9" s="19" t="s">
        <v>8</v>
      </c>
      <c r="C9" s="38" t="s">
        <v>193</v>
      </c>
      <c r="D9" s="33">
        <v>0</v>
      </c>
      <c r="G9" s="124" t="s">
        <v>147</v>
      </c>
      <c r="H9" s="125">
        <v>0</v>
      </c>
      <c r="I9" s="22"/>
      <c r="J9" s="29"/>
      <c r="K9" s="118"/>
      <c r="N9" s="132" t="s">
        <v>163</v>
      </c>
      <c r="O9" s="130" t="s">
        <v>154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164</v>
      </c>
      <c r="H10" s="125">
        <v>35</v>
      </c>
      <c r="I10" s="22" t="s">
        <v>153</v>
      </c>
      <c r="J10" s="29"/>
      <c r="K10" s="118"/>
      <c r="N10" s="132" t="s">
        <v>165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166</v>
      </c>
      <c r="H11" s="127">
        <v>8</v>
      </c>
      <c r="I11" s="128" t="s">
        <v>152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167</v>
      </c>
      <c r="F13" s="36" t="s">
        <v>168</v>
      </c>
      <c r="G13" s="36" t="s">
        <v>169</v>
      </c>
      <c r="H13" s="36" t="s">
        <v>170</v>
      </c>
      <c r="I13" s="36" t="s">
        <v>171</v>
      </c>
      <c r="J13" s="36" t="s">
        <v>172</v>
      </c>
      <c r="K13" s="3" t="s">
        <v>1</v>
      </c>
      <c r="L13" s="4" t="s">
        <v>2</v>
      </c>
      <c r="N13" s="71" t="s">
        <v>122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159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158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157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115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157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</c>
      <c r="Z19" s="35">
        <v>2.5</v>
      </c>
    </row>
    <row r="20" spans="1:26" x14ac:dyDescent="0.55000000000000004">
      <c r="A20" s="141"/>
      <c r="B20" s="8" t="s">
        <v>113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114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173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3">F23*1.01</f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174</v>
      </c>
      <c r="O23" s="17" t="s">
        <v>42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115</v>
      </c>
      <c r="C24" s="17"/>
      <c r="D24" s="44" t="s">
        <v>21</v>
      </c>
      <c r="E24" s="46">
        <f>+IF(E19=FALSE,0,SUM(H10:H11)*0.15)</f>
      </c>
      <c r="F24" s="63">
        <f>E24*1.01</f>
      </c>
      <c r="G24" s="63">
        <f t="shared" si="3"/>
      </c>
      <c r="H24" s="63">
        <f t="shared" si="3"/>
      </c>
      <c r="I24" s="63">
        <f t="shared" si="3"/>
      </c>
      <c r="J24" s="63">
        <f t="shared" si="3"/>
      </c>
      <c r="K24" s="11"/>
      <c r="L24" s="7"/>
      <c r="N24" s="69" t="s">
        <v>175</v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</c>
      <c r="F25" s="46">
        <f t="shared" ref="F25:J25" si="4">+IF(F20=FALSE,0,SUM($H$10:$H$11)*0.7*0.3)+IF($E$21=FALSE,0,$K$8*0.15*0.15)</f>
      </c>
      <c r="G25" s="46">
        <f t="shared" si="4"/>
      </c>
      <c r="H25" s="46">
        <f t="shared" si="4"/>
      </c>
      <c r="I25" s="46">
        <f t="shared" si="4"/>
      </c>
      <c r="J25" s="46">
        <f t="shared" si="4"/>
      </c>
      <c r="K25" s="11"/>
      <c r="L25" s="7"/>
      <c r="N25" s="69" t="s">
        <v>121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</c>
      <c r="F26" s="46">
        <f t="shared" ref="F26:J26" si="5">+SUM(F22:F25)+$H$9*$P$16+($H$8-$H$9)*$P$15</f>
      </c>
      <c r="G26" s="46">
        <f>+SUM(G22:G25)+$H$9*$P$16+($H$8-$H$9)*$P$15</f>
      </c>
      <c r="H26" s="46">
        <f t="shared" si="5"/>
      </c>
      <c r="I26" s="46">
        <f t="shared" si="5"/>
      </c>
      <c r="J26" s="46">
        <f t="shared" si="5"/>
      </c>
      <c r="K26" s="11"/>
      <c r="L26" s="7"/>
      <c r="N26" s="72" t="s">
        <v>176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0.28000000000000003</v>
      </c>
      <c r="E27" s="47">
        <v>0.28000000000000003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s">
        <v>177</v>
      </c>
      <c r="O27" s="17" t="s">
        <v>42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417</v>
      </c>
      <c r="E28" s="49">
        <f>+D28+E26</f>
      </c>
      <c r="F28" s="49">
        <f t="shared" ref="F28:J28" si="6">+E28+F26</f>
      </c>
      <c r="G28" s="49">
        <f t="shared" si="6"/>
      </c>
      <c r="H28" s="49">
        <f t="shared" si="6"/>
      </c>
      <c r="I28" s="49">
        <f t="shared" si="6"/>
      </c>
      <c r="J28" s="49">
        <f t="shared" si="6"/>
      </c>
      <c r="K28" s="12"/>
      <c r="L28" s="7"/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</c>
      <c r="E29" s="50">
        <f>+E28*(1-E27)</f>
      </c>
      <c r="F29" s="50">
        <f t="shared" ref="F29:J29" si="7">+F28*(1-F27)</f>
      </c>
      <c r="G29" s="50">
        <f t="shared" si="7"/>
      </c>
      <c r="H29" s="50">
        <f t="shared" si="7"/>
      </c>
      <c r="I29" s="50">
        <f t="shared" si="7"/>
      </c>
      <c r="J29" s="50">
        <f t="shared" si="7"/>
      </c>
      <c r="K29" s="12"/>
      <c r="L29" s="7"/>
      <c r="N29" s="69" t="s">
        <v>130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178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179</v>
      </c>
      <c r="O32" s="17" t="s">
        <v>123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8">+E26*E32*$P$26*$P$27*$P$36</f>
      </c>
      <c r="F33" s="63">
        <f t="shared" si="8"/>
      </c>
      <c r="G33" s="63">
        <f t="shared" si="8"/>
      </c>
      <c r="H33" s="63">
        <f t="shared" si="8"/>
      </c>
      <c r="I33" s="63">
        <f t="shared" si="8"/>
      </c>
      <c r="J33" s="63">
        <f t="shared" si="8"/>
      </c>
      <c r="K33" s="11"/>
      <c r="L33" s="7"/>
      <c r="O33" s="17" t="s">
        <v>131</v>
      </c>
      <c r="P33" s="75" t="b">
        <v>1</v>
      </c>
      <c r="Q33" s="73">
        <f t="shared" ref="Q33:Q35" si="9">+IF(P33=TRUE,1.1,0.95)</f>
      </c>
    </row>
    <row r="34" spans="1:17" ht="19" x14ac:dyDescent="0.55000000000000004">
      <c r="A34" s="148" t="s">
        <v>26</v>
      </c>
      <c r="B34" s="149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132</v>
      </c>
      <c r="P34" s="75" t="b">
        <v>1</v>
      </c>
      <c r="Q34" s="73">
        <f t="shared" si="9"/>
      </c>
    </row>
    <row r="35" spans="1:17" ht="19" x14ac:dyDescent="0.55000000000000004">
      <c r="A35" s="148" t="s">
        <v>25</v>
      </c>
      <c r="B35" s="149"/>
      <c r="C35" s="102"/>
      <c r="D35" s="109">
        <f>+D31*1.02</f>
      </c>
      <c r="E35" s="50">
        <f>+E31+E33+1.05*(E31+E33)</f>
      </c>
      <c r="F35" s="50">
        <f t="shared" ref="F35:J35" si="10">+F31+F33+1.05*(F31+F33)</f>
      </c>
      <c r="G35" s="50">
        <f t="shared" si="10"/>
      </c>
      <c r="H35" s="50">
        <f t="shared" si="10"/>
      </c>
      <c r="I35" s="50">
        <f t="shared" si="10"/>
      </c>
      <c r="J35" s="50">
        <f t="shared" si="10"/>
      </c>
      <c r="K35" s="11"/>
      <c r="L35" s="7"/>
      <c r="O35" s="17" t="s">
        <v>133</v>
      </c>
      <c r="P35" s="75" t="b">
        <v>0</v>
      </c>
      <c r="Q35" s="73">
        <f t="shared" si="9"/>
      </c>
    </row>
    <row r="36" spans="1:17" ht="18" x14ac:dyDescent="0.55000000000000004">
      <c r="A36" s="150" t="s">
        <v>6</v>
      </c>
      <c r="B36" s="6">
        <f>+C8</f>
      </c>
      <c r="C36" s="6"/>
      <c r="D36" s="11">
        <v>0</v>
      </c>
      <c r="E36" s="156">
        <v>4</v>
      </c>
      <c r="F36" s="156">
        <v>6</v>
      </c>
      <c r="G36" s="156">
        <v>6</v>
      </c>
      <c r="H36" s="156">
        <v>8</v>
      </c>
      <c r="I36" s="156">
        <v>9</v>
      </c>
      <c r="J36" s="156">
        <v>11</v>
      </c>
      <c r="K36" s="115">
        <f>SUM(E36:J36)</f>
      </c>
      <c r="L36" s="7"/>
      <c r="N36" s="69" t="s">
        <v>180</v>
      </c>
      <c r="O36" s="17" t="s">
        <v>124</v>
      </c>
      <c r="P36" s="74">
        <f>1*(Q32*Q33*Q34*Q35)</f>
      </c>
      <c r="Q36" s="73"/>
    </row>
    <row r="37" spans="1:17" ht="18" x14ac:dyDescent="0.55000000000000004">
      <c r="A37" s="151"/>
      <c r="B37" s="6">
        <f>+C9</f>
      </c>
      <c r="C37" s="6"/>
      <c r="D37" s="11">
        <v>0</v>
      </c>
      <c r="E37" s="156">
        <v>2</v>
      </c>
      <c r="F37" s="156">
        <v>3</v>
      </c>
      <c r="G37" s="156">
        <v>4</v>
      </c>
      <c r="H37" s="156">
        <v>6</v>
      </c>
      <c r="I37" s="156">
        <v>7</v>
      </c>
      <c r="J37" s="156">
        <v>8</v>
      </c>
      <c r="K37" s="115">
        <f>SUM(E37:J37)</f>
      </c>
      <c r="L37" s="7"/>
      <c r="N37" s="69" t="s">
        <v>181</v>
      </c>
    </row>
    <row r="38" spans="1:17" x14ac:dyDescent="0.55000000000000004">
      <c r="A38" s="150" t="s">
        <v>9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118</v>
      </c>
      <c r="O38" s="21" t="s">
        <v>37</v>
      </c>
    </row>
    <row r="39" spans="1:17" x14ac:dyDescent="0.55000000000000004">
      <c r="A39" s="151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>SUM(D36:D39)</f>
      </c>
      <c r="E40" s="10">
        <f>SUM(E36:E39)</f>
      </c>
      <c r="F40" s="10">
        <f t="shared" ref="F40:J40" si="11">SUM(F36:F39)</f>
      </c>
      <c r="G40" s="10">
        <f t="shared" si="11"/>
      </c>
      <c r="H40" s="10">
        <f t="shared" si="11"/>
      </c>
      <c r="I40" s="10">
        <f t="shared" si="11"/>
      </c>
      <c r="J40" s="10">
        <f t="shared" si="11"/>
      </c>
      <c r="K40" s="115">
        <f>SUM(E40:J40)</f>
      </c>
      <c r="L40" s="7"/>
      <c r="O40" s="17"/>
    </row>
    <row r="41" spans="1:17" x14ac:dyDescent="0.55000000000000004">
      <c r="B41" s="5" t="s">
        <v>67</v>
      </c>
      <c r="D41" s="18">
        <f t="shared" ref="D41" si="12">+IFERROR(D40/D35,0)</f>
      </c>
      <c r="E41" s="18">
        <f>IFERROR(E40/E35,0)</f>
      </c>
      <c r="F41" s="18">
        <f t="shared" ref="F41:J41" si="13">IFERROR(F40/F35,0)</f>
      </c>
      <c r="G41" s="18">
        <f t="shared" si="13"/>
      </c>
      <c r="H41" s="18">
        <f t="shared" si="13"/>
      </c>
      <c r="I41" s="18">
        <f t="shared" si="13"/>
      </c>
      <c r="J41" s="18">
        <f t="shared" si="13"/>
      </c>
      <c r="N41" s="69" t="s">
        <v>117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148</v>
      </c>
      <c r="D43" s="5" t="s">
        <v>149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</c>
      <c r="F44" s="31">
        <f t="shared" ref="F44:J44" si="14">+F75*F76</f>
      </c>
      <c r="G44" s="31">
        <f t="shared" si="14"/>
      </c>
      <c r="H44" s="31">
        <f t="shared" si="14"/>
      </c>
      <c r="I44" s="31">
        <f t="shared" si="14"/>
      </c>
      <c r="J44" s="31">
        <f t="shared" si="14"/>
      </c>
      <c r="K44" s="11"/>
      <c r="L44" s="7"/>
    </row>
    <row r="45" spans="1:17" x14ac:dyDescent="0.55000000000000004">
      <c r="A45" s="144" t="s">
        <v>129</v>
      </c>
      <c r="B45" s="145"/>
      <c r="C45" s="104">
        <f>+SUM(C65:C72)</f>
      </c>
      <c r="D45" s="80">
        <f>+SUM(D65:D72)</f>
      </c>
      <c r="E45" s="27">
        <f>SUM(E65:E69)+SUM(E71:E72)</f>
      </c>
      <c r="F45" s="27">
        <f t="shared" ref="F45:J45" si="15">SUM(F65:F69)+SUM(F71:F72)</f>
      </c>
      <c r="G45" s="27">
        <f t="shared" si="15"/>
      </c>
      <c r="H45" s="27">
        <f t="shared" si="15"/>
      </c>
      <c r="I45" s="27">
        <f t="shared" si="15"/>
      </c>
      <c r="J45" s="27">
        <f t="shared" si="15"/>
      </c>
      <c r="K45" s="11"/>
      <c r="L45" s="7"/>
    </row>
    <row r="46" spans="1:17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6">SUM(E65:E67)/(E28-D28)</f>
      </c>
      <c r="F46" s="28">
        <f t="shared" si="16"/>
      </c>
      <c r="G46" s="28">
        <f t="shared" si="16"/>
      </c>
      <c r="H46" s="28">
        <f t="shared" si="16"/>
      </c>
      <c r="I46" s="28">
        <f t="shared" si="16"/>
      </c>
      <c r="J46" s="28">
        <f t="shared" si="16"/>
      </c>
      <c r="K46" s="11"/>
      <c r="L46" s="7"/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7">+E51/E35</f>
      </c>
      <c r="F47" s="28">
        <f t="shared" si="17"/>
      </c>
      <c r="G47" s="28">
        <f t="shared" si="17"/>
      </c>
      <c r="H47" s="28">
        <f t="shared" si="17"/>
      </c>
      <c r="I47" s="28">
        <f t="shared" si="17"/>
      </c>
      <c r="J47" s="28">
        <f>+J51/J35</f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>IFERROR(E40/E35,0)</f>
      </c>
      <c r="F48" s="32">
        <f t="shared" ref="F48:J48" si="18">IFERROR(F40/F35,0)</f>
      </c>
      <c r="G48" s="32">
        <f t="shared" si="18"/>
      </c>
      <c r="H48" s="32">
        <f t="shared" si="18"/>
      </c>
      <c r="I48" s="32">
        <f t="shared" si="18"/>
      </c>
      <c r="J48" s="32">
        <f t="shared" si="18"/>
      </c>
      <c r="K48" s="11"/>
      <c r="L48" s="7"/>
    </row>
    <row r="49" spans="1:12" x14ac:dyDescent="0.55000000000000004">
      <c r="A49" s="152" t="s">
        <v>19</v>
      </c>
      <c r="B49" s="153"/>
      <c r="C49" s="105"/>
      <c r="D49" s="16" t="s">
        <v>22</v>
      </c>
      <c r="E49" s="28">
        <f>IFERROR(E51/E40,0)</f>
      </c>
      <c r="F49" s="28">
        <f t="shared" ref="F49:J49" si="19">IFERROR(F51/F40,0)</f>
      </c>
      <c r="G49" s="28">
        <f t="shared" si="19"/>
      </c>
      <c r="H49" s="28">
        <f t="shared" si="19"/>
      </c>
      <c r="I49" s="28">
        <f t="shared" si="19"/>
      </c>
      <c r="J49" s="28">
        <f t="shared" si="19"/>
      </c>
      <c r="K49" s="11"/>
      <c r="L49" s="7"/>
    </row>
    <row r="50" spans="1:12" x14ac:dyDescent="0.55000000000000004">
      <c r="A50" s="152" t="s">
        <v>116</v>
      </c>
      <c r="B50" s="153"/>
      <c r="C50" s="105"/>
      <c r="D50" s="64" t="s">
        <v>22</v>
      </c>
      <c r="E50" s="65">
        <f>+E36*$D$8+E38*$D$10</f>
      </c>
      <c r="F50" s="65">
        <f t="shared" ref="F50:J50" si="20">+F36*$D$8+F38*$D$10</f>
      </c>
      <c r="G50" s="65">
        <f t="shared" si="20"/>
      </c>
      <c r="H50" s="65">
        <f t="shared" si="20"/>
      </c>
      <c r="I50" s="65">
        <f t="shared" si="20"/>
      </c>
      <c r="J50" s="65">
        <f t="shared" si="20"/>
      </c>
      <c r="K50" s="11"/>
      <c r="L50" s="7"/>
    </row>
    <row r="51" spans="1:12" x14ac:dyDescent="0.55000000000000004">
      <c r="A51" s="154" t="s">
        <v>70</v>
      </c>
      <c r="B51" s="155"/>
      <c r="C51" s="110">
        <f>+C45</f>
      </c>
      <c r="D51" s="40">
        <f>+D45</f>
      </c>
      <c r="E51" s="40">
        <f>SUM(E45,E50)+E44</f>
      </c>
      <c r="F51" s="40">
        <f t="shared" ref="F51:I51" si="21">SUM(F45,F50)+F44</f>
      </c>
      <c r="G51" s="40">
        <f t="shared" si="21"/>
      </c>
      <c r="H51" s="40">
        <f t="shared" si="21"/>
      </c>
      <c r="I51" s="40">
        <f t="shared" si="21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68</v>
      </c>
    </row>
    <row r="54" spans="1:12" hidden="1" x14ac:dyDescent="0.55000000000000004">
      <c r="A54" s="144" t="s">
        <v>27</v>
      </c>
      <c r="B54" s="145"/>
      <c r="C54" s="96"/>
      <c r="D54" s="28">
        <f>+D75*D76</f>
      </c>
      <c r="E54" s="28">
        <f t="shared" ref="E54:J54" si="22">+E75*E76</f>
      </c>
      <c r="F54" s="28">
        <f t="shared" si="22"/>
      </c>
      <c r="G54" s="28">
        <f t="shared" si="22"/>
      </c>
      <c r="H54" s="28">
        <f t="shared" si="22"/>
      </c>
      <c r="I54" s="28">
        <f t="shared" si="22"/>
      </c>
      <c r="J54" s="28">
        <f t="shared" si="22"/>
      </c>
      <c r="K54" s="11"/>
      <c r="L54" s="7"/>
    </row>
    <row r="55" spans="1:12" hidden="1" x14ac:dyDescent="0.55000000000000004">
      <c r="A55" s="144" t="s">
        <v>129</v>
      </c>
      <c r="B55" s="145"/>
      <c r="C55" s="96"/>
      <c r="D55" s="27">
        <f>+SUM(D65:D72)</f>
      </c>
      <c r="E55" s="27">
        <f>SUM(E65:E72)+E54</f>
      </c>
      <c r="F55" s="27">
        <f t="shared" ref="F55:J55" si="23">SUM(F65:F72)+F54</f>
      </c>
      <c r="G55" s="27">
        <f t="shared" si="23"/>
      </c>
      <c r="H55" s="27">
        <f t="shared" si="23"/>
      </c>
      <c r="I55" s="27">
        <f t="shared" si="23"/>
      </c>
      <c r="J55" s="27">
        <f t="shared" si="23"/>
      </c>
      <c r="K55" s="11"/>
      <c r="L55" s="7"/>
    </row>
    <row r="56" spans="1:12" hidden="1" x14ac:dyDescent="0.55000000000000004">
      <c r="A56" s="144" t="s">
        <v>17</v>
      </c>
      <c r="B56" s="145"/>
      <c r="C56" s="96"/>
      <c r="D56" s="39" t="s">
        <v>22</v>
      </c>
      <c r="E56" s="28">
        <f t="shared" ref="E56:J56" si="24">SUM(E65:E67)/(E28-D28)</f>
      </c>
      <c r="F56" s="28">
        <f t="shared" si="24"/>
      </c>
      <c r="G56" s="28">
        <f t="shared" si="24"/>
      </c>
      <c r="H56" s="28">
        <f t="shared" si="24"/>
      </c>
      <c r="I56" s="28">
        <f t="shared" si="24"/>
      </c>
      <c r="J56" s="28">
        <f t="shared" si="24"/>
      </c>
      <c r="K56" s="11"/>
      <c r="L56" s="7"/>
    </row>
    <row r="57" spans="1:12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</c>
      <c r="F57" s="28">
        <f t="shared" ref="F57:J57" si="25">+F61/F35</f>
      </c>
      <c r="G57" s="28">
        <f t="shared" si="25"/>
      </c>
      <c r="H57" s="28">
        <f t="shared" si="25"/>
      </c>
      <c r="I57" s="28">
        <f t="shared" si="25"/>
      </c>
      <c r="J57" s="28">
        <f t="shared" si="25"/>
      </c>
      <c r="K57" s="11"/>
      <c r="L57" s="7"/>
    </row>
    <row r="58" spans="1:12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6">+IFERROR(E36/E35,0)</f>
      </c>
      <c r="F58" s="32">
        <f t="shared" si="26"/>
      </c>
      <c r="G58" s="32">
        <f t="shared" si="26"/>
      </c>
      <c r="H58" s="32">
        <f t="shared" si="26"/>
      </c>
      <c r="I58" s="32">
        <f t="shared" si="26"/>
      </c>
      <c r="J58" s="32">
        <f t="shared" si="26"/>
      </c>
      <c r="K58" s="11"/>
      <c r="L58" s="7"/>
    </row>
    <row r="59" spans="1:12" hidden="1" x14ac:dyDescent="0.55000000000000004">
      <c r="A59" s="152" t="s">
        <v>19</v>
      </c>
      <c r="B59" s="153"/>
      <c r="C59" s="97"/>
      <c r="D59" s="28"/>
      <c r="E59" s="28">
        <f t="shared" ref="E59:J59" si="27">+IFERROR(E55/E36,0)</f>
      </c>
      <c r="F59" s="28">
        <f t="shared" si="27"/>
      </c>
      <c r="G59" s="28">
        <f t="shared" si="27"/>
      </c>
      <c r="H59" s="28">
        <f t="shared" si="27"/>
      </c>
      <c r="I59" s="28">
        <f t="shared" si="27"/>
      </c>
      <c r="J59" s="28">
        <f t="shared" si="27"/>
      </c>
      <c r="K59" s="11"/>
      <c r="L59" s="7"/>
    </row>
    <row r="60" spans="1:12" hidden="1" x14ac:dyDescent="0.55000000000000004">
      <c r="A60" s="152" t="s">
        <v>116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70</v>
      </c>
      <c r="B61" s="155"/>
      <c r="C61" s="98"/>
      <c r="D61" s="40">
        <f>+D55</f>
      </c>
      <c r="E61" s="40">
        <f>+SUM(E65:E72)+E54</f>
      </c>
      <c r="F61" s="40">
        <f t="shared" ref="F61:J61" si="28">+SUM(F65:F72)+F54</f>
      </c>
      <c r="G61" s="40">
        <f t="shared" si="28"/>
      </c>
      <c r="H61" s="40">
        <f t="shared" si="28"/>
      </c>
      <c r="I61" s="40">
        <f t="shared" si="28"/>
      </c>
      <c r="J61" s="40">
        <f t="shared" si="28"/>
      </c>
      <c r="K61" s="11"/>
      <c r="L61" s="7"/>
    </row>
    <row r="62" spans="1:12" hidden="1" x14ac:dyDescent="0.55000000000000004"/>
    <row r="64" spans="1:12" x14ac:dyDescent="0.55000000000000004">
      <c r="C64" s="5" t="s">
        <v>148</v>
      </c>
      <c r="D64" s="5" t="s">
        <v>149</v>
      </c>
    </row>
    <row r="65" spans="1:16" ht="18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s">
        <v>182</v>
      </c>
    </row>
    <row r="66" spans="1:16" x14ac:dyDescent="0.55000000000000004">
      <c r="A66" s="53" t="s">
        <v>50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183</v>
      </c>
    </row>
    <row r="67" spans="1:16" x14ac:dyDescent="0.55000000000000004">
      <c r="B67" s="6" t="s">
        <v>184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185</v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29">IF(E34&lt;5000,5000,15000)</f>
      </c>
      <c r="F68" s="28">
        <f t="shared" si="29"/>
      </c>
      <c r="G68" s="28">
        <f t="shared" si="29"/>
      </c>
      <c r="H68" s="28">
        <f t="shared" si="29"/>
      </c>
      <c r="I68" s="28">
        <f t="shared" si="29"/>
      </c>
      <c r="J68" s="28">
        <f t="shared" si="29"/>
      </c>
      <c r="N68" s="69" t="s">
        <v>186</v>
      </c>
      <c r="O68" s="17" t="s">
        <v>128</v>
      </c>
      <c r="P68" s="75">
        <v>5000</v>
      </c>
    </row>
    <row r="69" spans="1:16" x14ac:dyDescent="0.55000000000000004">
      <c r="A69" s="15"/>
      <c r="B69" s="6" t="s">
        <v>187</v>
      </c>
      <c r="C69" s="90">
        <v>0</v>
      </c>
      <c r="D69" s="51">
        <v>100000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s">
        <v>188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127</v>
      </c>
    </row>
    <row r="71" spans="1:16" x14ac:dyDescent="0.55000000000000004">
      <c r="A71" s="15"/>
      <c r="B71" s="6" t="s">
        <v>125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126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151</v>
      </c>
      <c r="C73" s="113">
        <v>0</v>
      </c>
      <c r="D73" s="114">
        <f>SUM(D65:D72)</f>
      </c>
      <c r="E73" s="114">
        <f t="shared" ref="E73:J73" si="30">SUM(E65:E72)+E54</f>
      </c>
      <c r="F73" s="114">
        <f t="shared" si="30"/>
      </c>
      <c r="G73" s="114">
        <f t="shared" si="30"/>
      </c>
      <c r="H73" s="114">
        <f t="shared" si="30"/>
      </c>
      <c r="I73" s="114">
        <f t="shared" si="30"/>
      </c>
      <c r="J73" s="114">
        <f t="shared" si="30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1">+IF(D34&lt;30001,0,D34-30000)</f>
      </c>
      <c r="E75" s="41">
        <f t="shared" si="31"/>
      </c>
      <c r="F75" s="41">
        <f t="shared" si="31"/>
      </c>
      <c r="G75" s="41">
        <f t="shared" si="31"/>
      </c>
      <c r="H75" s="41">
        <f t="shared" si="31"/>
      </c>
      <c r="I75" s="41">
        <f t="shared" si="31"/>
      </c>
      <c r="J75" s="41">
        <f t="shared" si="31"/>
      </c>
    </row>
    <row r="76" spans="1:16" x14ac:dyDescent="0.55000000000000004">
      <c r="B76" s="5" t="s">
        <v>65</v>
      </c>
      <c r="D76" s="5">
        <f t="shared" ref="D76:J76" si="32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2"/>
      </c>
      <c r="F76" s="5">
        <f t="shared" si="32"/>
      </c>
      <c r="G76" s="5">
        <f t="shared" si="32"/>
      </c>
      <c r="H76" s="5">
        <f t="shared" si="32"/>
      </c>
      <c r="I76" s="5">
        <f t="shared" si="32"/>
      </c>
      <c r="J76" s="5">
        <f t="shared" si="32"/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142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137</v>
      </c>
      <c r="B4" s="7"/>
      <c r="C4" s="86">
        <f>+'A_サンクス有'!D24</f>
      </c>
      <c r="D4" s="28">
        <f>+'A_サンクス有'!G51</f>
      </c>
      <c r="E4" s="28">
        <f>+'A_サンクス有'!J51</f>
      </c>
      <c r="F4" s="28"/>
    </row>
    <row r="5" spans="1:25" x14ac:dyDescent="0.55000000000000004">
      <c r="A5" s="85" t="s">
        <v>138</v>
      </c>
      <c r="B5" s="7"/>
      <c r="C5" s="86">
        <f>+'A_サンクス有'!D25</f>
      </c>
      <c r="D5" s="28">
        <f>+'A_サンクス有'!G61</f>
      </c>
      <c r="E5" s="28">
        <f>+'A_サンクス有'!J61</f>
      </c>
      <c r="F5" s="27"/>
    </row>
    <row r="6" spans="1:25" x14ac:dyDescent="0.55000000000000004">
      <c r="A6" s="85" t="s">
        <v>76</v>
      </c>
      <c r="B6" s="7"/>
      <c r="C6" s="117">
        <f>+'A_サンクス有'!D28</f>
      </c>
      <c r="D6" s="87">
        <f>+'A_サンクス有'!G28</f>
      </c>
      <c r="E6" s="87">
        <f>+'A_サンクス有'!J28</f>
      </c>
      <c r="F6" s="10"/>
    </row>
    <row r="7" spans="1:25" x14ac:dyDescent="0.55000000000000004">
      <c r="A7" s="85" t="s">
        <v>77</v>
      </c>
      <c r="B7" s="7"/>
      <c r="C7" s="88">
        <f>+'A_サンクス有'!D27</f>
      </c>
      <c r="D7" s="89">
        <f>+'A_サンクス有'!G27</f>
      </c>
      <c r="E7" s="89">
        <f>+'A_サンクス有'!J27</f>
      </c>
      <c r="F7" s="89"/>
    </row>
    <row r="8" spans="1:25" x14ac:dyDescent="0.55000000000000004">
      <c r="A8" s="85" t="s">
        <v>78</v>
      </c>
      <c r="B8" s="7"/>
      <c r="C8" s="117">
        <f>+'A_サンクス有'!D29</f>
      </c>
      <c r="D8" s="10">
        <f>+'A_サンクス有'!G29</f>
      </c>
      <c r="E8" s="10">
        <f>+'A_サンクス有'!J29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+'A_サンクス有'!D34</f>
      </c>
      <c r="D10" s="10">
        <f>+'A_サンクス有'!G34</f>
      </c>
      <c r="E10" s="10">
        <f>+'A_サンクス有'!J34</f>
      </c>
      <c r="F10" s="10"/>
    </row>
    <row r="11" spans="1:25" x14ac:dyDescent="0.55000000000000004">
      <c r="A11" s="85" t="s">
        <v>81</v>
      </c>
      <c r="B11" s="7"/>
      <c r="C11" s="117">
        <f>+'A_サンクス有'!D35</f>
      </c>
      <c r="D11" s="10">
        <f>+'A_サンクス有'!G35</f>
      </c>
      <c r="E11" s="10">
        <f>+'A_サンクス有'!J35</f>
      </c>
      <c r="F11" s="10"/>
    </row>
    <row r="12" spans="1:25" x14ac:dyDescent="0.55000000000000004">
      <c r="A12" s="85" t="s">
        <v>144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189</v>
      </c>
      <c r="B15" s="7"/>
      <c r="C15" s="87">
        <f>+'A_サンクス有'!D16</f>
      </c>
      <c r="D15" s="87">
        <f>+'A_サンクス有'!G16</f>
      </c>
      <c r="E15" s="87">
        <f>+'A_サンクス有'!J16</f>
      </c>
      <c r="F15" s="87"/>
      <c r="R15" s="5" t="s">
        <v>58</v>
      </c>
    </row>
    <row r="16" spans="1:25" x14ac:dyDescent="0.55000000000000004">
      <c r="A16" s="85" t="s">
        <v>190</v>
      </c>
      <c r="B16" s="7"/>
      <c r="C16" s="87">
        <f>+C17</f>
      </c>
      <c r="D16" s="87">
        <f>+D17</f>
      </c>
      <c r="E16" s="87">
        <f>+E17</f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191</v>
      </c>
      <c r="B17" s="7"/>
      <c r="C17" s="87">
        <f>+'A_サンクス有'!D36</f>
      </c>
      <c r="D17" s="87">
        <f>+'A_サンクス有'!G36</f>
      </c>
      <c r="E17" s="87">
        <f>+'A_サンクス有'!J36</f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192</v>
      </c>
      <c r="B18" s="7"/>
      <c r="C18" s="87">
        <f>+'A_サンクス有'!D37</f>
      </c>
      <c r="D18" s="87">
        <f>+'A_サンクス有'!G37</f>
      </c>
      <c r="E18" s="87">
        <f>+'A_サンクス有'!J37</f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</c>
      <c r="Y18" s="35">
        <v>2.5</v>
      </c>
    </row>
    <row r="19" spans="1:25" x14ac:dyDescent="0.55000000000000004">
      <c r="A19" s="85" t="s">
        <v>62</v>
      </c>
      <c r="B19" s="7"/>
      <c r="C19" s="87">
        <f>+'A_サンクス有'!D38</f>
      </c>
      <c r="D19" s="87">
        <f>+'A_サンクス有'!G38</f>
      </c>
      <c r="E19" s="87">
        <f>+'A_サンクス有'!J38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+'A_サンクス有'!D39</f>
      </c>
      <c r="D20" s="87">
        <f>+'A_サンクス有'!G39</f>
      </c>
      <c r="E20" s="87">
        <f>+'A_サンクス有'!J39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139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140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146</v>
      </c>
      <c r="B25" s="7"/>
      <c r="C25" s="10">
        <f>+'A_サンクス有'!E68+C29*C30</f>
      </c>
      <c r="D25" s="10">
        <f>+'A_サンクス有'!G68+D29*D30</f>
      </c>
      <c r="E25" s="10">
        <f>+'A_サンクス有'!J68+E29*E30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143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141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134</v>
      </c>
      <c r="D35" s="94" t="s">
        <v>135</v>
      </c>
      <c r="E35" s="94" t="s">
        <v>136</v>
      </c>
      <c r="F35" s="94" t="s">
        <v>136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82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89</v>
      </c>
    </row>
    <row r="4" spans="1:7" x14ac:dyDescent="0.55000000000000004">
      <c r="A4" t="s">
        <v>87</v>
      </c>
      <c r="B4" t="s">
        <v>88</v>
      </c>
      <c r="E4">
        <v>1000</v>
      </c>
    </row>
    <row r="5" spans="1:7" x14ac:dyDescent="0.55000000000000004">
      <c r="A5" t="s">
        <v>42</v>
      </c>
      <c r="B5" s="60">
        <v>8.5000000000000006E-2</v>
      </c>
    </row>
    <row r="6" spans="1:7" x14ac:dyDescent="0.55000000000000004">
      <c r="A6" t="s">
        <v>91</v>
      </c>
      <c r="B6" s="60">
        <v>0.08</v>
      </c>
    </row>
    <row r="7" spans="1:7" x14ac:dyDescent="0.55000000000000004">
      <c r="E7">
        <f>+E4*B5*B6</f>
      </c>
    </row>
    <row r="8" spans="1:7" x14ac:dyDescent="0.55000000000000004">
      <c r="A8" s="54" t="s">
        <v>90</v>
      </c>
    </row>
    <row r="9" spans="1:7" x14ac:dyDescent="0.55000000000000004">
      <c r="A9" t="s">
        <v>87</v>
      </c>
      <c r="B9" t="s">
        <v>88</v>
      </c>
      <c r="E9">
        <v>1000</v>
      </c>
    </row>
    <row r="10" spans="1:7" x14ac:dyDescent="0.55000000000000004">
      <c r="A10" t="s">
        <v>42</v>
      </c>
      <c r="B10" s="60">
        <v>5.0000000000000001E-3</v>
      </c>
    </row>
    <row r="11" spans="1:7" x14ac:dyDescent="0.55000000000000004">
      <c r="A11" t="s">
        <v>91</v>
      </c>
      <c r="B11" s="60">
        <v>0.08</v>
      </c>
    </row>
    <row r="12" spans="1:7" x14ac:dyDescent="0.55000000000000004">
      <c r="E12">
        <f>+E9*B10*B11</f>
      </c>
    </row>
    <row r="13" spans="1:7" x14ac:dyDescent="0.55000000000000004">
      <c r="A13" s="54" t="s">
        <v>92</v>
      </c>
      <c r="D13" t="s">
        <v>95</v>
      </c>
    </row>
    <row r="14" spans="1:7" x14ac:dyDescent="0.55000000000000004">
      <c r="A14" t="s">
        <v>93</v>
      </c>
      <c r="B14" t="s">
        <v>88</v>
      </c>
      <c r="E14">
        <v>1000</v>
      </c>
    </row>
    <row r="15" spans="1:7" x14ac:dyDescent="0.55000000000000004">
      <c r="A15" t="s">
        <v>42</v>
      </c>
      <c r="B15" s="60">
        <v>0.9</v>
      </c>
      <c r="C15" t="s">
        <v>94</v>
      </c>
    </row>
    <row r="16" spans="1:7" x14ac:dyDescent="0.55000000000000004">
      <c r="A16" t="s">
        <v>91</v>
      </c>
      <c r="B16" s="60">
        <v>0.35</v>
      </c>
    </row>
    <row r="17" spans="1:10" x14ac:dyDescent="0.55000000000000004">
      <c r="E17">
        <f>+E14*B15*B16</f>
      </c>
    </row>
    <row r="18" spans="1:10" x14ac:dyDescent="0.55000000000000004">
      <c r="A18" s="54" t="s">
        <v>96</v>
      </c>
      <c r="D18" t="s">
        <v>95</v>
      </c>
    </row>
    <row r="19" spans="1:10" x14ac:dyDescent="0.55000000000000004">
      <c r="A19" t="s">
        <v>87</v>
      </c>
      <c r="B19" s="60">
        <v>0.7</v>
      </c>
      <c r="C19" t="s">
        <v>88</v>
      </c>
      <c r="E19">
        <v>1000</v>
      </c>
    </row>
    <row r="20" spans="1:10" x14ac:dyDescent="0.55000000000000004">
      <c r="A20" t="s">
        <v>42</v>
      </c>
      <c r="B20" s="60">
        <v>1</v>
      </c>
    </row>
    <row r="21" spans="1:10" x14ac:dyDescent="0.55000000000000004">
      <c r="A21" t="s">
        <v>91</v>
      </c>
      <c r="B21" s="60">
        <v>0.2</v>
      </c>
    </row>
    <row r="22" spans="1:10" x14ac:dyDescent="0.55000000000000004">
      <c r="E22">
        <f>+E19*B20*B21</f>
      </c>
    </row>
    <row r="23" spans="1:10" x14ac:dyDescent="0.55000000000000004">
      <c r="A23" s="59" t="s">
        <v>83</v>
      </c>
      <c r="B23" s="59"/>
      <c r="C23" s="59" t="s">
        <v>86</v>
      </c>
      <c r="D23" s="59"/>
      <c r="E23" s="59"/>
      <c r="F23" s="59"/>
      <c r="G23" s="59"/>
      <c r="I23" s="67" t="s">
        <v>102</v>
      </c>
      <c r="J23" s="68"/>
    </row>
    <row r="24" spans="1:10" x14ac:dyDescent="0.55000000000000004">
      <c r="A24" s="54" t="s">
        <v>84</v>
      </c>
      <c r="I24" s="66">
        <v>1</v>
      </c>
      <c r="J24" t="s">
        <v>103</v>
      </c>
    </row>
    <row r="25" spans="1:10" x14ac:dyDescent="0.55000000000000004">
      <c r="A25" t="s">
        <v>41</v>
      </c>
      <c r="B25" s="61">
        <v>0.8</v>
      </c>
      <c r="I25" s="66">
        <v>2</v>
      </c>
      <c r="J25" t="s">
        <v>104</v>
      </c>
    </row>
    <row r="26" spans="1:10" x14ac:dyDescent="0.55000000000000004">
      <c r="A26" t="s">
        <v>42</v>
      </c>
      <c r="B26" s="61">
        <v>0.06</v>
      </c>
      <c r="I26" s="66">
        <v>3</v>
      </c>
      <c r="J26" t="s">
        <v>105</v>
      </c>
    </row>
    <row r="27" spans="1:10" x14ac:dyDescent="0.55000000000000004">
      <c r="A27" t="s">
        <v>85</v>
      </c>
      <c r="B27" s="61">
        <v>3.0000000000000001E-3</v>
      </c>
      <c r="I27" s="66">
        <v>4</v>
      </c>
      <c r="J27" t="s">
        <v>106</v>
      </c>
    </row>
    <row r="29" spans="1:10" x14ac:dyDescent="0.55000000000000004">
      <c r="A29" s="54" t="s">
        <v>101</v>
      </c>
      <c r="I29" s="67" t="s">
        <v>107</v>
      </c>
      <c r="J29" s="68"/>
    </row>
    <row r="30" spans="1:10" x14ac:dyDescent="0.55000000000000004">
      <c r="A30" t="s">
        <v>41</v>
      </c>
      <c r="B30" s="61">
        <v>0.75</v>
      </c>
      <c r="I30" s="66">
        <v>1</v>
      </c>
      <c r="J30" t="s">
        <v>108</v>
      </c>
    </row>
    <row r="31" spans="1:10" x14ac:dyDescent="0.55000000000000004">
      <c r="A31" t="s">
        <v>42</v>
      </c>
      <c r="B31" s="61">
        <v>0.08</v>
      </c>
      <c r="I31" s="66">
        <v>2</v>
      </c>
      <c r="J31" t="s">
        <v>109</v>
      </c>
    </row>
    <row r="32" spans="1:10" x14ac:dyDescent="0.55000000000000004">
      <c r="A32" t="s">
        <v>85</v>
      </c>
      <c r="B32" s="61">
        <v>6.0000000000000001E-3</v>
      </c>
      <c r="I32" s="66">
        <v>3</v>
      </c>
      <c r="J32" t="s">
        <v>110</v>
      </c>
    </row>
    <row r="33" spans="1:10" x14ac:dyDescent="0.55000000000000004">
      <c r="I33" s="66">
        <v>4</v>
      </c>
      <c r="J33" t="s">
        <v>111</v>
      </c>
    </row>
    <row r="34" spans="1:10" x14ac:dyDescent="0.55000000000000004">
      <c r="A34" s="54" t="s">
        <v>97</v>
      </c>
    </row>
    <row r="35" spans="1:10" x14ac:dyDescent="0.55000000000000004">
      <c r="A35" t="s">
        <v>41</v>
      </c>
      <c r="B35" s="62" t="s">
        <v>22</v>
      </c>
    </row>
    <row r="36" spans="1:10" x14ac:dyDescent="0.55000000000000004">
      <c r="A36" t="s">
        <v>42</v>
      </c>
      <c r="B36" s="61">
        <v>0.02</v>
      </c>
    </row>
    <row r="37" spans="1:10" x14ac:dyDescent="0.55000000000000004">
      <c r="A37" t="s">
        <v>85</v>
      </c>
      <c r="B37" s="61">
        <v>4.0000000000000001E-3</v>
      </c>
    </row>
    <row r="39" spans="1:10" x14ac:dyDescent="0.55000000000000004">
      <c r="A39" s="54" t="s">
        <v>98</v>
      </c>
      <c r="E39" s="54" t="s">
        <v>99</v>
      </c>
    </row>
    <row r="40" spans="1:10" x14ac:dyDescent="0.55000000000000004">
      <c r="A40" t="s">
        <v>41</v>
      </c>
      <c r="B40" s="62">
        <v>1</v>
      </c>
      <c r="E40" t="s">
        <v>41</v>
      </c>
      <c r="F40" s="62" t="s">
        <v>22</v>
      </c>
    </row>
    <row r="41" spans="1:10" x14ac:dyDescent="0.55000000000000004">
      <c r="A41" t="s">
        <v>42</v>
      </c>
      <c r="B41" s="61">
        <v>3.5000000000000003E-2</v>
      </c>
      <c r="E41" t="s">
        <v>100</v>
      </c>
      <c r="F41" s="61">
        <v>0.25</v>
      </c>
    </row>
    <row r="42" spans="1:10" x14ac:dyDescent="0.55000000000000004">
      <c r="A42" t="s">
        <v>85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5D6B4-55E6-58DE-A1CF-69AB6EDE5A4B}">
  <dimension ref="A2:Z76"/>
  <sheetViews>
    <sheetView topLeftCell="A5" zoomScale="46" zoomScaleNormal="55" workbookViewId="0">
      <selection activeCell="N45" sqref="N45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160</v>
      </c>
      <c r="B2" s="134">
        <v>46311</v>
      </c>
    </row>
    <row r="4" spans="1:25" ht="45.75" customHeight="1" x14ac:dyDescent="0.55000000000000004">
      <c r="A4" s="56" t="inlineStr">
        <is>
          <t xml:space="preserve">タナカホーム株式会社御中_LINEOA施策提案【SIM】ver1.2　B_サンクス無（離脱防止＋サイトのボタン）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156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194</v>
      </c>
      <c r="D8" s="33">
        <v>0</v>
      </c>
      <c r="G8" s="121" t="s">
        <v>66</v>
      </c>
      <c r="H8" s="122">
        <v>13228</v>
      </c>
      <c r="I8" s="123"/>
      <c r="J8" s="123" t="s">
        <v>71</v>
      </c>
      <c r="K8" s="129">
        <v>0</v>
      </c>
      <c r="N8" s="69" t="s">
        <v>162</v>
      </c>
      <c r="O8" s="35" t="s">
        <v>155</v>
      </c>
    </row>
    <row r="9" spans="1:25" ht="18" thickBot="1" x14ac:dyDescent="0.6">
      <c r="A9" s="138"/>
      <c r="B9" s="19" t="s">
        <v>8</v>
      </c>
      <c r="C9" s="38" t="s">
        <v>193</v>
      </c>
      <c r="D9" s="33">
        <v>0</v>
      </c>
      <c r="G9" s="124" t="s">
        <v>147</v>
      </c>
      <c r="H9" s="125">
        <v>0</v>
      </c>
      <c r="I9" s="22"/>
      <c r="J9" s="29"/>
      <c r="K9" s="118"/>
      <c r="N9" s="132" t="s">
        <v>163</v>
      </c>
      <c r="O9" s="130" t="s">
        <v>154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164</v>
      </c>
      <c r="H10" s="125">
        <v>35</v>
      </c>
      <c r="I10" s="22" t="s">
        <v>153</v>
      </c>
      <c r="J10" s="29"/>
      <c r="K10" s="118"/>
      <c r="N10" s="132" t="s">
        <v>165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166</v>
      </c>
      <c r="H11" s="127">
        <v>8</v>
      </c>
      <c r="I11" s="128" t="s">
        <v>152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167</v>
      </c>
      <c r="F13" s="36" t="s">
        <v>168</v>
      </c>
      <c r="G13" s="36" t="s">
        <v>169</v>
      </c>
      <c r="H13" s="36" t="s">
        <v>170</v>
      </c>
      <c r="I13" s="36" t="s">
        <v>171</v>
      </c>
      <c r="J13" s="36" t="s">
        <v>172</v>
      </c>
      <c r="K13" s="3" t="s">
        <v>1</v>
      </c>
      <c r="L13" s="4" t="s">
        <v>2</v>
      </c>
      <c r="N13" s="71" t="s">
        <v>122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159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158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157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115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157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</c>
      <c r="Z19" s="35">
        <v>2.5</v>
      </c>
    </row>
    <row r="20" spans="1:26" x14ac:dyDescent="0.55000000000000004">
      <c r="A20" s="141"/>
      <c r="B20" s="8" t="s">
        <v>113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114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173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3">F23*1.01</f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174</v>
      </c>
      <c r="O23" s="17" t="s">
        <v>42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115</v>
      </c>
      <c r="C24" s="17"/>
      <c r="D24" s="44" t="s">
        <v>21</v>
      </c>
      <c r="E24" s="46">
        <f>+IF(E19=FALSE,0,SUM(H10:H11)*0.15)</f>
      </c>
      <c r="F24" s="63">
        <f>E24*1.01</f>
      </c>
      <c r="G24" s="63">
        <f t="shared" si="3"/>
      </c>
      <c r="H24" s="63">
        <f t="shared" si="3"/>
      </c>
      <c r="I24" s="63">
        <f t="shared" si="3"/>
      </c>
      <c r="J24" s="63">
        <f t="shared" si="3"/>
      </c>
      <c r="K24" s="11"/>
      <c r="L24" s="7"/>
      <c r="N24" s="69" t="inlineStr">
        <is>
          <t xml:space="preserve">B_サンクス無：サンクスLINE誘導は入れない（オプション。Aのシートを参照）</t>
        </is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</c>
      <c r="F25" s="46">
        <f t="shared" ref="F25:J25" si="4">+IF(F20=FALSE,0,SUM($H$10:$H$11)*0.7*0.3)+IF($E$21=FALSE,0,$K$8*0.15*0.15)</f>
      </c>
      <c r="G25" s="46">
        <f t="shared" si="4"/>
      </c>
      <c r="H25" s="46">
        <f t="shared" si="4"/>
      </c>
      <c r="I25" s="46">
        <f t="shared" si="4"/>
      </c>
      <c r="J25" s="46">
        <f t="shared" si="4"/>
      </c>
      <c r="K25" s="11"/>
      <c r="L25" s="7"/>
      <c r="N25" s="69" t="s">
        <v>121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</c>
      <c r="F26" s="46">
        <f t="shared" ref="F26:J26" si="5">+SUM(F22:F25)+$H$9*$P$16+($H$8-$H$9)*$P$15</f>
      </c>
      <c r="G26" s="46">
        <f>+SUM(G22:G25)+$H$9*$P$16+($H$8-$H$9)*$P$15</f>
      </c>
      <c r="H26" s="46">
        <f t="shared" si="5"/>
      </c>
      <c r="I26" s="46">
        <f t="shared" si="5"/>
      </c>
      <c r="J26" s="46">
        <f t="shared" si="5"/>
      </c>
      <c r="K26" s="11"/>
      <c r="L26" s="7"/>
      <c r="N26" s="72" t="s">
        <v>176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0.28000000000000003</v>
      </c>
      <c r="E27" s="47">
        <v>0.28000000000000003</v>
      </c>
      <c r="F27" s="47">
        <f>ROUND(E27*1.02,3)</f>
      </c>
      <c r="G27" s="47">
        <f>ROUND(F27*1.02,3)</f>
      </c>
      <c r="H27" s="47">
        <f>ROUND(G27*1.02,3)</f>
      </c>
      <c r="I27" s="47">
        <f>ROUND(H27*1.02,3)</f>
      </c>
      <c r="J27" s="47">
        <f>ROUND(I27*1.02,3)</f>
      </c>
      <c r="K27" s="11"/>
      <c r="L27" s="7"/>
      <c r="N27" t="s">
        <v>177</v>
      </c>
      <c r="O27" s="17" t="s">
        <v>42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417</v>
      </c>
      <c r="E28" s="49">
        <f>+D28+E26</f>
      </c>
      <c r="F28" s="49">
        <f t="shared" ref="F28:J28" si="6">+E28+F26</f>
      </c>
      <c r="G28" s="49">
        <f t="shared" si="6"/>
      </c>
      <c r="H28" s="49">
        <f t="shared" si="6"/>
      </c>
      <c r="I28" s="49">
        <f t="shared" si="6"/>
      </c>
      <c r="J28" s="49">
        <f t="shared" si="6"/>
      </c>
      <c r="K28" s="12"/>
      <c r="L28" s="7"/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</c>
      <c r="E29" s="50">
        <f>+E28*(1-E27)</f>
      </c>
      <c r="F29" s="50">
        <f t="shared" ref="F29:J29" si="7">+F28*(1-F27)</f>
      </c>
      <c r="G29" s="50">
        <f t="shared" si="7"/>
      </c>
      <c r="H29" s="50">
        <f t="shared" si="7"/>
      </c>
      <c r="I29" s="50">
        <f t="shared" si="7"/>
      </c>
      <c r="J29" s="50">
        <f t="shared" si="7"/>
      </c>
      <c r="K29" s="12"/>
      <c r="L29" s="7"/>
      <c r="N29" s="69" t="s">
        <v>130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178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179</v>
      </c>
      <c r="O32" s="17" t="s">
        <v>123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8">+E26*E32*$P$26*$P$27*$P$36</f>
      </c>
      <c r="F33" s="63">
        <f t="shared" si="8"/>
      </c>
      <c r="G33" s="63">
        <f t="shared" si="8"/>
      </c>
      <c r="H33" s="63">
        <f t="shared" si="8"/>
      </c>
      <c r="I33" s="63">
        <f t="shared" si="8"/>
      </c>
      <c r="J33" s="63">
        <f t="shared" si="8"/>
      </c>
      <c r="K33" s="11"/>
      <c r="L33" s="7"/>
      <c r="O33" s="17" t="s">
        <v>131</v>
      </c>
      <c r="P33" s="75" t="b">
        <v>1</v>
      </c>
      <c r="Q33" s="73">
        <f t="shared" ref="Q33:Q35" si="9">+IF(P33=TRUE,1.1,0.95)</f>
      </c>
    </row>
    <row r="34" spans="1:17" ht="19" x14ac:dyDescent="0.55000000000000004">
      <c r="A34" s="148" t="s">
        <v>26</v>
      </c>
      <c r="B34" s="149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132</v>
      </c>
      <c r="P34" s="75" t="b">
        <v>1</v>
      </c>
      <c r="Q34" s="73">
        <f t="shared" si="9"/>
      </c>
    </row>
    <row r="35" spans="1:17" ht="19" x14ac:dyDescent="0.55000000000000004">
      <c r="A35" s="148" t="s">
        <v>25</v>
      </c>
      <c r="B35" s="149"/>
      <c r="C35" s="102"/>
      <c r="D35" s="109">
        <f>+D31*1.02</f>
      </c>
      <c r="E35" s="50">
        <f>+E31+E33+1.05*(E31+E33)</f>
      </c>
      <c r="F35" s="50">
        <f t="shared" ref="F35:J35" si="10">+F31+F33+1.05*(F31+F33)</f>
      </c>
      <c r="G35" s="50">
        <f t="shared" si="10"/>
      </c>
      <c r="H35" s="50">
        <f t="shared" si="10"/>
      </c>
      <c r="I35" s="50">
        <f t="shared" si="10"/>
      </c>
      <c r="J35" s="50">
        <f t="shared" si="10"/>
      </c>
      <c r="K35" s="11"/>
      <c r="L35" s="7"/>
      <c r="O35" s="17" t="s">
        <v>133</v>
      </c>
      <c r="P35" s="75" t="b">
        <v>0</v>
      </c>
      <c r="Q35" s="73">
        <f t="shared" si="9"/>
      </c>
    </row>
    <row r="36" spans="1:17" ht="18" x14ac:dyDescent="0.55000000000000004">
      <c r="A36" s="150" t="s">
        <v>6</v>
      </c>
      <c r="B36" s="6">
        <f>+C8</f>
      </c>
      <c r="C36" s="6"/>
      <c r="D36" s="11">
        <v>0</v>
      </c>
      <c r="E36" s="156">
        <v>4</v>
      </c>
      <c r="F36" s="156">
        <v>6</v>
      </c>
      <c r="G36" s="156">
        <v>6</v>
      </c>
      <c r="H36" s="156">
        <v>8</v>
      </c>
      <c r="I36" s="156">
        <v>9</v>
      </c>
      <c r="J36" s="156">
        <v>11</v>
      </c>
      <c r="K36" s="115">
        <f>SUM(E36:J36)</f>
      </c>
      <c r="L36" s="7"/>
      <c r="N36" s="69" t="inlineStr">
        <is>
          <t xml:space="preserve">CVの件数はAと同じ（サンクスLINEで友だちになる方は資料請求・来場予約済みなので、LINE経由のCVに数えていない）</t>
        </is>
      </c>
      <c r="O36" s="17" t="s">
        <v>124</v>
      </c>
      <c r="P36" s="74">
        <f>1*(Q32*Q33*Q34*Q35)</f>
      </c>
      <c r="Q36" s="73"/>
    </row>
    <row r="37" spans="1:17" ht="18" x14ac:dyDescent="0.55000000000000004">
      <c r="A37" s="151"/>
      <c r="B37" s="6">
        <f>+C9</f>
      </c>
      <c r="C37" s="6"/>
      <c r="D37" s="11">
        <v>0</v>
      </c>
      <c r="E37" s="156">
        <v>2</v>
      </c>
      <c r="F37" s="156">
        <v>3</v>
      </c>
      <c r="G37" s="156">
        <v>4</v>
      </c>
      <c r="H37" s="156">
        <v>6</v>
      </c>
      <c r="I37" s="156">
        <v>7</v>
      </c>
      <c r="J37" s="156">
        <v>8</v>
      </c>
      <c r="K37" s="115">
        <f>SUM(E37:J37)</f>
      </c>
      <c r="L37" s="7"/>
      <c r="N37" s="69" t="s">
        <v>181</v>
      </c>
    </row>
    <row r="38" spans="1:17" x14ac:dyDescent="0.55000000000000004">
      <c r="A38" s="150" t="s">
        <v>9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118</v>
      </c>
      <c r="O38" s="21" t="s">
        <v>37</v>
      </c>
    </row>
    <row r="39" spans="1:17" x14ac:dyDescent="0.55000000000000004">
      <c r="A39" s="151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>SUM(D36:D39)</f>
      </c>
      <c r="E40" s="10">
        <f>SUM(E36:E39)</f>
      </c>
      <c r="F40" s="10">
        <f t="shared" ref="F40:J40" si="11">SUM(F36:F39)</f>
      </c>
      <c r="G40" s="10">
        <f t="shared" si="11"/>
      </c>
      <c r="H40" s="10">
        <f t="shared" si="11"/>
      </c>
      <c r="I40" s="10">
        <f t="shared" si="11"/>
      </c>
      <c r="J40" s="10">
        <f t="shared" si="11"/>
      </c>
      <c r="K40" s="115">
        <f>SUM(E40:J40)</f>
      </c>
      <c r="L40" s="7"/>
      <c r="O40" s="17"/>
    </row>
    <row r="41" spans="1:17" x14ac:dyDescent="0.55000000000000004">
      <c r="B41" s="5" t="s">
        <v>67</v>
      </c>
      <c r="D41" s="18">
        <f t="shared" ref="D41" si="12">+IFERROR(D40/D35,0)</f>
      </c>
      <c r="E41" s="18">
        <f>IFERROR(E40/E35,0)</f>
      </c>
      <c r="F41" s="18">
        <f t="shared" ref="F41:J41" si="13">IFERROR(F40/F35,0)</f>
      </c>
      <c r="G41" s="18">
        <f t="shared" si="13"/>
      </c>
      <c r="H41" s="18">
        <f t="shared" si="13"/>
      </c>
      <c r="I41" s="18">
        <f t="shared" si="13"/>
      </c>
      <c r="J41" s="18">
        <f t="shared" si="13"/>
      </c>
      <c r="N41" s="69" t="s">
        <v>117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148</v>
      </c>
      <c r="D43" s="5" t="s">
        <v>149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</c>
      <c r="F44" s="31">
        <f t="shared" ref="F44:J44" si="14">+F75*F76</f>
      </c>
      <c r="G44" s="31">
        <f t="shared" si="14"/>
      </c>
      <c r="H44" s="31">
        <f t="shared" si="14"/>
      </c>
      <c r="I44" s="31">
        <f t="shared" si="14"/>
      </c>
      <c r="J44" s="31">
        <f t="shared" si="14"/>
      </c>
      <c r="K44" s="11"/>
      <c r="L44" s="7"/>
    </row>
    <row r="45" spans="1:17" x14ac:dyDescent="0.55000000000000004">
      <c r="A45" s="144" t="s">
        <v>129</v>
      </c>
      <c r="B45" s="145"/>
      <c r="C45" s="104">
        <f>+SUM(C65:C72)</f>
      </c>
      <c r="D45" s="80">
        <f>+SUM(D65:D72)</f>
      </c>
      <c r="E45" s="27">
        <f>SUM(E65:E69)+SUM(E71:E72)</f>
      </c>
      <c r="F45" s="27">
        <f t="shared" ref="F45:J45" si="15">SUM(F65:F69)+SUM(F71:F72)</f>
      </c>
      <c r="G45" s="27">
        <f t="shared" si="15"/>
      </c>
      <c r="H45" s="27">
        <f t="shared" si="15"/>
      </c>
      <c r="I45" s="27">
        <f t="shared" si="15"/>
      </c>
      <c r="J45" s="27">
        <f t="shared" si="15"/>
      </c>
      <c r="K45" s="11"/>
      <c r="L45" s="7"/>
    </row>
    <row r="46" spans="1:17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6">SUM(E65:E67)/(E28-D28)</f>
      </c>
      <c r="F46" s="28">
        <f t="shared" si="16"/>
      </c>
      <c r="G46" s="28">
        <f t="shared" si="16"/>
      </c>
      <c r="H46" s="28">
        <f t="shared" si="16"/>
      </c>
      <c r="I46" s="28">
        <f t="shared" si="16"/>
      </c>
      <c r="J46" s="28">
        <f t="shared" si="16"/>
      </c>
      <c r="K46" s="11"/>
      <c r="L46" s="7"/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7">+E51/E35</f>
      </c>
      <c r="F47" s="28">
        <f t="shared" si="17"/>
      </c>
      <c r="G47" s="28">
        <f t="shared" si="17"/>
      </c>
      <c r="H47" s="28">
        <f t="shared" si="17"/>
      </c>
      <c r="I47" s="28">
        <f t="shared" si="17"/>
      </c>
      <c r="J47" s="28">
        <f>+J51/J35</f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>IFERROR(E40/E35,0)</f>
      </c>
      <c r="F48" s="32">
        <f t="shared" ref="F48:J48" si="18">IFERROR(F40/F35,0)</f>
      </c>
      <c r="G48" s="32">
        <f t="shared" si="18"/>
      </c>
      <c r="H48" s="32">
        <f t="shared" si="18"/>
      </c>
      <c r="I48" s="32">
        <f t="shared" si="18"/>
      </c>
      <c r="J48" s="32">
        <f t="shared" si="18"/>
      </c>
      <c r="K48" s="11"/>
      <c r="L48" s="7"/>
    </row>
    <row r="49" spans="1:12" x14ac:dyDescent="0.55000000000000004">
      <c r="A49" s="152" t="s">
        <v>19</v>
      </c>
      <c r="B49" s="153"/>
      <c r="C49" s="105"/>
      <c r="D49" s="16" t="s">
        <v>22</v>
      </c>
      <c r="E49" s="28">
        <f>IFERROR(E51/E40,0)</f>
      </c>
      <c r="F49" s="28">
        <f t="shared" ref="F49:J49" si="19">IFERROR(F51/F40,0)</f>
      </c>
      <c r="G49" s="28">
        <f t="shared" si="19"/>
      </c>
      <c r="H49" s="28">
        <f t="shared" si="19"/>
      </c>
      <c r="I49" s="28">
        <f t="shared" si="19"/>
      </c>
      <c r="J49" s="28">
        <f t="shared" si="19"/>
      </c>
      <c r="K49" s="11"/>
      <c r="L49" s="7"/>
    </row>
    <row r="50" spans="1:12" x14ac:dyDescent="0.55000000000000004">
      <c r="A50" s="152" t="s">
        <v>116</v>
      </c>
      <c r="B50" s="153"/>
      <c r="C50" s="105"/>
      <c r="D50" s="64" t="s">
        <v>22</v>
      </c>
      <c r="E50" s="65">
        <f>+E36*$D$8+E38*$D$10</f>
      </c>
      <c r="F50" s="65">
        <f t="shared" ref="F50:J50" si="20">+F36*$D$8+F38*$D$10</f>
      </c>
      <c r="G50" s="65">
        <f t="shared" si="20"/>
      </c>
      <c r="H50" s="65">
        <f t="shared" si="20"/>
      </c>
      <c r="I50" s="65">
        <f t="shared" si="20"/>
      </c>
      <c r="J50" s="65">
        <f t="shared" si="20"/>
      </c>
      <c r="K50" s="11"/>
      <c r="L50" s="7"/>
    </row>
    <row r="51" spans="1:12" x14ac:dyDescent="0.55000000000000004">
      <c r="A51" s="154" t="s">
        <v>70</v>
      </c>
      <c r="B51" s="155"/>
      <c r="C51" s="110">
        <f>+C45</f>
      </c>
      <c r="D51" s="40">
        <f>+D45</f>
      </c>
      <c r="E51" s="40">
        <f>SUM(E45,E50)+E44</f>
      </c>
      <c r="F51" s="40">
        <f t="shared" ref="F51:I51" si="21">SUM(F45,F50)+F44</f>
      </c>
      <c r="G51" s="40">
        <f t="shared" si="21"/>
      </c>
      <c r="H51" s="40">
        <f t="shared" si="21"/>
      </c>
      <c r="I51" s="40">
        <f t="shared" si="21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68</v>
      </c>
    </row>
    <row r="54" spans="1:12" hidden="1" x14ac:dyDescent="0.55000000000000004">
      <c r="A54" s="144" t="s">
        <v>27</v>
      </c>
      <c r="B54" s="145"/>
      <c r="C54" s="96"/>
      <c r="D54" s="28">
        <f>+D75*D76</f>
      </c>
      <c r="E54" s="28">
        <f t="shared" ref="E54:J54" si="22">+E75*E76</f>
      </c>
      <c r="F54" s="28">
        <f t="shared" si="22"/>
      </c>
      <c r="G54" s="28">
        <f t="shared" si="22"/>
      </c>
      <c r="H54" s="28">
        <f t="shared" si="22"/>
      </c>
      <c r="I54" s="28">
        <f t="shared" si="22"/>
      </c>
      <c r="J54" s="28">
        <f t="shared" si="22"/>
      </c>
      <c r="K54" s="11"/>
      <c r="L54" s="7"/>
    </row>
    <row r="55" spans="1:12" hidden="1" x14ac:dyDescent="0.55000000000000004">
      <c r="A55" s="144" t="s">
        <v>129</v>
      </c>
      <c r="B55" s="145"/>
      <c r="C55" s="96"/>
      <c r="D55" s="27">
        <f>+SUM(D65:D72)</f>
      </c>
      <c r="E55" s="27">
        <f>SUM(E65:E72)+E54</f>
      </c>
      <c r="F55" s="27">
        <f t="shared" ref="F55:J55" si="23">SUM(F65:F72)+F54</f>
      </c>
      <c r="G55" s="27">
        <f t="shared" si="23"/>
      </c>
      <c r="H55" s="27">
        <f t="shared" si="23"/>
      </c>
      <c r="I55" s="27">
        <f t="shared" si="23"/>
      </c>
      <c r="J55" s="27">
        <f t="shared" si="23"/>
      </c>
      <c r="K55" s="11"/>
      <c r="L55" s="7"/>
    </row>
    <row r="56" spans="1:12" hidden="1" x14ac:dyDescent="0.55000000000000004">
      <c r="A56" s="144" t="s">
        <v>17</v>
      </c>
      <c r="B56" s="145"/>
      <c r="C56" s="96"/>
      <c r="D56" s="39" t="s">
        <v>22</v>
      </c>
      <c r="E56" s="28">
        <f t="shared" ref="E56:J56" si="24">SUM(E65:E67)/(E28-D28)</f>
      </c>
      <c r="F56" s="28">
        <f t="shared" si="24"/>
      </c>
      <c r="G56" s="28">
        <f t="shared" si="24"/>
      </c>
      <c r="H56" s="28">
        <f t="shared" si="24"/>
      </c>
      <c r="I56" s="28">
        <f t="shared" si="24"/>
      </c>
      <c r="J56" s="28">
        <f t="shared" si="24"/>
      </c>
      <c r="K56" s="11"/>
      <c r="L56" s="7"/>
    </row>
    <row r="57" spans="1:12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</c>
      <c r="F57" s="28">
        <f t="shared" ref="F57:J57" si="25">+F61/F35</f>
      </c>
      <c r="G57" s="28">
        <f t="shared" si="25"/>
      </c>
      <c r="H57" s="28">
        <f t="shared" si="25"/>
      </c>
      <c r="I57" s="28">
        <f t="shared" si="25"/>
      </c>
      <c r="J57" s="28">
        <f t="shared" si="25"/>
      </c>
      <c r="K57" s="11"/>
      <c r="L57" s="7"/>
    </row>
    <row r="58" spans="1:12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6">+IFERROR(E36/E35,0)</f>
      </c>
      <c r="F58" s="32">
        <f t="shared" si="26"/>
      </c>
      <c r="G58" s="32">
        <f t="shared" si="26"/>
      </c>
      <c r="H58" s="32">
        <f t="shared" si="26"/>
      </c>
      <c r="I58" s="32">
        <f t="shared" si="26"/>
      </c>
      <c r="J58" s="32">
        <f t="shared" si="26"/>
      </c>
      <c r="K58" s="11"/>
      <c r="L58" s="7"/>
    </row>
    <row r="59" spans="1:12" hidden="1" x14ac:dyDescent="0.55000000000000004">
      <c r="A59" s="152" t="s">
        <v>19</v>
      </c>
      <c r="B59" s="153"/>
      <c r="C59" s="97"/>
      <c r="D59" s="28"/>
      <c r="E59" s="28">
        <f t="shared" ref="E59:J59" si="27">+IFERROR(E55/E36,0)</f>
      </c>
      <c r="F59" s="28">
        <f t="shared" si="27"/>
      </c>
      <c r="G59" s="28">
        <f t="shared" si="27"/>
      </c>
      <c r="H59" s="28">
        <f t="shared" si="27"/>
      </c>
      <c r="I59" s="28">
        <f t="shared" si="27"/>
      </c>
      <c r="J59" s="28">
        <f t="shared" si="27"/>
      </c>
      <c r="K59" s="11"/>
      <c r="L59" s="7"/>
    </row>
    <row r="60" spans="1:12" hidden="1" x14ac:dyDescent="0.55000000000000004">
      <c r="A60" s="152" t="s">
        <v>116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70</v>
      </c>
      <c r="B61" s="155"/>
      <c r="C61" s="98"/>
      <c r="D61" s="40">
        <f>+D55</f>
      </c>
      <c r="E61" s="40">
        <f>+SUM(E65:E72)+E54</f>
      </c>
      <c r="F61" s="40">
        <f t="shared" ref="F61:J61" si="28">+SUM(F65:F72)+F54</f>
      </c>
      <c r="G61" s="40">
        <f t="shared" si="28"/>
      </c>
      <c r="H61" s="40">
        <f t="shared" si="28"/>
      </c>
      <c r="I61" s="40">
        <f t="shared" si="28"/>
      </c>
      <c r="J61" s="40">
        <f t="shared" si="28"/>
      </c>
      <c r="K61" s="11"/>
      <c r="L61" s="7"/>
    </row>
    <row r="62" spans="1:12" hidden="1" x14ac:dyDescent="0.55000000000000004"/>
    <row r="64" spans="1:12" x14ac:dyDescent="0.55000000000000004">
      <c r="C64" s="5" t="s">
        <v>148</v>
      </c>
      <c r="D64" s="5" t="s">
        <v>149</v>
      </c>
    </row>
    <row r="65" spans="1:16" ht="18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s">
        <v>182</v>
      </c>
    </row>
    <row r="66" spans="1:16" x14ac:dyDescent="0.55000000000000004">
      <c r="A66" s="53" t="s">
        <v>50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183</v>
      </c>
    </row>
    <row r="67" spans="1:16" x14ac:dyDescent="0.55000000000000004">
      <c r="B67" s="6" t="s">
        <v>184</v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inlineStr">
        <is>
          <t xml:space="preserve">サンクスLINE誘導：入れない（オプション：初期15万・月3万〜）</t>
        </is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29">IF(E34&lt;5000,5000,15000)</f>
      </c>
      <c r="F68" s="28">
        <f t="shared" si="29"/>
      </c>
      <c r="G68" s="28">
        <f t="shared" si="29"/>
      </c>
      <c r="H68" s="28">
        <f t="shared" si="29"/>
      </c>
      <c r="I68" s="28">
        <f t="shared" si="29"/>
      </c>
      <c r="J68" s="28">
        <f t="shared" si="29"/>
      </c>
      <c r="N68" s="69" t="s">
        <v>186</v>
      </c>
      <c r="O68" s="17" t="s">
        <v>128</v>
      </c>
      <c r="P68" s="75">
        <v>5000</v>
      </c>
    </row>
    <row r="69" spans="1:16" x14ac:dyDescent="0.55000000000000004">
      <c r="A69" s="15"/>
      <c r="B69" s="6" t="s">
        <v>187</v>
      </c>
      <c r="C69" s="90">
        <v>0</v>
      </c>
      <c r="D69" s="51">
        <v>100000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s">
        <v>188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127</v>
      </c>
    </row>
    <row r="71" spans="1:16" x14ac:dyDescent="0.55000000000000004">
      <c r="A71" s="15"/>
      <c r="B71" s="6" t="s">
        <v>125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126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151</v>
      </c>
      <c r="C73" s="113">
        <v>0</v>
      </c>
      <c r="D73" s="114">
        <f>SUM(D65:D72)</f>
      </c>
      <c r="E73" s="114">
        <f t="shared" ref="E73:J73" si="30">SUM(E65:E72)+E54</f>
      </c>
      <c r="F73" s="114">
        <f t="shared" si="30"/>
      </c>
      <c r="G73" s="114">
        <f t="shared" si="30"/>
      </c>
      <c r="H73" s="114">
        <f t="shared" si="30"/>
      </c>
      <c r="I73" s="114">
        <f t="shared" si="30"/>
      </c>
      <c r="J73" s="114">
        <f t="shared" si="30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1">+IF(D34&lt;30001,0,D34-30000)</f>
      </c>
      <c r="E75" s="41">
        <f t="shared" si="31"/>
      </c>
      <c r="F75" s="41">
        <f t="shared" si="31"/>
      </c>
      <c r="G75" s="41">
        <f t="shared" si="31"/>
      </c>
      <c r="H75" s="41">
        <f t="shared" si="31"/>
      </c>
      <c r="I75" s="41">
        <f t="shared" si="31"/>
      </c>
      <c r="J75" s="41">
        <f t="shared" si="31"/>
      </c>
    </row>
    <row r="76" spans="1:16" x14ac:dyDescent="0.55000000000000004">
      <c r="B76" s="5" t="s">
        <v>65</v>
      </c>
      <c r="D76" s="5">
        <f t="shared" ref="D76:J76" si="32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2"/>
      </c>
      <c r="F76" s="5">
        <f t="shared" si="32"/>
      </c>
      <c r="G76" s="5">
        <f t="shared" si="32"/>
      </c>
      <c r="H76" s="5">
        <f t="shared" si="32"/>
      </c>
      <c r="I76" s="5">
        <f t="shared" si="32"/>
      </c>
      <c r="J76" s="5">
        <f t="shared" si="32"/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22F6-2076-57E9-875D-3D967EDA726D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142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137</v>
      </c>
      <c r="B4" s="7"/>
      <c r="C4" s="86">
        <f>+'B_サンクス無'!D24</f>
      </c>
      <c r="D4" s="28">
        <f>+'B_サンクス無'!G51</f>
      </c>
      <c r="E4" s="28">
        <f>+'B_サンクス無'!J51</f>
      </c>
      <c r="F4" s="28"/>
    </row>
    <row r="5" spans="1:25" x14ac:dyDescent="0.55000000000000004">
      <c r="A5" s="85" t="s">
        <v>138</v>
      </c>
      <c r="B5" s="7"/>
      <c r="C5" s="86">
        <f>+'B_サンクス無'!D25</f>
      </c>
      <c r="D5" s="28">
        <f>+'B_サンクス無'!G61</f>
      </c>
      <c r="E5" s="28">
        <f>+'B_サンクス無'!J61</f>
      </c>
      <c r="F5" s="27"/>
    </row>
    <row r="6" spans="1:25" x14ac:dyDescent="0.55000000000000004">
      <c r="A6" s="85" t="s">
        <v>76</v>
      </c>
      <c r="B6" s="7"/>
      <c r="C6" s="117">
        <f>+'B_サンクス無'!D28</f>
      </c>
      <c r="D6" s="87">
        <f>+'B_サンクス無'!G28</f>
      </c>
      <c r="E6" s="87">
        <f>+'B_サンクス無'!J28</f>
      </c>
      <c r="F6" s="10"/>
    </row>
    <row r="7" spans="1:25" x14ac:dyDescent="0.55000000000000004">
      <c r="A7" s="85" t="s">
        <v>77</v>
      </c>
      <c r="B7" s="7"/>
      <c r="C7" s="88">
        <f>+'B_サンクス無'!D27</f>
      </c>
      <c r="D7" s="89">
        <f>+'B_サンクス無'!G27</f>
      </c>
      <c r="E7" s="89">
        <f>+'B_サンクス無'!J27</f>
      </c>
      <c r="F7" s="89"/>
    </row>
    <row r="8" spans="1:25" x14ac:dyDescent="0.55000000000000004">
      <c r="A8" s="85" t="s">
        <v>78</v>
      </c>
      <c r="B8" s="7"/>
      <c r="C8" s="117">
        <f>+'B_サンクス無'!D29</f>
      </c>
      <c r="D8" s="10">
        <f>+'B_サンクス無'!G29</f>
      </c>
      <c r="E8" s="10">
        <f>+'B_サンクス無'!J29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+'B_サンクス無'!D34</f>
      </c>
      <c r="D10" s="10">
        <f>+'B_サンクス無'!G34</f>
      </c>
      <c r="E10" s="10">
        <f>+'B_サンクス無'!J34</f>
      </c>
      <c r="F10" s="10"/>
    </row>
    <row r="11" spans="1:25" x14ac:dyDescent="0.55000000000000004">
      <c r="A11" s="85" t="s">
        <v>81</v>
      </c>
      <c r="B11" s="7"/>
      <c r="C11" s="117">
        <f>+'B_サンクス無'!D35</f>
      </c>
      <c r="D11" s="10">
        <f>+'B_サンクス無'!G35</f>
      </c>
      <c r="E11" s="10">
        <f>+'B_サンクス無'!J35</f>
      </c>
      <c r="F11" s="10"/>
    </row>
    <row r="12" spans="1:25" x14ac:dyDescent="0.55000000000000004">
      <c r="A12" s="85" t="s">
        <v>144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189</v>
      </c>
      <c r="B15" s="7"/>
      <c r="C15" s="87">
        <f>+'B_サンクス無'!D16</f>
      </c>
      <c r="D15" s="87">
        <f>+'B_サンクス無'!G16</f>
      </c>
      <c r="E15" s="87">
        <f>+'B_サンクス無'!J16</f>
      </c>
      <c r="F15" s="87"/>
      <c r="R15" s="5" t="s">
        <v>58</v>
      </c>
    </row>
    <row r="16" spans="1:25" x14ac:dyDescent="0.55000000000000004">
      <c r="A16" s="85" t="s">
        <v>190</v>
      </c>
      <c r="B16" s="7"/>
      <c r="C16" s="87">
        <f>+C17</f>
      </c>
      <c r="D16" s="87">
        <f>+D17</f>
      </c>
      <c r="E16" s="87">
        <f>+E17</f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191</v>
      </c>
      <c r="B17" s="7"/>
      <c r="C17" s="87">
        <f>+'B_サンクス無'!D36</f>
      </c>
      <c r="D17" s="87">
        <f>+'B_サンクス無'!G36</f>
      </c>
      <c r="E17" s="87">
        <f>+'B_サンクス無'!J36</f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192</v>
      </c>
      <c r="B18" s="7"/>
      <c r="C18" s="87">
        <f>+'B_サンクス無'!D37</f>
      </c>
      <c r="D18" s="87">
        <f>+'B_サンクス無'!G37</f>
      </c>
      <c r="E18" s="87">
        <f>+'B_サンクス無'!J37</f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</c>
      <c r="Y18" s="35">
        <v>2.5</v>
      </c>
    </row>
    <row r="19" spans="1:25" x14ac:dyDescent="0.55000000000000004">
      <c r="A19" s="85" t="s">
        <v>62</v>
      </c>
      <c r="B19" s="7"/>
      <c r="C19" s="87">
        <f>+'B_サンクス無'!D38</f>
      </c>
      <c r="D19" s="87">
        <f>+'B_サンクス無'!G38</f>
      </c>
      <c r="E19" s="87">
        <f>+'B_サンクス無'!J38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+'B_サンクス無'!D39</f>
      </c>
      <c r="D20" s="87">
        <f>+'B_サンクス無'!G39</f>
      </c>
      <c r="E20" s="87">
        <f>+'B_サンクス無'!J39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139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140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146</v>
      </c>
      <c r="B25" s="7"/>
      <c r="C25" s="10">
        <f>+'B_サンクス無'!E68+C29*C30</f>
      </c>
      <c r="D25" s="10">
        <f>+'B_サンクス無'!G68+D29*D30</f>
      </c>
      <c r="E25" s="10">
        <f>+'B_サンクス無'!J68+E29*E30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143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141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134</v>
      </c>
      <c r="D35" s="94" t="s">
        <v>135</v>
      </c>
      <c r="E35" s="94" t="s">
        <v>136</v>
      </c>
      <c r="F35" s="94" t="s">
        <v>136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A_サンクス有</vt:lpstr>
      <vt:lpstr>A_比較</vt:lpstr>
      <vt:lpstr>B_サンクス無</vt:lpstr>
      <vt:lpstr>B_比較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2026-10-16T03:30:21Z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
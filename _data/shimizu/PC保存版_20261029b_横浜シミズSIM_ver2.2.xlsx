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EFCC889B-B5C7-4ECC-9A56-2C7F9475ABD4}" xr6:coauthVersionLast="47" xr6:coauthVersionMax="47" xr10:uidLastSave="{00000000-0000-0000-0000-000000000000}"/>
  <bookViews>
    <workbookView xWindow="-13380" yWindow="-16320" windowWidth="29040" windowHeight="15720" activeTab="2" xr2:uid="{02433765-3560-48F5-BC99-B30FC64129A4}"/>
  </bookViews>
  <sheets>
    <sheet name="SIM①_コンサル" sheetId="1" r:id="rId1"/>
    <sheet name="SIM①_比較" sheetId="2" r:id="rId2"/>
    <sheet name="SIM②_成果報酬" sheetId="3" r:id="rId3"/>
    <sheet name="SIM②_比較" sheetId="4" r:id="rId4"/>
    <sheet name="SIM考え方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3" l="1"/>
  <c r="G50" i="3"/>
  <c r="H50" i="3"/>
  <c r="I50" i="3"/>
  <c r="J50" i="3"/>
  <c r="E50" i="3"/>
  <c r="E22" i="5"/>
  <c r="E17" i="5"/>
  <c r="E12" i="5"/>
  <c r="E7" i="5"/>
  <c r="E20" i="4"/>
  <c r="D20" i="4"/>
  <c r="C20" i="4"/>
  <c r="E19" i="4"/>
  <c r="D19" i="4"/>
  <c r="C19" i="4"/>
  <c r="X18" i="4"/>
  <c r="E18" i="4"/>
  <c r="E16" i="4" s="1"/>
  <c r="D18" i="4"/>
  <c r="D16" i="4" s="1"/>
  <c r="C18" i="4"/>
  <c r="E17" i="4"/>
  <c r="D17" i="4"/>
  <c r="C17" i="4"/>
  <c r="C16" i="4"/>
  <c r="E15" i="4"/>
  <c r="D15" i="4"/>
  <c r="C15" i="4"/>
  <c r="C7" i="4"/>
  <c r="C6" i="4"/>
  <c r="C5" i="4"/>
  <c r="C4" i="4"/>
  <c r="D73" i="3"/>
  <c r="D61" i="3"/>
  <c r="D55" i="3"/>
  <c r="D51" i="3"/>
  <c r="C51" i="3"/>
  <c r="D45" i="3"/>
  <c r="C45" i="3"/>
  <c r="J40" i="3"/>
  <c r="I40" i="3"/>
  <c r="H40" i="3"/>
  <c r="G40" i="3"/>
  <c r="F40" i="3"/>
  <c r="E40" i="3"/>
  <c r="D40" i="3"/>
  <c r="K39" i="3"/>
  <c r="B39" i="3"/>
  <c r="K38" i="3"/>
  <c r="B38" i="3"/>
  <c r="K37" i="3"/>
  <c r="B37" i="3"/>
  <c r="K36" i="3"/>
  <c r="B36" i="3"/>
  <c r="Q35" i="3"/>
  <c r="Q34" i="3"/>
  <c r="Q33" i="3"/>
  <c r="Q32" i="3"/>
  <c r="P36" i="3" s="1"/>
  <c r="D29" i="3"/>
  <c r="F27" i="3"/>
  <c r="G27" i="3" s="1"/>
  <c r="J25" i="3"/>
  <c r="I25" i="3"/>
  <c r="H25" i="3"/>
  <c r="G25" i="3"/>
  <c r="F25" i="3"/>
  <c r="E25" i="3"/>
  <c r="Y19" i="3"/>
  <c r="D16" i="3"/>
  <c r="E16" i="3" s="1"/>
  <c r="D15" i="3"/>
  <c r="E15" i="3" s="1"/>
  <c r="F15" i="3" s="1"/>
  <c r="G15" i="3" s="1"/>
  <c r="H15" i="3" s="1"/>
  <c r="I15" i="3" s="1"/>
  <c r="J15" i="3" s="1"/>
  <c r="D14" i="3"/>
  <c r="E14" i="3" s="1"/>
  <c r="E20" i="2"/>
  <c r="D20" i="2"/>
  <c r="C20" i="2"/>
  <c r="E19" i="2"/>
  <c r="D19" i="2"/>
  <c r="C19" i="2"/>
  <c r="X18" i="2"/>
  <c r="E18" i="2"/>
  <c r="D18" i="2"/>
  <c r="C18" i="2"/>
  <c r="E17" i="2"/>
  <c r="D17" i="2"/>
  <c r="C17" i="2"/>
  <c r="E16" i="2"/>
  <c r="D16" i="2"/>
  <c r="C16" i="2"/>
  <c r="E15" i="2"/>
  <c r="D15" i="2"/>
  <c r="C15" i="2"/>
  <c r="C7" i="2"/>
  <c r="C6" i="2"/>
  <c r="C5" i="2"/>
  <c r="C4" i="2"/>
  <c r="D73" i="1"/>
  <c r="D55" i="1"/>
  <c r="D61" i="1" s="1"/>
  <c r="D51" i="1"/>
  <c r="C51" i="1"/>
  <c r="J50" i="1"/>
  <c r="I50" i="1"/>
  <c r="H50" i="1"/>
  <c r="G50" i="1"/>
  <c r="F50" i="1"/>
  <c r="E50" i="1"/>
  <c r="D45" i="1"/>
  <c r="C45" i="1"/>
  <c r="J40" i="1"/>
  <c r="I40" i="1"/>
  <c r="H40" i="1"/>
  <c r="G40" i="1"/>
  <c r="F40" i="1"/>
  <c r="E40" i="1"/>
  <c r="D40" i="1"/>
  <c r="K39" i="1"/>
  <c r="B39" i="1"/>
  <c r="K38" i="1"/>
  <c r="B38" i="1"/>
  <c r="K37" i="1"/>
  <c r="B37" i="1"/>
  <c r="K36" i="1"/>
  <c r="B36" i="1"/>
  <c r="Q35" i="1"/>
  <c r="Q34" i="1"/>
  <c r="Q33" i="1"/>
  <c r="Q32" i="1"/>
  <c r="P36" i="1" s="1"/>
  <c r="D29" i="1"/>
  <c r="F27" i="1"/>
  <c r="G27" i="1" s="1"/>
  <c r="J25" i="1"/>
  <c r="I25" i="1"/>
  <c r="H25" i="1"/>
  <c r="G25" i="1"/>
  <c r="F25" i="1"/>
  <c r="E25" i="1"/>
  <c r="Y19" i="1"/>
  <c r="D16" i="1"/>
  <c r="E16" i="1" s="1"/>
  <c r="D15" i="1"/>
  <c r="E15" i="1" s="1"/>
  <c r="F15" i="1" s="1"/>
  <c r="G15" i="1" s="1"/>
  <c r="H15" i="1" s="1"/>
  <c r="I15" i="1" s="1"/>
  <c r="J15" i="1" s="1"/>
  <c r="D14" i="1"/>
  <c r="E14" i="1" s="1"/>
  <c r="C23" i="4" l="1"/>
  <c r="C22" i="4"/>
  <c r="K40" i="3"/>
  <c r="C8" i="4"/>
  <c r="D34" i="3"/>
  <c r="D31" i="3"/>
  <c r="D35" i="3" s="1"/>
  <c r="H27" i="3"/>
  <c r="I27" i="3" s="1"/>
  <c r="J27" i="3" s="1"/>
  <c r="E7" i="4" s="1"/>
  <c r="D7" i="4"/>
  <c r="F16" i="3"/>
  <c r="E24" i="3"/>
  <c r="F14" i="3"/>
  <c r="E23" i="3"/>
  <c r="E26" i="3" s="1"/>
  <c r="E28" i="3" s="1"/>
  <c r="C23" i="2"/>
  <c r="C22" i="2"/>
  <c r="K40" i="1"/>
  <c r="C8" i="2"/>
  <c r="D34" i="1"/>
  <c r="D31" i="1"/>
  <c r="D35" i="1" s="1"/>
  <c r="H27" i="1"/>
  <c r="I27" i="1" s="1"/>
  <c r="J27" i="1" s="1"/>
  <c r="E7" i="2" s="1"/>
  <c r="D7" i="2"/>
  <c r="F16" i="1"/>
  <c r="E24" i="1"/>
  <c r="F14" i="1"/>
  <c r="E23" i="1"/>
  <c r="E26" i="1" s="1"/>
  <c r="E28" i="1" s="1"/>
  <c r="C10" i="4" l="1"/>
  <c r="C29" i="4" s="1"/>
  <c r="C30" i="4" s="1"/>
  <c r="D75" i="3"/>
  <c r="D41" i="3"/>
  <c r="C11" i="4"/>
  <c r="C12" i="4" s="1"/>
  <c r="C13" i="4" s="1"/>
  <c r="G16" i="3"/>
  <c r="F24" i="3"/>
  <c r="G14" i="3"/>
  <c r="F23" i="3"/>
  <c r="F26" i="3" s="1"/>
  <c r="F28" i="3" s="1"/>
  <c r="E29" i="3"/>
  <c r="E46" i="3"/>
  <c r="E56" i="3"/>
  <c r="C10" i="2"/>
  <c r="C29" i="2" s="1"/>
  <c r="C30" i="2" s="1"/>
  <c r="D75" i="1"/>
  <c r="D41" i="1"/>
  <c r="C11" i="2"/>
  <c r="C12" i="2" s="1"/>
  <c r="C13" i="2" s="1"/>
  <c r="G16" i="1"/>
  <c r="F24" i="1"/>
  <c r="G14" i="1"/>
  <c r="F23" i="1"/>
  <c r="E29" i="1"/>
  <c r="E46" i="1"/>
  <c r="E56" i="1"/>
  <c r="D76" i="3" l="1"/>
  <c r="D54" i="3"/>
  <c r="H16" i="3"/>
  <c r="G24" i="3"/>
  <c r="H14" i="3"/>
  <c r="G23" i="3"/>
  <c r="F29" i="3"/>
  <c r="F46" i="3"/>
  <c r="F56" i="3"/>
  <c r="E31" i="3"/>
  <c r="E33" i="3"/>
  <c r="E34" i="3"/>
  <c r="D76" i="1"/>
  <c r="D54" i="1" s="1"/>
  <c r="H16" i="1"/>
  <c r="G24" i="1"/>
  <c r="G23" i="1"/>
  <c r="G26" i="1" s="1"/>
  <c r="H14" i="1"/>
  <c r="E31" i="1"/>
  <c r="E33" i="1"/>
  <c r="E34" i="1"/>
  <c r="F26" i="1"/>
  <c r="F28" i="1" s="1"/>
  <c r="I16" i="3" l="1"/>
  <c r="H24" i="3"/>
  <c r="I14" i="3"/>
  <c r="H23" i="3"/>
  <c r="F31" i="3"/>
  <c r="F34" i="3"/>
  <c r="F33" i="3"/>
  <c r="E75" i="3"/>
  <c r="E68" i="3"/>
  <c r="H24" i="1"/>
  <c r="I16" i="1"/>
  <c r="H23" i="1"/>
  <c r="I14" i="1"/>
  <c r="E75" i="1"/>
  <c r="E68" i="1"/>
  <c r="F56" i="1"/>
  <c r="F46" i="1"/>
  <c r="F29" i="1"/>
  <c r="G28" i="1"/>
  <c r="E35" i="1"/>
  <c r="G26" i="3"/>
  <c r="G28" i="3" s="1"/>
  <c r="E35" i="3"/>
  <c r="H26" i="1" l="1"/>
  <c r="H28" i="1" s="1"/>
  <c r="J16" i="3"/>
  <c r="J24" i="3" s="1"/>
  <c r="I24" i="3"/>
  <c r="J14" i="3"/>
  <c r="J23" i="3" s="1"/>
  <c r="J26" i="3" s="1"/>
  <c r="I23" i="3"/>
  <c r="I26" i="3" s="1"/>
  <c r="F75" i="3"/>
  <c r="F68" i="3"/>
  <c r="F45" i="3" s="1"/>
  <c r="E76" i="3"/>
  <c r="E45" i="3"/>
  <c r="C25" i="4"/>
  <c r="J16" i="1"/>
  <c r="J24" i="1" s="1"/>
  <c r="I24" i="1"/>
  <c r="I23" i="1"/>
  <c r="I26" i="1" s="1"/>
  <c r="J14" i="1"/>
  <c r="J23" i="1" s="1"/>
  <c r="J26" i="1" s="1"/>
  <c r="E76" i="1"/>
  <c r="E45" i="1"/>
  <c r="C25" i="2"/>
  <c r="F31" i="1"/>
  <c r="F33" i="1"/>
  <c r="F34" i="1"/>
  <c r="G46" i="1"/>
  <c r="G56" i="1"/>
  <c r="D6" i="2"/>
  <c r="G29" i="1"/>
  <c r="E58" i="1"/>
  <c r="E48" i="1"/>
  <c r="E41" i="1"/>
  <c r="D6" i="4"/>
  <c r="G56" i="3"/>
  <c r="G46" i="3"/>
  <c r="G29" i="3"/>
  <c r="E58" i="3"/>
  <c r="E48" i="3"/>
  <c r="E41" i="3"/>
  <c r="H26" i="3"/>
  <c r="H28" i="3" s="1"/>
  <c r="F35" i="3"/>
  <c r="E44" i="3" l="1"/>
  <c r="E51" i="3" s="1"/>
  <c r="E54" i="3"/>
  <c r="F76" i="3"/>
  <c r="E55" i="3"/>
  <c r="E59" i="3" s="1"/>
  <c r="F68" i="1"/>
  <c r="F45" i="1" s="1"/>
  <c r="F75" i="1"/>
  <c r="H29" i="1"/>
  <c r="I28" i="1"/>
  <c r="H46" i="1"/>
  <c r="H56" i="1"/>
  <c r="G31" i="1"/>
  <c r="G33" i="1"/>
  <c r="G34" i="1"/>
  <c r="D8" i="2"/>
  <c r="G31" i="3"/>
  <c r="D8" i="4"/>
  <c r="G33" i="3"/>
  <c r="G34" i="3"/>
  <c r="I28" i="3"/>
  <c r="H29" i="3"/>
  <c r="H46" i="3"/>
  <c r="H56" i="3"/>
  <c r="F58" i="3"/>
  <c r="F48" i="3"/>
  <c r="F41" i="3"/>
  <c r="F35" i="1"/>
  <c r="E54" i="1"/>
  <c r="E44" i="1"/>
  <c r="E51" i="1" s="1"/>
  <c r="E73" i="3" l="1"/>
  <c r="E61" i="3"/>
  <c r="E57" i="3" s="1"/>
  <c r="F44" i="3"/>
  <c r="F51" i="3" s="1"/>
  <c r="F54" i="3"/>
  <c r="E47" i="3"/>
  <c r="E49" i="3"/>
  <c r="F55" i="3"/>
  <c r="F59" i="3" s="1"/>
  <c r="F73" i="3"/>
  <c r="F61" i="3"/>
  <c r="F57" i="3" s="1"/>
  <c r="F76" i="1"/>
  <c r="F54" i="1"/>
  <c r="F44" i="1"/>
  <c r="F51" i="1" s="1"/>
  <c r="H31" i="1"/>
  <c r="H33" i="1"/>
  <c r="H34" i="1"/>
  <c r="J28" i="1"/>
  <c r="I46" i="1"/>
  <c r="I56" i="1"/>
  <c r="I29" i="1"/>
  <c r="G68" i="1"/>
  <c r="D10" i="2"/>
  <c r="D29" i="2" s="1"/>
  <c r="D30" i="2" s="1"/>
  <c r="G75" i="1"/>
  <c r="G75" i="3"/>
  <c r="G68" i="3"/>
  <c r="D10" i="4"/>
  <c r="D29" i="4" s="1"/>
  <c r="D30" i="4" s="1"/>
  <c r="J28" i="3"/>
  <c r="I29" i="3"/>
  <c r="I46" i="3"/>
  <c r="I56" i="3"/>
  <c r="H31" i="3"/>
  <c r="H33" i="3"/>
  <c r="H34" i="3"/>
  <c r="F58" i="1"/>
  <c r="F48" i="1"/>
  <c r="F41" i="1"/>
  <c r="E73" i="1"/>
  <c r="E55" i="1"/>
  <c r="E59" i="1" s="1"/>
  <c r="E61" i="1"/>
  <c r="E57" i="1" s="1"/>
  <c r="E49" i="1"/>
  <c r="E47" i="1"/>
  <c r="G35" i="1"/>
  <c r="G35" i="3"/>
  <c r="F49" i="3" l="1"/>
  <c r="F47" i="3"/>
  <c r="F61" i="1"/>
  <c r="F57" i="1" s="1"/>
  <c r="F55" i="1"/>
  <c r="F59" i="1" s="1"/>
  <c r="F73" i="1"/>
  <c r="F47" i="1"/>
  <c r="F49" i="1"/>
  <c r="H68" i="1"/>
  <c r="H45" i="1" s="1"/>
  <c r="H75" i="1"/>
  <c r="J29" i="1"/>
  <c r="J46" i="1"/>
  <c r="J56" i="1"/>
  <c r="E6" i="2"/>
  <c r="I31" i="1"/>
  <c r="I33" i="1"/>
  <c r="I34" i="1"/>
  <c r="G45" i="1"/>
  <c r="D25" i="2"/>
  <c r="G76" i="1"/>
  <c r="G76" i="3"/>
  <c r="G45" i="3"/>
  <c r="D25" i="4"/>
  <c r="J29" i="3"/>
  <c r="J46" i="3"/>
  <c r="J56" i="3"/>
  <c r="E6" i="4"/>
  <c r="I34" i="3"/>
  <c r="I31" i="3"/>
  <c r="I33" i="3"/>
  <c r="H68" i="3"/>
  <c r="H45" i="3" s="1"/>
  <c r="H75" i="3"/>
  <c r="G58" i="1"/>
  <c r="G48" i="1"/>
  <c r="D11" i="2"/>
  <c r="G41" i="1"/>
  <c r="D11" i="4"/>
  <c r="G58" i="3"/>
  <c r="G48" i="3"/>
  <c r="G41" i="3"/>
  <c r="H35" i="1"/>
  <c r="H35" i="3"/>
  <c r="G44" i="3" l="1"/>
  <c r="G51" i="3" s="1"/>
  <c r="G54" i="3"/>
  <c r="G73" i="3" s="1"/>
  <c r="H76" i="1"/>
  <c r="J31" i="1"/>
  <c r="J33" i="1"/>
  <c r="J34" i="1"/>
  <c r="E8" i="2"/>
  <c r="I68" i="1"/>
  <c r="I45" i="1" s="1"/>
  <c r="I75" i="1"/>
  <c r="J33" i="3"/>
  <c r="J34" i="3"/>
  <c r="E8" i="4"/>
  <c r="J31" i="3"/>
  <c r="J35" i="3" s="1"/>
  <c r="I75" i="3"/>
  <c r="I68" i="3"/>
  <c r="I45" i="3" s="1"/>
  <c r="H76" i="3"/>
  <c r="H58" i="1"/>
  <c r="H48" i="1"/>
  <c r="H41" i="1"/>
  <c r="H58" i="3"/>
  <c r="H48" i="3"/>
  <c r="H41" i="3"/>
  <c r="I35" i="3"/>
  <c r="I35" i="1"/>
  <c r="G54" i="1"/>
  <c r="G44" i="1"/>
  <c r="G51" i="1" s="1"/>
  <c r="G55" i="3" l="1"/>
  <c r="G59" i="3" s="1"/>
  <c r="G61" i="3"/>
  <c r="H54" i="3"/>
  <c r="H44" i="3"/>
  <c r="H51" i="3" s="1"/>
  <c r="J68" i="1"/>
  <c r="E10" i="2"/>
  <c r="E29" i="2" s="1"/>
  <c r="E30" i="2" s="1"/>
  <c r="J75" i="1"/>
  <c r="I76" i="1"/>
  <c r="I54" i="1"/>
  <c r="I44" i="1"/>
  <c r="I51" i="1" s="1"/>
  <c r="J75" i="3"/>
  <c r="E10" i="4"/>
  <c r="E29" i="4" s="1"/>
  <c r="E30" i="4" s="1"/>
  <c r="J68" i="3"/>
  <c r="J41" i="3"/>
  <c r="J48" i="3"/>
  <c r="J58" i="3"/>
  <c r="E11" i="4"/>
  <c r="I76" i="3"/>
  <c r="G49" i="3"/>
  <c r="G47" i="3"/>
  <c r="D4" i="4"/>
  <c r="I58" i="3"/>
  <c r="I48" i="3"/>
  <c r="I41" i="3"/>
  <c r="I58" i="1"/>
  <c r="I48" i="1"/>
  <c r="I41" i="1"/>
  <c r="G73" i="1"/>
  <c r="G55" i="1"/>
  <c r="G59" i="1" s="1"/>
  <c r="G61" i="1"/>
  <c r="G49" i="1"/>
  <c r="D4" i="2"/>
  <c r="G47" i="1"/>
  <c r="J35" i="1"/>
  <c r="H54" i="1"/>
  <c r="H44" i="1"/>
  <c r="H51" i="1" s="1"/>
  <c r="G57" i="3" l="1"/>
  <c r="D5" i="4"/>
  <c r="H55" i="3"/>
  <c r="H59" i="3" s="1"/>
  <c r="H73" i="3"/>
  <c r="H61" i="3"/>
  <c r="H57" i="3" s="1"/>
  <c r="H47" i="3"/>
  <c r="H49" i="3"/>
  <c r="J45" i="1"/>
  <c r="E25" i="2"/>
  <c r="J76" i="1"/>
  <c r="J54" i="1" s="1"/>
  <c r="J44" i="1"/>
  <c r="I61" i="1"/>
  <c r="I57" i="1" s="1"/>
  <c r="I55" i="1"/>
  <c r="I59" i="1" s="1"/>
  <c r="I73" i="1"/>
  <c r="I47" i="1"/>
  <c r="I49" i="1"/>
  <c r="J76" i="3"/>
  <c r="J45" i="3"/>
  <c r="E25" i="4"/>
  <c r="D22" i="4"/>
  <c r="D12" i="4"/>
  <c r="G57" i="1"/>
  <c r="D5" i="2"/>
  <c r="D22" i="2"/>
  <c r="D12" i="2"/>
  <c r="J58" i="1"/>
  <c r="J48" i="1"/>
  <c r="E11" i="2"/>
  <c r="J41" i="1"/>
  <c r="H73" i="1"/>
  <c r="H55" i="1"/>
  <c r="H59" i="1" s="1"/>
  <c r="H61" i="1"/>
  <c r="H57" i="1" s="1"/>
  <c r="H49" i="1"/>
  <c r="H47" i="1"/>
  <c r="I44" i="3"/>
  <c r="I51" i="3" s="1"/>
  <c r="I54" i="3"/>
  <c r="J51" i="1" l="1"/>
  <c r="D23" i="4"/>
  <c r="D13" i="4"/>
  <c r="J54" i="3"/>
  <c r="J44" i="3"/>
  <c r="J51" i="3" s="1"/>
  <c r="J47" i="3" s="1"/>
  <c r="J61" i="1"/>
  <c r="J55" i="1"/>
  <c r="J59" i="1" s="1"/>
  <c r="J73" i="1"/>
  <c r="J55" i="3"/>
  <c r="J59" i="3" s="1"/>
  <c r="J73" i="3"/>
  <c r="J61" i="3"/>
  <c r="D23" i="2"/>
  <c r="D13" i="2"/>
  <c r="I49" i="3"/>
  <c r="I47" i="3"/>
  <c r="I61" i="3"/>
  <c r="I57" i="3" s="1"/>
  <c r="I73" i="3"/>
  <c r="I55" i="3"/>
  <c r="I59" i="3" s="1"/>
  <c r="J47" i="1" l="1"/>
  <c r="J49" i="1"/>
  <c r="E4" i="2"/>
  <c r="E4" i="4"/>
  <c r="J49" i="3"/>
  <c r="J57" i="1"/>
  <c r="E5" i="2"/>
  <c r="J57" i="3"/>
  <c r="E5" i="4"/>
  <c r="E22" i="2" l="1"/>
  <c r="E12" i="2"/>
  <c r="E22" i="4"/>
  <c r="E12" i="4"/>
  <c r="E23" i="2"/>
  <c r="E13" i="2"/>
  <c r="E23" i="4"/>
  <c r="E13" i="4"/>
</calcChain>
</file>

<file path=xl/sharedStrings.xml><?xml version="1.0" encoding="utf-8"?>
<sst xmlns="http://schemas.openxmlformats.org/spreadsheetml/2006/main" count="504" uniqueCount="199">
  <si>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</si>
  <si>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</si>
  <si>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</si>
  <si>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</si>
  <si>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</si>
  <si>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</si>
  <si>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</si>
  <si>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</si>
  <si>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</si>
  <si>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</si>
  <si>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</si>
  <si>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</si>
  <si>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</si>
  <si>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</si>
  <si>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</si>
  <si>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</si>
  <si>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</si>
  <si>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</si>
  <si>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</si>
  <si>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</si>
  <si>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</si>
  <si>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</si>
  <si>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</si>
  <si>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</si>
  <si>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</si>
  <si>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</si>
  <si>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</si>
  <si>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</si>
  <si>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</si>
  <si>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</si>
  <si>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</si>
  <si>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</si>
  <si>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</si>
  <si>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</si>
  <si>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</si>
  <si>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</si>
  <si>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</si>
  <si>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</si>
  <si>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</si>
  <si>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</si>
  <si>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</si>
  <si>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</si>
  <si>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</si>
  <si>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</si>
  <si>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</si>
  <si>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</si>
  <si>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</si>
  <si>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</si>
  <si>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</si>
  <si>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</si>
  <si>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</si>
  <si>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</si>
  <si>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</si>
  <si>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</si>
  <si>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</si>
  <si>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</si>
  <si>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</si>
  <si>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</si>
  <si>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</si>
  <si>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</si>
  <si>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</si>
  <si>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</si>
  <si>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</si>
  <si>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</si>
  <si>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</si>
  <si>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</si>
  <si>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</si>
  <si>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</si>
  <si>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</si>
  <si>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</si>
  <si>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</si>
  <si>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</si>
  <si>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</si>
  <si>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</si>
  <si>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</si>
  <si>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</si>
  <si>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</si>
  <si>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</si>
  <si>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</si>
  <si>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</si>
  <si>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</si>
  <si>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</si>
  <si>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</si>
  <si>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</si>
  <si>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</si>
  <si>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</si>
  <si>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</si>
  <si>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</si>
  <si>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</si>
  <si>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</si>
  <si>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</si>
  <si>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</si>
  <si>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</si>
  <si>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</si>
  <si>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</si>
  <si>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</si>
  <si>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</si>
  <si>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</si>
  <si>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</si>
  <si>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</si>
  <si>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</si>
  <si>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</si>
  <si>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</si>
  <si>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</si>
  <si>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</si>
  <si>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</si>
  <si>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</si>
  <si>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</si>
  <si>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</si>
  <si>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</si>
  <si>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</si>
  <si>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</si>
  <si>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</si>
  <si>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</si>
  <si>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</si>
  <si>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</si>
  <si>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</si>
  <si>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</si>
  <si>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</si>
  <si>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</si>
  <si>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</si>
  <si>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</si>
  <si>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</si>
  <si>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</si>
  <si>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</si>
  <si>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</si>
  <si>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</si>
  <si>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</si>
  <si>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</si>
  <si>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</si>
  <si>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</si>
  <si>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</si>
  <si>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</si>
  <si>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</si>
  <si>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</si>
  <si>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</si>
  <si>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</si>
  <si>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</si>
  <si>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</si>
  <si>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</si>
  <si>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</si>
  <si>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</si>
  <si>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</si>
  <si>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</si>
  <si>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</si>
  <si>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</si>
  <si>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</si>
  <si>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</si>
  <si>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</si>
  <si>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</si>
  <si>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</si>
  <si>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</si>
  <si>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</si>
  <si>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</si>
  <si>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</si>
  <si>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</si>
  <si>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</si>
  <si>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</si>
  <si>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</si>
  <si>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</si>
  <si>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</si>
  <si>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</si>
  <si>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サイトUU</t>
  </si>
  <si>
    <t>うち広告</t>
  </si>
  <si>
    <t>応募（サイト・仮に）</t>
  </si>
  <si>
    <t>1か月目</t>
  </si>
  <si>
    <t>2か月目</t>
  </si>
  <si>
    <t>3か月目</t>
  </si>
  <si>
    <t>4か月目</t>
  </si>
  <si>
    <t>5か月目</t>
  </si>
  <si>
    <t>6か月目</t>
  </si>
  <si>
    <t>求人サイトの月間UU 8,947（与件）。6か月同じ</t>
  </si>
  <si>
    <t>離脱防止ポップアップ</t>
  </si>
  <si>
    <t>離脱防止ポップアップ＝UU×表示65%×クリック12.5%×追加12.5%（定義テキストの係数）</t>
  </si>
  <si>
    <t>サンクスLINE誘導</t>
  </si>
  <si>
    <t>サンクスLINE誘導：初期15万円・月3万円〜</t>
  </si>
  <si>
    <t>アカウント費：FMTの式（開設3万円）</t>
  </si>
  <si>
    <t>CV数（+LINEOA施策）</t>
  </si>
  <si>
    <t>新規応募</t>
  </si>
  <si>
    <t>再応募</t>
  </si>
  <si>
    <t>サイトからの応募は与件に無いので、仮にUUの1.0%（月89件・資料と同じ）</t>
  </si>
  <si>
    <t>サンクスLINE誘導＝応募×遷移80%×追加40%（資料と同じ・定義テキストの係数）</t>
  </si>
  <si>
    <t>ブロック率：1か月目（E27）から、2か月目以降は前の月×1.025（式）</t>
  </si>
  <si>
    <t>企画配信 月4回（週1回。次回イベントの募集・会場の案内）</t>
  </si>
  <si>
    <t>LINE運用（運用代行・効率改善）</t>
  </si>
  <si>
    <t>LINE運用：資料の金額（初期構築10万円・月10万円）</t>
  </si>
  <si>
    <t>CV①_新規応募</t>
  </si>
  <si>
    <t>CV③_再応募</t>
  </si>
  <si>
    <t>CV①新規応募：サイトのLINEボタン・離脱防止で友だちになった方（応募前）が、配信から応募した数。サンクスLINE誘導で友だちになった方は応募済みなので、新規応募には数えない</t>
  </si>
  <si>
    <t>サイトのLINEボタン（UUの0.5%・FMTの係数）＋離脱防止ポップアップ＋サンクスLINE誘導</t>
  </si>
  <si>
    <t>ステップ配信 4通（あいさつメッセージの後、友だち追加から14日以内）</t>
  </si>
  <si>
    <t>新規応募：サイトのLINEボタン・離脱防止で友だちになった方が、企画配信・ステップ配信から応募した数</t>
  </si>
  <si>
    <t>再応募：一度勤務した方が、次回イベントの募集から勤務希望を出した数（応募→勤務を経てからなので3か月目から）</t>
  </si>
  <si>
    <t>離脱防止ポップアップ：初期1.5万円・月3万円</t>
  </si>
  <si>
    <t>株式会社横浜シミズ御中_LINEOA施策提案【SIM】コンサル（サイトのLINEボタン＋離脱防止＋サンクスLINE誘導）</t>
  </si>
  <si>
    <t>株式会社横浜シミズ御中_LINEOA施策提案【SIM】成果報酬（応募1件 8,000円）（サイトのLINEボタン＋離脱防止＋サンクスLINE誘導＋通知メッセージ）</t>
  </si>
  <si>
    <t>通知メッセージ（既存リスト）：登録済みのスタッフに配信して友だち追加。リストは仮に5,000人（マイナビの求人10件×1件30人×4週ごと＝年約3,900人の新規登録＋それ以前から続けている方）。毎月リスト×15%×15%が友だちに（FMTの式）</t>
    <phoneticPr fontId="2"/>
  </si>
  <si>
    <t>サンクスLINE誘導＝応募×遷移80%×追加40%（資料と同じ・定義テキストの係数）</t>
    <phoneticPr fontId="2"/>
  </si>
  <si>
    <t>会員登録</t>
    <rPh sb="0" eb="3">
      <t>カイイントウロク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</si>
</sst>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6" fontId="8" fillId="0" borderId="0" xfId="0" applyNumberFormat="1" applyFont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zoomScale="40" zoomScaleNormal="55" workbookViewId="0">
      <selection activeCell="E38" sqref="E3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s">
        <v>194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178</v>
      </c>
      <c r="D8" s="33">
        <v>0</v>
      </c>
      <c r="G8" s="121" t="s">
        <v>162</v>
      </c>
      <c r="H8" s="122">
        <v>8947</v>
      </c>
      <c r="I8" s="123"/>
      <c r="J8" s="123" t="s">
        <v>69</v>
      </c>
      <c r="K8" s="129">
        <v>5000</v>
      </c>
      <c r="N8" s="69" t="s">
        <v>188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198</v>
      </c>
      <c r="D9" s="33">
        <v>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179</v>
      </c>
      <c r="D10" s="33">
        <v>0</v>
      </c>
      <c r="G10" s="124" t="s">
        <v>164</v>
      </c>
      <c r="H10" s="125">
        <v>150</v>
      </c>
      <c r="I10" s="22" t="s">
        <v>154</v>
      </c>
      <c r="J10" s="29"/>
      <c r="K10" s="118"/>
      <c r="N10" s="132" t="s">
        <v>180</v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  <v>8947</v>
      </c>
      <c r="E14" s="43">
        <f>+D14</f>
        <v>8947</v>
      </c>
      <c r="F14" s="43">
        <f t="shared" ref="F14:J14" si="0">+E14</f>
        <v>8947</v>
      </c>
      <c r="G14" s="43">
        <f t="shared" si="0"/>
        <v>8947</v>
      </c>
      <c r="H14" s="43">
        <f t="shared" si="0"/>
        <v>8947</v>
      </c>
      <c r="I14" s="43">
        <f t="shared" si="0"/>
        <v>8947</v>
      </c>
      <c r="J14" s="43">
        <f t="shared" si="0"/>
        <v>8947</v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  <v>150</v>
      </c>
      <c r="E16" s="43">
        <f t="shared" si="2"/>
        <v>150</v>
      </c>
      <c r="F16" s="43">
        <f t="shared" si="2"/>
        <v>150</v>
      </c>
      <c r="G16" s="43">
        <f t="shared" si="2"/>
        <v>150</v>
      </c>
      <c r="H16" s="43">
        <f t="shared" si="2"/>
        <v>150</v>
      </c>
      <c r="I16" s="43">
        <f t="shared" si="2"/>
        <v>150</v>
      </c>
      <c r="J16" s="43">
        <f t="shared" si="2"/>
        <v>150</v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113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  <v>90.867968750000003</v>
      </c>
      <c r="F23" s="46">
        <f t="shared" si="3"/>
        <v>90.867968750000003</v>
      </c>
      <c r="G23" s="63">
        <f t="shared" si="3"/>
        <v>90.867968750000003</v>
      </c>
      <c r="H23" s="63">
        <f t="shared" si="3"/>
        <v>90.867968750000003</v>
      </c>
      <c r="I23" s="63">
        <f t="shared" si="3"/>
        <v>90.867968750000003</v>
      </c>
      <c r="J23" s="63">
        <f t="shared" si="3"/>
        <v>90.867968750000003</v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  <v>48</v>
      </c>
      <c r="F24" s="63">
        <f t="shared" si="4"/>
        <v>48</v>
      </c>
      <c r="G24" s="63">
        <f t="shared" si="4"/>
        <v>48</v>
      </c>
      <c r="H24" s="63">
        <f t="shared" si="4"/>
        <v>48</v>
      </c>
      <c r="I24" s="63">
        <f t="shared" si="4"/>
        <v>48</v>
      </c>
      <c r="J24" s="63">
        <f t="shared" si="4"/>
        <v>48</v>
      </c>
      <c r="K24" s="11"/>
      <c r="L24" s="7"/>
      <c r="N24" s="69" t="s">
        <v>181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  <v>183.60296875</v>
      </c>
      <c r="F26" s="46">
        <f t="shared" ref="F26:J26" si="6">+SUM(F22:F25)+$H$9*$P$16+($H$8-$H$9)*$P$15</f>
        <v>183.60296875</v>
      </c>
      <c r="G26" s="46">
        <f>+SUM(G22:G25)+$H$9*$P$16+($H$8-$H$9)*$P$15</f>
        <v>183.60296875</v>
      </c>
      <c r="H26" s="46">
        <f t="shared" si="6"/>
        <v>183.60296875</v>
      </c>
      <c r="I26" s="46">
        <f t="shared" si="6"/>
        <v>183.60296875</v>
      </c>
      <c r="J26" s="46">
        <f t="shared" si="6"/>
        <v>183.60296875</v>
      </c>
      <c r="K26" s="11"/>
      <c r="L26" s="7"/>
      <c r="N26" s="72" t="s">
        <v>189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  <v>0.32799999999999996</v>
      </c>
      <c r="G27" s="47">
        <f>+F$27*1.025</f>
        <v>0.33619999999999994</v>
      </c>
      <c r="H27" s="47">
        <f>+G$27*1.025</f>
        <v>0.34460499999999994</v>
      </c>
      <c r="I27" s="47">
        <f>+H$27*1.025</f>
        <v>0.35322012499999988</v>
      </c>
      <c r="J27" s="47">
        <f>+I$27*1.025</f>
        <v>0.36205062812499983</v>
      </c>
      <c r="K27" s="11"/>
      <c r="L27" s="7"/>
      <c r="N27" t="s">
        <v>182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  <v>183.60296875</v>
      </c>
      <c r="F28" s="49">
        <f t="shared" ref="F28:J28" si="7">+E28+F26</f>
        <v>367.2059375</v>
      </c>
      <c r="G28" s="49">
        <f t="shared" si="7"/>
        <v>550.80890625000006</v>
      </c>
      <c r="H28" s="49">
        <f t="shared" si="7"/>
        <v>734.41187500000001</v>
      </c>
      <c r="I28" s="49">
        <f t="shared" si="7"/>
        <v>918.01484374999995</v>
      </c>
      <c r="J28" s="49">
        <f t="shared" si="7"/>
        <v>1101.6178124999999</v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  <v>0</v>
      </c>
      <c r="E29" s="50">
        <f>+E28*(1-E27)</f>
        <v>124.85001874999999</v>
      </c>
      <c r="F29" s="50">
        <f t="shared" ref="F29:J29" si="8">+F28*(1-F27)</f>
        <v>246.76239000000001</v>
      </c>
      <c r="G29" s="50">
        <f t="shared" si="8"/>
        <v>365.62695196875006</v>
      </c>
      <c r="H29" s="50">
        <f t="shared" si="8"/>
        <v>481.32987081562504</v>
      </c>
      <c r="I29" s="50">
        <f t="shared" si="8"/>
        <v>593.75352588876956</v>
      </c>
      <c r="J29" s="50">
        <f t="shared" si="8"/>
        <v>702.77639153068674</v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183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  <v>0</v>
      </c>
      <c r="E31" s="63">
        <f>+E29*E30*$P$24*$P$22*$P$23*$P$36</f>
        <v>45.62511094798802</v>
      </c>
      <c r="F31" s="63">
        <f>+F29*F30*$P$24*$P$22*$P$23*$P$36</f>
        <v>90.176689873670455</v>
      </c>
      <c r="G31" s="63">
        <f>+G29*G30*$P$24*$P$22*$P$23*$P$36</f>
        <v>133.61447932621081</v>
      </c>
      <c r="H31" s="63">
        <f>+H29*H30*$P$24*$P$22*$P$23*$P$36*$Q$24</f>
        <v>140.71750395179583</v>
      </c>
      <c r="I31" s="63">
        <f>+I29*I30*$P$24*$P$22*$P$23*$P$36*$Q$24</f>
        <v>173.5847267988284</v>
      </c>
      <c r="J31" s="63">
        <f>+J29*J30*$P$24*$P$22*$P$23*$P$36*$Q$24</f>
        <v>205.45772379526699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190</v>
      </c>
      <c r="O32" s="17" t="s">
        <v>125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  <v>12.722386706650502</v>
      </c>
      <c r="F33" s="63">
        <f t="shared" ref="F33:G33" si="9">+F29*F32*$P$26*$P$27*$P$28*$P$36</f>
        <v>25.145423137850411</v>
      </c>
      <c r="G33" s="63">
        <f t="shared" si="9"/>
        <v>37.257883658270323</v>
      </c>
      <c r="H33" s="63">
        <f>+H29*H32*$P$26*$P$27*$P$28*$P$36*$Q$28</f>
        <v>39.238534755789225</v>
      </c>
      <c r="I33" s="63">
        <f t="shared" ref="I33:J33" si="10">+I29*I32*$P$26*$P$27*$P$28*$P$36*$Q$28</f>
        <v>48.403433434288686</v>
      </c>
      <c r="J33" s="63">
        <f t="shared" si="10"/>
        <v>57.291096058295594</v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  <v>1.1000000000000001</v>
      </c>
    </row>
    <row r="34" spans="1:17" ht="19" x14ac:dyDescent="0.55000000000000004">
      <c r="A34" s="143" t="s">
        <v>25</v>
      </c>
      <c r="B34" s="144"/>
      <c r="C34" s="102"/>
      <c r="D34" s="108">
        <f>+D29*D30</f>
        <v>0</v>
      </c>
      <c r="E34" s="46">
        <f>+E29*E30*$P$24+E29*E32*$P$28</f>
        <v>499.40007500000002</v>
      </c>
      <c r="F34" s="46">
        <f>+F29*F30*$P$24+F29*F32*$P$28</f>
        <v>987.04956000000016</v>
      </c>
      <c r="G34" s="46">
        <f>+G29*G30*$P$24+G29*G32*$P$28</f>
        <v>1462.5078078750003</v>
      </c>
      <c r="H34" s="46">
        <f>+H29*H30*$P$24*$Q$24+H29*H32*$P$28*$Q$28</f>
        <v>1540.2555866100001</v>
      </c>
      <c r="I34" s="46">
        <f>+I29*I30*$P$24*$Q$24+I29*I32*$P$28*$Q$28</f>
        <v>1900.0112828440626</v>
      </c>
      <c r="J34" s="46">
        <f>+J29*J30*$P$24*$Q$24+J29*J32*$P$28*$Q$28</f>
        <v>2248.8844528981977</v>
      </c>
      <c r="K34" s="11"/>
      <c r="L34" s="7"/>
      <c r="O34" s="17" t="s">
        <v>134</v>
      </c>
      <c r="P34" s="75" t="b">
        <v>1</v>
      </c>
      <c r="Q34" s="73">
        <f t="shared" si="11"/>
        <v>1.1000000000000001</v>
      </c>
    </row>
    <row r="35" spans="1:17" ht="19" x14ac:dyDescent="0.55000000000000004">
      <c r="A35" s="143" t="s">
        <v>24</v>
      </c>
      <c r="B35" s="144"/>
      <c r="C35" s="102"/>
      <c r="D35" s="109">
        <f>+D31*1.02</f>
        <v>0</v>
      </c>
      <c r="E35" s="50">
        <f>+E31+E33+1.05*(E31+E33)</f>
        <v>119.61237019200897</v>
      </c>
      <c r="F35" s="50">
        <f t="shared" ref="F35:J35" si="12">+F31+F33+1.05*(F31+F33)</f>
        <v>236.4103316736178</v>
      </c>
      <c r="G35" s="50">
        <f t="shared" si="12"/>
        <v>350.28834411818633</v>
      </c>
      <c r="H35" s="50">
        <f t="shared" si="12"/>
        <v>368.90987935054943</v>
      </c>
      <c r="I35" s="50">
        <f t="shared" si="12"/>
        <v>455.07572847789004</v>
      </c>
      <c r="J35" s="50">
        <f t="shared" si="12"/>
        <v>538.63508069980321</v>
      </c>
      <c r="K35" s="11"/>
      <c r="L35" s="7"/>
      <c r="O35" s="17" t="s">
        <v>135</v>
      </c>
      <c r="P35" s="75" t="b">
        <v>1</v>
      </c>
      <c r="Q35" s="73">
        <f t="shared" si="11"/>
        <v>1.1000000000000001</v>
      </c>
    </row>
    <row r="36" spans="1:17" x14ac:dyDescent="0.55000000000000004">
      <c r="A36" s="145" t="s">
        <v>5</v>
      </c>
      <c r="B36" s="6" t="str">
        <f>+C8</f>
        <v>新規応募</v>
      </c>
      <c r="C36" s="6"/>
      <c r="D36" s="11">
        <v>0</v>
      </c>
      <c r="E36" s="111">
        <v>2</v>
      </c>
      <c r="F36" s="111">
        <v>3</v>
      </c>
      <c r="G36" s="111">
        <v>4</v>
      </c>
      <c r="H36" s="111">
        <v>4</v>
      </c>
      <c r="I36" s="111">
        <v>5</v>
      </c>
      <c r="J36" s="111">
        <v>7</v>
      </c>
      <c r="K36" s="115">
        <f>SUM(E36:J36)</f>
        <v>25</v>
      </c>
      <c r="L36" s="7"/>
      <c r="N36" s="69" t="s">
        <v>191</v>
      </c>
      <c r="O36" s="17" t="s">
        <v>126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会員登録</v>
      </c>
      <c r="C37" s="6"/>
      <c r="D37" s="11">
        <v>0</v>
      </c>
      <c r="E37" s="111">
        <v>3</v>
      </c>
      <c r="F37" s="111">
        <v>5</v>
      </c>
      <c r="G37" s="111">
        <v>7</v>
      </c>
      <c r="H37" s="111">
        <v>7</v>
      </c>
      <c r="I37" s="111">
        <v>9</v>
      </c>
      <c r="J37" s="111">
        <v>10</v>
      </c>
      <c r="K37" s="115">
        <f>SUM(E37:J37)</f>
        <v>41</v>
      </c>
      <c r="L37" s="7"/>
      <c r="N37" s="69" t="s">
        <v>117</v>
      </c>
    </row>
    <row r="38" spans="1:17" x14ac:dyDescent="0.55000000000000004">
      <c r="A38" s="145" t="s">
        <v>8</v>
      </c>
      <c r="B38" s="6" t="str">
        <f>+C10</f>
        <v>再応募</v>
      </c>
      <c r="C38" s="6"/>
      <c r="D38" s="11">
        <v>0</v>
      </c>
      <c r="E38" s="111">
        <v>0</v>
      </c>
      <c r="F38" s="111">
        <v>1</v>
      </c>
      <c r="G38" s="111">
        <v>1</v>
      </c>
      <c r="H38" s="111">
        <v>2</v>
      </c>
      <c r="I38" s="111">
        <v>2</v>
      </c>
      <c r="J38" s="111">
        <v>3</v>
      </c>
      <c r="K38" s="115">
        <f>SUM(E38:J38)</f>
        <v>9</v>
      </c>
      <c r="L38" s="7"/>
      <c r="N38" s="69" t="s">
        <v>192</v>
      </c>
      <c r="O38" s="21" t="s">
        <v>36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  <v>0</v>
      </c>
      <c r="E40" s="10">
        <f t="shared" si="13"/>
        <v>5</v>
      </c>
      <c r="F40" s="10">
        <f t="shared" si="13"/>
        <v>9</v>
      </c>
      <c r="G40" s="10">
        <f t="shared" si="13"/>
        <v>12</v>
      </c>
      <c r="H40" s="10">
        <f t="shared" si="13"/>
        <v>13</v>
      </c>
      <c r="I40" s="10">
        <f t="shared" si="13"/>
        <v>16</v>
      </c>
      <c r="J40" s="10">
        <f t="shared" si="13"/>
        <v>20</v>
      </c>
      <c r="K40" s="115">
        <f>SUM(E40:J40)</f>
        <v>75</v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  <v>0</v>
      </c>
      <c r="E41" s="18">
        <f>+IFERROR(E40/E35,0)</f>
        <v>4.1801696529996851E-2</v>
      </c>
      <c r="F41" s="18">
        <f t="shared" ref="F41:J41" si="15">+IFERROR(F40/F35,0)</f>
        <v>3.8069402196961408E-2</v>
      </c>
      <c r="G41" s="18">
        <f t="shared" si="15"/>
        <v>3.4257491582281231E-2</v>
      </c>
      <c r="H41" s="18">
        <f t="shared" si="15"/>
        <v>3.5238958693342565E-2</v>
      </c>
      <c r="I41" s="18">
        <f t="shared" si="15"/>
        <v>3.5158983436703685E-2</v>
      </c>
      <c r="J41" s="18">
        <f t="shared" si="15"/>
        <v>3.7130890126977401E-2</v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hidden="1" x14ac:dyDescent="0.55000000000000004">
      <c r="A43" s="29" t="s">
        <v>50</v>
      </c>
      <c r="C43" s="5" t="s">
        <v>149</v>
      </c>
      <c r="D43" s="5" t="s">
        <v>150</v>
      </c>
    </row>
    <row r="44" spans="1:17" hidden="1" x14ac:dyDescent="0.55000000000000004">
      <c r="A44" s="137" t="s">
        <v>26</v>
      </c>
      <c r="B44" s="138"/>
      <c r="C44" s="103"/>
      <c r="D44" s="16" t="s">
        <v>21</v>
      </c>
      <c r="E44" s="31">
        <f>+E75*E76</f>
        <v>0</v>
      </c>
      <c r="F44" s="31">
        <f t="shared" ref="F44:J44" si="16">+F75*F76</f>
        <v>0</v>
      </c>
      <c r="G44" s="31">
        <f t="shared" si="16"/>
        <v>0</v>
      </c>
      <c r="H44" s="31">
        <f t="shared" si="16"/>
        <v>0</v>
      </c>
      <c r="I44" s="31">
        <f t="shared" si="16"/>
        <v>0</v>
      </c>
      <c r="J44" s="31">
        <f t="shared" si="16"/>
        <v>0</v>
      </c>
      <c r="K44" s="11"/>
      <c r="L44" s="7"/>
    </row>
    <row r="45" spans="1:17" hidden="1" x14ac:dyDescent="0.55000000000000004">
      <c r="A45" s="137" t="s">
        <v>131</v>
      </c>
      <c r="B45" s="138"/>
      <c r="C45" s="104">
        <f>+SUM(C65:C72)</f>
        <v>0</v>
      </c>
      <c r="D45" s="80">
        <f>+SUM(D65:D72)</f>
        <v>295000</v>
      </c>
      <c r="E45" s="27">
        <f>SUM(E65:E68)+SUM(E71:E72)</f>
        <v>65000</v>
      </c>
      <c r="F45" s="27">
        <f t="shared" ref="F45:J45" si="17">SUM(F65:F68)+SUM(F71:F72)</f>
        <v>65000</v>
      </c>
      <c r="G45" s="27">
        <f t="shared" si="17"/>
        <v>65000</v>
      </c>
      <c r="H45" s="27">
        <f t="shared" si="17"/>
        <v>65000</v>
      </c>
      <c r="I45" s="27">
        <f t="shared" si="17"/>
        <v>65000</v>
      </c>
      <c r="J45" s="27">
        <f t="shared" si="17"/>
        <v>65000</v>
      </c>
      <c r="K45" s="11"/>
      <c r="L45" s="7"/>
    </row>
    <row r="46" spans="1:17" hidden="1" x14ac:dyDescent="0.55000000000000004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  <v>326.79210150298837</v>
      </c>
      <c r="F46" s="28">
        <f t="shared" si="18"/>
        <v>326.79210150298837</v>
      </c>
      <c r="G46" s="28">
        <f t="shared" si="18"/>
        <v>326.79210150298826</v>
      </c>
      <c r="H46" s="28">
        <f t="shared" si="18"/>
        <v>326.79210150298843</v>
      </c>
      <c r="I46" s="28">
        <f t="shared" si="18"/>
        <v>326.79210150298843</v>
      </c>
      <c r="J46" s="28">
        <f t="shared" si="18"/>
        <v>326.79210150298843</v>
      </c>
      <c r="K46" s="11"/>
      <c r="L46" s="7"/>
    </row>
    <row r="47" spans="1:17" hidden="1" x14ac:dyDescent="0.55000000000000004">
      <c r="A47" s="137" t="s">
        <v>17</v>
      </c>
      <c r="B47" s="138"/>
      <c r="C47" s="103"/>
      <c r="D47" s="16" t="s">
        <v>21</v>
      </c>
      <c r="E47" s="28">
        <f t="shared" ref="E47:I47" si="19">+E51/E35</f>
        <v>543.4220548899591</v>
      </c>
      <c r="F47" s="28">
        <f t="shared" si="19"/>
        <v>274.94568253361012</v>
      </c>
      <c r="G47" s="28">
        <f t="shared" si="19"/>
        <v>185.56141273735668</v>
      </c>
      <c r="H47" s="28">
        <f t="shared" si="19"/>
        <v>176.19479346671281</v>
      </c>
      <c r="I47" s="28">
        <f t="shared" si="19"/>
        <v>142.83337021160872</v>
      </c>
      <c r="J47" s="28">
        <f>+J51/J35</f>
        <v>120.67539291267656</v>
      </c>
      <c r="K47" s="11"/>
      <c r="L47" s="7"/>
    </row>
    <row r="48" spans="1:17" hidden="1" x14ac:dyDescent="0.55000000000000004">
      <c r="A48" s="137" t="s">
        <v>19</v>
      </c>
      <c r="B48" s="138"/>
      <c r="C48" s="103"/>
      <c r="D48" s="16" t="s">
        <v>21</v>
      </c>
      <c r="E48" s="32">
        <f t="shared" ref="E48:J48" si="20">+SUM(E36:E39)/E35</f>
        <v>4.1801696529996851E-2</v>
      </c>
      <c r="F48" s="32">
        <f t="shared" si="20"/>
        <v>3.8069402196961408E-2</v>
      </c>
      <c r="G48" s="32">
        <f t="shared" si="20"/>
        <v>3.4257491582281231E-2</v>
      </c>
      <c r="H48" s="32">
        <f t="shared" si="20"/>
        <v>3.5238958693342565E-2</v>
      </c>
      <c r="I48" s="32">
        <f t="shared" si="20"/>
        <v>3.5158983436703685E-2</v>
      </c>
      <c r="J48" s="32">
        <f t="shared" si="20"/>
        <v>3.7130890126977401E-2</v>
      </c>
      <c r="K48" s="11"/>
      <c r="L48" s="7"/>
    </row>
    <row r="49" spans="1:12" hidden="1" x14ac:dyDescent="0.55000000000000004">
      <c r="A49" s="139" t="s">
        <v>18</v>
      </c>
      <c r="B49" s="140"/>
      <c r="C49" s="105"/>
      <c r="D49" s="16" t="s">
        <v>21</v>
      </c>
      <c r="E49" s="28">
        <f>+IFERROR(E51/SUM(E36:E39),0)</f>
        <v>13000</v>
      </c>
      <c r="F49" s="28">
        <f t="shared" ref="F49:J49" si="21">+IFERROR(F51/SUM(F36:F39),0)</f>
        <v>7222.2222222222226</v>
      </c>
      <c r="G49" s="28">
        <f t="shared" si="21"/>
        <v>5416.666666666667</v>
      </c>
      <c r="H49" s="28">
        <f t="shared" si="21"/>
        <v>5000</v>
      </c>
      <c r="I49" s="28">
        <f t="shared" si="21"/>
        <v>4062.5</v>
      </c>
      <c r="J49" s="28">
        <f t="shared" si="21"/>
        <v>3250</v>
      </c>
      <c r="K49" s="11"/>
      <c r="L49" s="7"/>
    </row>
    <row r="50" spans="1:12" hidden="1" x14ac:dyDescent="0.55000000000000004">
      <c r="A50" s="139" t="s">
        <v>115</v>
      </c>
      <c r="B50" s="140"/>
      <c r="C50" s="105"/>
      <c r="D50" s="64" t="s">
        <v>21</v>
      </c>
      <c r="E50" s="65">
        <f>+E36*$D$8+E38*$D$10</f>
        <v>0</v>
      </c>
      <c r="F50" s="65">
        <f t="shared" ref="F50:J50" si="22">+F36*$D$8+F38*$D$10</f>
        <v>0</v>
      </c>
      <c r="G50" s="65">
        <f t="shared" si="22"/>
        <v>0</v>
      </c>
      <c r="H50" s="65">
        <f t="shared" si="22"/>
        <v>0</v>
      </c>
      <c r="I50" s="65">
        <f t="shared" si="22"/>
        <v>0</v>
      </c>
      <c r="J50" s="65">
        <f t="shared" si="22"/>
        <v>0</v>
      </c>
      <c r="K50" s="11"/>
      <c r="L50" s="7"/>
    </row>
    <row r="51" spans="1:12" hidden="1" x14ac:dyDescent="0.55000000000000004">
      <c r="A51" s="135" t="s">
        <v>68</v>
      </c>
      <c r="B51" s="136"/>
      <c r="C51" s="110">
        <f>+C45</f>
        <v>0</v>
      </c>
      <c r="D51" s="40">
        <f>+D45</f>
        <v>295000</v>
      </c>
      <c r="E51" s="40">
        <f>SUM(E45,E50)+E44</f>
        <v>65000</v>
      </c>
      <c r="F51" s="40">
        <f t="shared" ref="F51:I51" si="23">SUM(F45,F50)+F44</f>
        <v>65000</v>
      </c>
      <c r="G51" s="40">
        <f t="shared" si="23"/>
        <v>65000</v>
      </c>
      <c r="H51" s="40">
        <f t="shared" si="23"/>
        <v>65000</v>
      </c>
      <c r="I51" s="40">
        <f t="shared" si="23"/>
        <v>65000</v>
      </c>
      <c r="J51" s="40">
        <f>SUM(J45,J50)+J44</f>
        <v>65000</v>
      </c>
      <c r="K51" s="11"/>
      <c r="L51" s="7"/>
    </row>
    <row r="52" spans="1:12" hidden="1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  <v>0</v>
      </c>
      <c r="E54" s="28">
        <f t="shared" ref="E54:J54" si="24">+E75*E76</f>
        <v>0</v>
      </c>
      <c r="F54" s="28">
        <f t="shared" si="24"/>
        <v>0</v>
      </c>
      <c r="G54" s="28">
        <f t="shared" si="24"/>
        <v>0</v>
      </c>
      <c r="H54" s="28">
        <f t="shared" si="24"/>
        <v>0</v>
      </c>
      <c r="I54" s="28">
        <f t="shared" si="24"/>
        <v>0</v>
      </c>
      <c r="J54" s="28">
        <f t="shared" si="24"/>
        <v>0</v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  <v>295000</v>
      </c>
      <c r="E55" s="27">
        <f>SUM(E65:E72)+E54</f>
        <v>215000</v>
      </c>
      <c r="F55" s="27">
        <f t="shared" ref="F55:J55" si="25">SUM(F65:F72)+F54</f>
        <v>215000</v>
      </c>
      <c r="G55" s="27">
        <f t="shared" si="25"/>
        <v>215000</v>
      </c>
      <c r="H55" s="27">
        <f t="shared" si="25"/>
        <v>215000</v>
      </c>
      <c r="I55" s="27">
        <f t="shared" si="25"/>
        <v>215000</v>
      </c>
      <c r="J55" s="27">
        <f t="shared" si="25"/>
        <v>215000</v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  <v>326.79210150298837</v>
      </c>
      <c r="F56" s="28">
        <f t="shared" si="26"/>
        <v>326.79210150298837</v>
      </c>
      <c r="G56" s="28">
        <f t="shared" si="26"/>
        <v>326.79210150298826</v>
      </c>
      <c r="H56" s="28">
        <f t="shared" si="26"/>
        <v>326.79210150298843</v>
      </c>
      <c r="I56" s="28">
        <f t="shared" si="26"/>
        <v>326.79210150298843</v>
      </c>
      <c r="J56" s="28">
        <f t="shared" si="26"/>
        <v>326.79210150298843</v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  <v>1797.4729507898646</v>
      </c>
      <c r="F57" s="28">
        <f t="shared" ref="F57:J57" si="27">+F61/F35</f>
        <v>909.43571914963354</v>
      </c>
      <c r="G57" s="28">
        <f t="shared" si="27"/>
        <v>613.78005751587204</v>
      </c>
      <c r="H57" s="28">
        <f t="shared" si="27"/>
        <v>582.7981630052808</v>
      </c>
      <c r="I57" s="28">
        <f t="shared" si="27"/>
        <v>472.44883993070579</v>
      </c>
      <c r="J57" s="28">
        <f t="shared" si="27"/>
        <v>399.15706886500709</v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  <v>4.1801696529996851E-2</v>
      </c>
      <c r="F58" s="32">
        <f t="shared" si="28"/>
        <v>3.8069402196961408E-2</v>
      </c>
      <c r="G58" s="32">
        <f t="shared" si="28"/>
        <v>3.4257491582281231E-2</v>
      </c>
      <c r="H58" s="32">
        <f t="shared" si="28"/>
        <v>3.5238958693342565E-2</v>
      </c>
      <c r="I58" s="32">
        <f t="shared" si="28"/>
        <v>3.5158983436703685E-2</v>
      </c>
      <c r="J58" s="32">
        <f t="shared" si="28"/>
        <v>3.7130890126977401E-2</v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  <v>43000</v>
      </c>
      <c r="F59" s="28">
        <f t="shared" ref="F59:J59" si="29">+IFERROR(F55/F40,0)</f>
        <v>23888.888888888891</v>
      </c>
      <c r="G59" s="28">
        <f t="shared" si="29"/>
        <v>17916.666666666668</v>
      </c>
      <c r="H59" s="28">
        <f t="shared" si="29"/>
        <v>16538.461538461539</v>
      </c>
      <c r="I59" s="28">
        <f t="shared" si="29"/>
        <v>13437.5</v>
      </c>
      <c r="J59" s="28">
        <f t="shared" si="29"/>
        <v>10750</v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  <v>295000</v>
      </c>
      <c r="E61" s="40">
        <f>+SUM(E65:E72)+E54</f>
        <v>215000</v>
      </c>
      <c r="F61" s="40">
        <f t="shared" ref="F61:J61" si="30">+SUM(F65:F72)+F54</f>
        <v>215000</v>
      </c>
      <c r="G61" s="40">
        <f t="shared" si="30"/>
        <v>215000</v>
      </c>
      <c r="H61" s="40">
        <f t="shared" si="30"/>
        <v>215000</v>
      </c>
      <c r="I61" s="40">
        <f t="shared" si="30"/>
        <v>215000</v>
      </c>
      <c r="J61" s="40">
        <f t="shared" si="30"/>
        <v>215000</v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193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  <v>5000</v>
      </c>
      <c r="F68" s="28">
        <f t="shared" si="31"/>
        <v>5000</v>
      </c>
      <c r="G68" s="28">
        <f t="shared" si="31"/>
        <v>5000</v>
      </c>
      <c r="H68" s="28">
        <f t="shared" si="31"/>
        <v>5000</v>
      </c>
      <c r="I68" s="28">
        <f t="shared" si="31"/>
        <v>5000</v>
      </c>
      <c r="J68" s="28">
        <f t="shared" si="31"/>
        <v>5000</v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184</v>
      </c>
      <c r="C69" s="90">
        <v>0</v>
      </c>
      <c r="D69" s="51">
        <v>100000</v>
      </c>
      <c r="E69" s="28">
        <v>150000</v>
      </c>
      <c r="F69" s="28">
        <v>150000</v>
      </c>
      <c r="G69" s="28">
        <v>150000</v>
      </c>
      <c r="H69" s="28">
        <v>150000</v>
      </c>
      <c r="I69" s="28">
        <v>150000</v>
      </c>
      <c r="J69" s="28">
        <v>150000</v>
      </c>
      <c r="N69" s="69" t="s">
        <v>185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  <v>295000</v>
      </c>
      <c r="E73" s="114">
        <f t="shared" ref="E73:J73" si="32">SUM(E65:E72)+E54</f>
        <v>215000</v>
      </c>
      <c r="F73" s="114">
        <f t="shared" si="32"/>
        <v>215000</v>
      </c>
      <c r="G73" s="114">
        <f t="shared" si="32"/>
        <v>215000</v>
      </c>
      <c r="H73" s="114">
        <f t="shared" si="32"/>
        <v>215000</v>
      </c>
      <c r="I73" s="114">
        <f t="shared" si="32"/>
        <v>215000</v>
      </c>
      <c r="J73" s="114">
        <f t="shared" si="32"/>
        <v>215000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  <v>0</v>
      </c>
      <c r="E75" s="41">
        <f t="shared" si="33"/>
        <v>0</v>
      </c>
      <c r="F75" s="41">
        <f t="shared" si="33"/>
        <v>0</v>
      </c>
      <c r="G75" s="41">
        <f t="shared" si="33"/>
        <v>0</v>
      </c>
      <c r="H75" s="41">
        <f t="shared" si="33"/>
        <v>0</v>
      </c>
      <c r="I75" s="41">
        <f t="shared" si="33"/>
        <v>0</v>
      </c>
      <c r="J75" s="41">
        <f t="shared" si="33"/>
        <v>0</v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4"/>
        <v>3</v>
      </c>
      <c r="F76" s="5">
        <f t="shared" si="34"/>
        <v>3</v>
      </c>
      <c r="G76" s="5">
        <f t="shared" si="34"/>
        <v>3</v>
      </c>
      <c r="H76" s="5">
        <f t="shared" si="34"/>
        <v>3</v>
      </c>
      <c r="I76" s="5">
        <f t="shared" si="34"/>
        <v>3</v>
      </c>
      <c r="J76" s="5">
        <f t="shared" si="34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hidden="1" x14ac:dyDescent="0.55000000000000004">
      <c r="A4" s="85" t="s">
        <v>139</v>
      </c>
      <c r="B4" s="7"/>
      <c r="C4" s="86" t="str">
        <f>+SIM①_コンサル!D24</f>
        <v>--</v>
      </c>
      <c r="D4" s="28">
        <f>+SIM①_コンサル!G51</f>
        <v>65000</v>
      </c>
      <c r="E4" s="28">
        <f>+SIM①_コンサル!J51</f>
        <v>65000</v>
      </c>
      <c r="F4" s="28"/>
    </row>
    <row r="5" spans="1:25" x14ac:dyDescent="0.55000000000000004">
      <c r="A5" s="85" t="s">
        <v>140</v>
      </c>
      <c r="B5" s="7"/>
      <c r="C5" s="86" t="str">
        <f>+SIM①_コンサル!D25</f>
        <v>--</v>
      </c>
      <c r="D5" s="28">
        <f>+SIM①_コンサル!G61</f>
        <v>215000</v>
      </c>
      <c r="E5" s="28">
        <f>+SIM①_コンサル!J61</f>
        <v>215000</v>
      </c>
      <c r="F5" s="27"/>
    </row>
    <row r="6" spans="1:25" x14ac:dyDescent="0.55000000000000004">
      <c r="A6" s="85" t="s">
        <v>74</v>
      </c>
      <c r="B6" s="7"/>
      <c r="C6" s="117">
        <f>+SIM①_コンサル!D28</f>
        <v>0</v>
      </c>
      <c r="D6" s="87">
        <f>+SIM①_コンサル!G28</f>
        <v>550.80890625000006</v>
      </c>
      <c r="E6" s="87">
        <f>+SIM①_コンサル!J28</f>
        <v>1101.6178124999999</v>
      </c>
      <c r="F6" s="10"/>
    </row>
    <row r="7" spans="1:25" x14ac:dyDescent="0.55000000000000004">
      <c r="A7" s="85" t="s">
        <v>75</v>
      </c>
      <c r="B7" s="7"/>
      <c r="C7" s="88">
        <f>+SIM①_コンサル!D27</f>
        <v>0</v>
      </c>
      <c r="D7" s="89">
        <f>+SIM①_コンサル!G27</f>
        <v>0.33619999999999994</v>
      </c>
      <c r="E7" s="89">
        <f>+SIM①_コンサル!J27</f>
        <v>0.36205062812499983</v>
      </c>
      <c r="F7" s="89"/>
    </row>
    <row r="8" spans="1:25" x14ac:dyDescent="0.55000000000000004">
      <c r="A8" s="85" t="s">
        <v>76</v>
      </c>
      <c r="B8" s="7"/>
      <c r="C8" s="117">
        <f>+SIM①_コンサル!D29</f>
        <v>0</v>
      </c>
      <c r="D8" s="10">
        <f>+SIM①_コンサル!G29</f>
        <v>365.62695196875006</v>
      </c>
      <c r="E8" s="10">
        <f>+SIM①_コンサル!J29</f>
        <v>702.77639153068674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+SIM①_コンサル!D34</f>
        <v>0</v>
      </c>
      <c r="D10" s="10">
        <f>+SIM①_コンサル!G34</f>
        <v>1462.5078078750003</v>
      </c>
      <c r="E10" s="10">
        <f>+SIM①_コンサル!J34</f>
        <v>2248.8844528981977</v>
      </c>
      <c r="F10" s="10"/>
    </row>
    <row r="11" spans="1:25" x14ac:dyDescent="0.55000000000000004">
      <c r="A11" s="85" t="s">
        <v>79</v>
      </c>
      <c r="B11" s="7"/>
      <c r="C11" s="117">
        <f>+SIM①_コンサル!D35</f>
        <v>0</v>
      </c>
      <c r="D11" s="10">
        <f>+SIM①_コンサル!G35</f>
        <v>350.28834411818633</v>
      </c>
      <c r="E11" s="10">
        <f>+SIM①_コンサル!J35</f>
        <v>538.63508069980321</v>
      </c>
      <c r="F11" s="10"/>
    </row>
    <row r="12" spans="1:25" hidden="1" x14ac:dyDescent="0.55000000000000004">
      <c r="A12" s="85" t="s">
        <v>146</v>
      </c>
      <c r="B12" s="7"/>
      <c r="C12" s="28">
        <f>+IFERROR(C5/C11,0)</f>
        <v>0</v>
      </c>
      <c r="D12" s="28">
        <f>+D4/D11</f>
        <v>185.56141273735668</v>
      </c>
      <c r="E12" s="28">
        <f t="shared" ref="E12" si="0">+E4/E11</f>
        <v>120.67539291267656</v>
      </c>
      <c r="F12" s="28"/>
    </row>
    <row r="13" spans="1:25" x14ac:dyDescent="0.55000000000000004">
      <c r="A13" s="85" t="s">
        <v>147</v>
      </c>
      <c r="B13" s="7"/>
      <c r="C13" s="28">
        <f>+IFERROR(C6/C12,0)</f>
        <v>0</v>
      </c>
      <c r="D13" s="28">
        <f>+D5/D11</f>
        <v>613.78005751587204</v>
      </c>
      <c r="E13" s="28">
        <f t="shared" ref="E13" si="1">+E5/E11</f>
        <v>399.15706886500709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+SIM①_コンサル!$H$10</f>
        <v>150</v>
      </c>
      <c r="D15" s="87">
        <f>+SIM①_コンサル!$H$10</f>
        <v>150</v>
      </c>
      <c r="E15" s="87">
        <f>+SIM①_コンサル!$H$10</f>
        <v>150</v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  <v>0</v>
      </c>
      <c r="D16" s="87">
        <f>SUM(D17:D20)</f>
        <v>12</v>
      </c>
      <c r="E16" s="87">
        <f>SUM(E17:E20)</f>
        <v>20</v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186</v>
      </c>
      <c r="B17" s="7"/>
      <c r="C17" s="87">
        <f>+SIM①_コンサル!D36</f>
        <v>0</v>
      </c>
      <c r="D17" s="87">
        <f>+SIM①_コンサル!G36</f>
        <v>4</v>
      </c>
      <c r="E17" s="87">
        <f>+SIM①_コンサル!J36</f>
        <v>7</v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+SIM①_コンサル!D37</f>
        <v>0</v>
      </c>
      <c r="D18" s="87">
        <f>+SIM①_コンサル!G37</f>
        <v>7</v>
      </c>
      <c r="E18" s="87">
        <f>+SIM①_コンサル!J37</f>
        <v>10</v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  <v>37500000</v>
      </c>
      <c r="Y18" s="35">
        <v>2.5</v>
      </c>
    </row>
    <row r="19" spans="1:25" x14ac:dyDescent="0.55000000000000004">
      <c r="A19" s="85" t="s">
        <v>187</v>
      </c>
      <c r="B19" s="7"/>
      <c r="C19" s="87">
        <f>+SIM①_コンサル!D38</f>
        <v>0</v>
      </c>
      <c r="D19" s="87">
        <f>+SIM①_コンサル!G38</f>
        <v>1</v>
      </c>
      <c r="E19" s="87">
        <f>+SIM①_コンサル!J38</f>
        <v>3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+SIM①_コンサル!D39</f>
        <v>0</v>
      </c>
      <c r="D20" s="87">
        <f>+SIM①_コンサル!G39</f>
        <v>0</v>
      </c>
      <c r="E20" s="87">
        <f>+SIM①_コンサル!J39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hidden="1" x14ac:dyDescent="0.55000000000000004">
      <c r="A22" s="85" t="s">
        <v>141</v>
      </c>
      <c r="B22" s="7"/>
      <c r="C22" s="90" t="str">
        <f>+IFERROR(C4/C16,"--")</f>
        <v>--</v>
      </c>
      <c r="D22" s="90">
        <f t="shared" ref="D22:E22" si="2">+IFERROR(D4/D16,"--")</f>
        <v>5416.666666666667</v>
      </c>
      <c r="E22" s="90">
        <f t="shared" si="2"/>
        <v>3250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142</v>
      </c>
      <c r="B23" s="7"/>
      <c r="C23" s="90" t="str">
        <f>+IFERROR(C5/C16,"--")</f>
        <v>--</v>
      </c>
      <c r="D23" s="90">
        <f t="shared" ref="D23" si="3">+IFERROR(D5/D16,"--")</f>
        <v>17916.666666666668</v>
      </c>
      <c r="E23" s="90">
        <f t="shared" ref="E23" si="4">+IFERROR(E5/E16,"--")</f>
        <v>10750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+SIM①_コンサル!E68+C29*C30</f>
        <v>5000</v>
      </c>
      <c r="D25" s="10">
        <f>+SIM①_コンサル!G68+D29*D30</f>
        <v>5000</v>
      </c>
      <c r="E25" s="10">
        <f>+SIM①_コンサル!J68+E29*E30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91ED-6154-50EC-9BCF-FD3373B089C3}">
  <dimension ref="A2:Z76"/>
  <sheetViews>
    <sheetView tabSelected="1" topLeftCell="C23" zoomScale="110" zoomScaleNormal="55" workbookViewId="0">
      <selection activeCell="L51" sqref="L51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178</v>
      </c>
      <c r="D8" s="33">
        <v>8000</v>
      </c>
      <c r="G8" s="121" t="s">
        <v>162</v>
      </c>
      <c r="H8" s="122">
        <v>8947</v>
      </c>
      <c r="I8" s="123"/>
      <c r="J8" s="123" t="s">
        <v>69</v>
      </c>
      <c r="K8" s="129">
        <v>5000</v>
      </c>
      <c r="N8" s="69" t="s">
        <v>188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198</v>
      </c>
      <c r="D9" s="33">
        <v>2500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179</v>
      </c>
      <c r="D10" s="33">
        <v>8000</v>
      </c>
      <c r="G10" s="124" t="s">
        <v>164</v>
      </c>
      <c r="H10" s="125">
        <v>150</v>
      </c>
      <c r="I10" s="22" t="s">
        <v>154</v>
      </c>
      <c r="J10" s="29"/>
      <c r="K10" s="118"/>
      <c r="N10" s="132" t="s">
        <v>180</v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  <v>8947</v>
      </c>
      <c r="E14" s="43">
        <f>+D14</f>
        <v>8947</v>
      </c>
      <c r="F14" s="43">
        <f t="shared" ref="F14:J14" si="0">+E14</f>
        <v>8947</v>
      </c>
      <c r="G14" s="43">
        <f t="shared" si="0"/>
        <v>8947</v>
      </c>
      <c r="H14" s="43">
        <f t="shared" si="0"/>
        <v>8947</v>
      </c>
      <c r="I14" s="43">
        <f t="shared" si="0"/>
        <v>8947</v>
      </c>
      <c r="J14" s="43">
        <f t="shared" si="0"/>
        <v>8947</v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  <v>150</v>
      </c>
      <c r="E16" s="43">
        <f t="shared" si="2"/>
        <v>150</v>
      </c>
      <c r="F16" s="43">
        <f t="shared" si="2"/>
        <v>150</v>
      </c>
      <c r="G16" s="43">
        <f t="shared" si="2"/>
        <v>150</v>
      </c>
      <c r="H16" s="43">
        <f t="shared" si="2"/>
        <v>150</v>
      </c>
      <c r="I16" s="43">
        <f t="shared" si="2"/>
        <v>150</v>
      </c>
      <c r="J16" s="43">
        <f t="shared" si="2"/>
        <v>150</v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ht="18" x14ac:dyDescent="0.55000000000000004">
      <c r="A21" s="152"/>
      <c r="B21" s="8" t="s">
        <v>113</v>
      </c>
      <c r="C21" s="100"/>
      <c r="D21" s="58" t="b">
        <v>0</v>
      </c>
      <c r="E21" s="57" t="b">
        <v>1</v>
      </c>
      <c r="F21" s="57" t="b">
        <v>1</v>
      </c>
      <c r="G21" s="57" t="b">
        <v>1</v>
      </c>
      <c r="H21" s="57" t="b">
        <v>1</v>
      </c>
      <c r="I21" s="57" t="b">
        <v>1</v>
      </c>
      <c r="J21" s="57" t="b">
        <v>1</v>
      </c>
      <c r="K21" s="14" t="s">
        <v>21</v>
      </c>
      <c r="L21" s="9" t="s">
        <v>21</v>
      </c>
      <c r="N21" t="s">
        <v>196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  <v>90.867968750000003</v>
      </c>
      <c r="F23" s="46">
        <f t="shared" si="3"/>
        <v>90.867968750000003</v>
      </c>
      <c r="G23" s="63">
        <f t="shared" si="3"/>
        <v>90.867968750000003</v>
      </c>
      <c r="H23" s="63">
        <f t="shared" si="3"/>
        <v>90.867968750000003</v>
      </c>
      <c r="I23" s="63">
        <f t="shared" si="3"/>
        <v>90.867968750000003</v>
      </c>
      <c r="J23" s="63">
        <f t="shared" si="3"/>
        <v>90.867968750000003</v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  <v>48</v>
      </c>
      <c r="F24" s="63">
        <f t="shared" si="4"/>
        <v>48</v>
      </c>
      <c r="G24" s="63">
        <f t="shared" si="4"/>
        <v>48</v>
      </c>
      <c r="H24" s="63">
        <f t="shared" si="4"/>
        <v>48</v>
      </c>
      <c r="I24" s="63">
        <f t="shared" si="4"/>
        <v>48</v>
      </c>
      <c r="J24" s="63">
        <f t="shared" si="4"/>
        <v>48</v>
      </c>
      <c r="K24" s="11"/>
      <c r="L24" s="7"/>
      <c r="N24" s="69" t="s">
        <v>197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  <v>112.5</v>
      </c>
      <c r="F25" s="46">
        <f t="shared" ref="F25:J25" si="5">+IF(F20=FALSE,0,SUM($H$10:$H$11)*0.7*0.3)+IF($E$21=FALSE,0,$K$8*0.15*0.15)</f>
        <v>112.5</v>
      </c>
      <c r="G25" s="46">
        <f t="shared" si="5"/>
        <v>112.5</v>
      </c>
      <c r="H25" s="46">
        <f t="shared" si="5"/>
        <v>112.5</v>
      </c>
      <c r="I25" s="46">
        <f t="shared" si="5"/>
        <v>112.5</v>
      </c>
      <c r="J25" s="46">
        <f t="shared" si="5"/>
        <v>112.5</v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  <v>296.10296875</v>
      </c>
      <c r="F26" s="46">
        <f t="shared" ref="F26:J26" si="6">+SUM(F22:F25)+$H$9*$P$16+($H$8-$H$9)*$P$15</f>
        <v>296.10296875</v>
      </c>
      <c r="G26" s="46">
        <f>+SUM(G22:G25)+$H$9*$P$16+($H$8-$H$9)*$P$15</f>
        <v>296.10296875</v>
      </c>
      <c r="H26" s="46">
        <f t="shared" si="6"/>
        <v>296.10296875</v>
      </c>
      <c r="I26" s="46">
        <f t="shared" si="6"/>
        <v>296.10296875</v>
      </c>
      <c r="J26" s="46">
        <f t="shared" si="6"/>
        <v>296.10296875</v>
      </c>
      <c r="K26" s="11"/>
      <c r="L26" s="7"/>
      <c r="N26" s="72" t="s">
        <v>189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  <v>0.32799999999999996</v>
      </c>
      <c r="G27" s="47">
        <f>+F$27*1.025</f>
        <v>0.33619999999999994</v>
      </c>
      <c r="H27" s="47">
        <f>+G$27*1.025</f>
        <v>0.34460499999999994</v>
      </c>
      <c r="I27" s="47">
        <f>+H$27*1.025</f>
        <v>0.35322012499999988</v>
      </c>
      <c r="J27" s="47">
        <f>+I$27*1.025</f>
        <v>0.36205062812499983</v>
      </c>
      <c r="K27" s="11"/>
      <c r="L27" s="7"/>
      <c r="N27" t="s">
        <v>182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  <v>296.10296875</v>
      </c>
      <c r="F28" s="49">
        <f t="shared" ref="F28:J28" si="7">+E28+F26</f>
        <v>592.2059375</v>
      </c>
      <c r="G28" s="49">
        <f t="shared" si="7"/>
        <v>888.30890625000006</v>
      </c>
      <c r="H28" s="49">
        <f t="shared" si="7"/>
        <v>1184.411875</v>
      </c>
      <c r="I28" s="49">
        <f t="shared" si="7"/>
        <v>1480.51484375</v>
      </c>
      <c r="J28" s="49">
        <f t="shared" si="7"/>
        <v>1776.6178124999999</v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  <v>0</v>
      </c>
      <c r="E29" s="50">
        <f>+E28*(1-E27)</f>
        <v>201.35001874999998</v>
      </c>
      <c r="F29" s="50">
        <f t="shared" ref="F29:J29" si="8">+F28*(1-F27)</f>
        <v>397.96239000000003</v>
      </c>
      <c r="G29" s="50">
        <f t="shared" si="8"/>
        <v>589.65945196875009</v>
      </c>
      <c r="H29" s="50">
        <f t="shared" si="8"/>
        <v>776.25762081562505</v>
      </c>
      <c r="I29" s="50">
        <f t="shared" si="8"/>
        <v>957.56720557626966</v>
      </c>
      <c r="J29" s="50">
        <f t="shared" si="8"/>
        <v>1133.3922175463119</v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183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  <v>0</v>
      </c>
      <c r="E31" s="63">
        <f>+E29*E30*$P$24*$P$22*$P$23*$P$36</f>
        <v>73.581221987988044</v>
      </c>
      <c r="F31" s="63">
        <f>+F29*F30*$P$24*$P$22*$P$23*$P$36</f>
        <v>145.43112110567051</v>
      </c>
      <c r="G31" s="63">
        <f>+G29*G30*$P$24*$P$22*$P$23*$P$36</f>
        <v>215.48477274541091</v>
      </c>
      <c r="H31" s="63">
        <f>+H29*H30*$P$24*$P$22*$P$23*$P$36*$Q$24</f>
        <v>226.94007051678793</v>
      </c>
      <c r="I31" s="63">
        <f>+I29*I30*$P$24*$P$22*$P$23*$P$36*$Q$24</f>
        <v>279.94619741022456</v>
      </c>
      <c r="J31" s="63">
        <f>+J29*J30*$P$24*$P$22*$P$23*$P$36*$Q$24</f>
        <v>331.34890128728421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190</v>
      </c>
      <c r="O32" s="17" t="s">
        <v>125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  <v>20.517840746650506</v>
      </c>
      <c r="F33" s="63">
        <f t="shared" ref="F33:G33" si="9">+F29*F32*$P$26*$P$27*$P$28*$P$36</f>
        <v>40.552908769850418</v>
      </c>
      <c r="G33" s="63">
        <f t="shared" si="9"/>
        <v>60.08710009247033</v>
      </c>
      <c r="H33" s="63">
        <f>+H29*H32*$P$26*$P$27*$P$28*$P$36*$Q$28</f>
        <v>63.281365817181239</v>
      </c>
      <c r="I33" s="63">
        <f t="shared" ref="I33:J33" si="10">+I29*I32*$P$26*$P$27*$P$28*$P$36*$Q$28</f>
        <v>78.061920431697217</v>
      </c>
      <c r="J33" s="63">
        <f t="shared" si="10"/>
        <v>92.395366705108074</v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  <v>1.1000000000000001</v>
      </c>
    </row>
    <row r="34" spans="1:17" ht="19" x14ac:dyDescent="0.55000000000000004">
      <c r="A34" s="143" t="s">
        <v>25</v>
      </c>
      <c r="B34" s="144"/>
      <c r="C34" s="102"/>
      <c r="D34" s="108">
        <f>+D29*D30</f>
        <v>0</v>
      </c>
      <c r="E34" s="46">
        <f>+E29*E30*$P$24+E29*E32*$P$28</f>
        <v>805.40007500000002</v>
      </c>
      <c r="F34" s="46">
        <f>+F29*F30*$P$24+F29*F32*$P$28</f>
        <v>1591.8495600000003</v>
      </c>
      <c r="G34" s="46">
        <f>+G29*G30*$P$24+G29*G32*$P$28</f>
        <v>2358.6378078750004</v>
      </c>
      <c r="H34" s="46">
        <f>+H29*H30*$P$24*$Q$24+H29*H32*$P$28*$Q$28</f>
        <v>2484.0243866100004</v>
      </c>
      <c r="I34" s="46">
        <f>+I29*I30*$P$24*$Q$24+I29*I32*$P$28*$Q$28</f>
        <v>3064.2150578440633</v>
      </c>
      <c r="J34" s="46">
        <f>+J29*J30*$P$24*$Q$24+J29*J32*$P$28*$Q$28</f>
        <v>3626.8550961481988</v>
      </c>
      <c r="K34" s="11"/>
      <c r="L34" s="7"/>
      <c r="O34" s="17" t="s">
        <v>134</v>
      </c>
      <c r="P34" s="75" t="b">
        <v>1</v>
      </c>
      <c r="Q34" s="73">
        <f t="shared" si="11"/>
        <v>1.1000000000000001</v>
      </c>
    </row>
    <row r="35" spans="1:17" ht="19" x14ac:dyDescent="0.55000000000000004">
      <c r="A35" s="143" t="s">
        <v>24</v>
      </c>
      <c r="B35" s="144"/>
      <c r="C35" s="102"/>
      <c r="D35" s="109">
        <f>+D31*1.02</f>
        <v>0</v>
      </c>
      <c r="E35" s="50">
        <f>+E31+E33+1.05*(E31+E33)</f>
        <v>192.90307860600905</v>
      </c>
      <c r="F35" s="50">
        <f t="shared" ref="F35:J35" si="12">+F31+F33+1.05*(F31+F33)</f>
        <v>381.26726124481797</v>
      </c>
      <c r="G35" s="50">
        <f t="shared" si="12"/>
        <v>564.92233931765657</v>
      </c>
      <c r="H35" s="50">
        <f t="shared" si="12"/>
        <v>594.95394448463685</v>
      </c>
      <c r="I35" s="50">
        <f t="shared" si="12"/>
        <v>733.91664157593959</v>
      </c>
      <c r="J35" s="50">
        <f t="shared" si="12"/>
        <v>868.67574938440418</v>
      </c>
      <c r="K35" s="11"/>
      <c r="L35" s="7"/>
      <c r="O35" s="17" t="s">
        <v>135</v>
      </c>
      <c r="P35" s="75" t="b">
        <v>1</v>
      </c>
      <c r="Q35" s="73">
        <f t="shared" si="11"/>
        <v>1.1000000000000001</v>
      </c>
    </row>
    <row r="36" spans="1:17" x14ac:dyDescent="0.55000000000000004">
      <c r="A36" s="145" t="s">
        <v>5</v>
      </c>
      <c r="B36" s="6" t="str">
        <f>+C8</f>
        <v>新規応募</v>
      </c>
      <c r="C36" s="6"/>
      <c r="D36" s="11">
        <v>0</v>
      </c>
      <c r="E36" s="111">
        <v>2</v>
      </c>
      <c r="F36" s="111">
        <v>3</v>
      </c>
      <c r="G36" s="111">
        <v>4</v>
      </c>
      <c r="H36" s="111">
        <v>5</v>
      </c>
      <c r="I36" s="111">
        <v>7</v>
      </c>
      <c r="J36" s="111">
        <v>8</v>
      </c>
      <c r="K36" s="115">
        <f>SUM(E36:J36)</f>
        <v>29</v>
      </c>
      <c r="L36" s="7"/>
      <c r="N36" s="69" t="s">
        <v>191</v>
      </c>
      <c r="O36" s="17" t="s">
        <v>126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会員登録</v>
      </c>
      <c r="C37" s="6"/>
      <c r="D37" s="11">
        <v>0</v>
      </c>
      <c r="E37" s="111">
        <v>3</v>
      </c>
      <c r="F37" s="111">
        <v>5</v>
      </c>
      <c r="G37" s="111">
        <v>7</v>
      </c>
      <c r="H37" s="111">
        <v>7</v>
      </c>
      <c r="I37" s="111">
        <v>8</v>
      </c>
      <c r="J37" s="111">
        <v>10</v>
      </c>
      <c r="K37" s="115">
        <f>SUM(E37:J37)</f>
        <v>40</v>
      </c>
      <c r="L37" s="7"/>
      <c r="N37" s="69" t="s">
        <v>117</v>
      </c>
    </row>
    <row r="38" spans="1:17" x14ac:dyDescent="0.55000000000000004">
      <c r="A38" s="145" t="s">
        <v>8</v>
      </c>
      <c r="B38" s="6" t="str">
        <f>+C10</f>
        <v>再応募</v>
      </c>
      <c r="C38" s="6"/>
      <c r="D38" s="11">
        <v>0</v>
      </c>
      <c r="E38" s="111">
        <v>0</v>
      </c>
      <c r="F38" s="111">
        <v>1</v>
      </c>
      <c r="G38" s="111">
        <v>1</v>
      </c>
      <c r="H38" s="111">
        <v>2</v>
      </c>
      <c r="I38" s="111">
        <v>3</v>
      </c>
      <c r="J38" s="111">
        <v>5</v>
      </c>
      <c r="K38" s="115">
        <f>SUM(E38:J38)</f>
        <v>12</v>
      </c>
      <c r="L38" s="7"/>
      <c r="N38" s="69" t="s">
        <v>192</v>
      </c>
      <c r="O38" s="21" t="s">
        <v>36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  <v>0</v>
      </c>
      <c r="E40" s="10">
        <f t="shared" si="13"/>
        <v>5</v>
      </c>
      <c r="F40" s="10">
        <f t="shared" si="13"/>
        <v>9</v>
      </c>
      <c r="G40" s="10">
        <f t="shared" si="13"/>
        <v>12</v>
      </c>
      <c r="H40" s="10">
        <f t="shared" si="13"/>
        <v>14</v>
      </c>
      <c r="I40" s="10">
        <f t="shared" si="13"/>
        <v>18</v>
      </c>
      <c r="J40" s="10">
        <f t="shared" si="13"/>
        <v>23</v>
      </c>
      <c r="K40" s="115">
        <f>SUM(E40:J40)</f>
        <v>81</v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  <v>0</v>
      </c>
      <c r="E41" s="18">
        <f>+IFERROR(E40/E35,0)</f>
        <v>2.591975222029581E-2</v>
      </c>
      <c r="F41" s="18">
        <f t="shared" ref="F41:J41" si="15">+IFERROR(F40/F35,0)</f>
        <v>2.3605488629197962E-2</v>
      </c>
      <c r="G41" s="18">
        <f t="shared" si="15"/>
        <v>2.1241857800302678E-2</v>
      </c>
      <c r="H41" s="18">
        <f t="shared" si="15"/>
        <v>2.3531233181632454E-2</v>
      </c>
      <c r="I41" s="18">
        <f t="shared" si="15"/>
        <v>2.4525946109286458E-2</v>
      </c>
      <c r="J41" s="18">
        <f t="shared" si="15"/>
        <v>2.64770830960795E-2</v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50</v>
      </c>
      <c r="C43" s="5" t="s">
        <v>149</v>
      </c>
      <c r="D43" s="5" t="s">
        <v>150</v>
      </c>
    </row>
    <row r="44" spans="1:17" x14ac:dyDescent="0.55000000000000004">
      <c r="A44" s="137" t="s">
        <v>26</v>
      </c>
      <c r="B44" s="138"/>
      <c r="C44" s="103"/>
      <c r="D44" s="16" t="s">
        <v>21</v>
      </c>
      <c r="E44" s="31">
        <f>+E75*E76</f>
        <v>0</v>
      </c>
      <c r="F44" s="31">
        <f t="shared" ref="F44:J44" si="16">+F75*F76</f>
        <v>0</v>
      </c>
      <c r="G44" s="31">
        <f t="shared" si="16"/>
        <v>0</v>
      </c>
      <c r="H44" s="31">
        <f t="shared" si="16"/>
        <v>0</v>
      </c>
      <c r="I44" s="31">
        <f t="shared" si="16"/>
        <v>0</v>
      </c>
      <c r="J44" s="31">
        <f t="shared" si="16"/>
        <v>0</v>
      </c>
      <c r="K44" s="11"/>
      <c r="L44" s="7"/>
    </row>
    <row r="45" spans="1:17" x14ac:dyDescent="0.55000000000000004">
      <c r="A45" s="137" t="s">
        <v>131</v>
      </c>
      <c r="B45" s="138"/>
      <c r="C45" s="104">
        <f>+SUM(C65:C72)</f>
        <v>0</v>
      </c>
      <c r="D45" s="80">
        <f>+SUM(D65:D72)</f>
        <v>295000</v>
      </c>
      <c r="E45" s="27">
        <f>SUM(E65:E68)+SUM(E71:E72)</f>
        <v>65000</v>
      </c>
      <c r="F45" s="27">
        <f t="shared" ref="F45:J45" si="17">SUM(F65:F68)+SUM(F71:F72)</f>
        <v>65000</v>
      </c>
      <c r="G45" s="27">
        <f t="shared" si="17"/>
        <v>65000</v>
      </c>
      <c r="H45" s="27">
        <f t="shared" si="17"/>
        <v>65000</v>
      </c>
      <c r="I45" s="27">
        <f t="shared" si="17"/>
        <v>65000</v>
      </c>
      <c r="J45" s="27">
        <f t="shared" si="17"/>
        <v>65000</v>
      </c>
      <c r="K45" s="11"/>
      <c r="L45" s="7"/>
    </row>
    <row r="46" spans="1:17" x14ac:dyDescent="0.55000000000000004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  <v>202.63221356168859</v>
      </c>
      <c r="F46" s="28">
        <f t="shared" si="18"/>
        <v>202.63221356168859</v>
      </c>
      <c r="G46" s="28">
        <f t="shared" si="18"/>
        <v>202.63221356168853</v>
      </c>
      <c r="H46" s="28">
        <f t="shared" si="18"/>
        <v>202.63221356168862</v>
      </c>
      <c r="I46" s="28">
        <f t="shared" si="18"/>
        <v>202.63221356168862</v>
      </c>
      <c r="J46" s="28">
        <f t="shared" si="18"/>
        <v>202.63221356168862</v>
      </c>
      <c r="K46" s="11"/>
      <c r="L46" s="7"/>
    </row>
    <row r="47" spans="1:17" x14ac:dyDescent="0.55000000000000004">
      <c r="A47" s="137" t="s">
        <v>17</v>
      </c>
      <c r="B47" s="138"/>
      <c r="C47" s="103"/>
      <c r="D47" s="16" t="s">
        <v>21</v>
      </c>
      <c r="E47" s="28">
        <f t="shared" ref="E47:I47" si="19">+E51/E35</f>
        <v>458.77961429923585</v>
      </c>
      <c r="F47" s="28">
        <f t="shared" si="19"/>
        <v>287.20011165524187</v>
      </c>
      <c r="G47" s="28">
        <f t="shared" si="19"/>
        <v>216.84396504475652</v>
      </c>
      <c r="H47" s="28">
        <f t="shared" si="19"/>
        <v>232.79112826114965</v>
      </c>
      <c r="I47" s="28">
        <f t="shared" si="19"/>
        <v>224.82117266845921</v>
      </c>
      <c r="J47" s="28">
        <f>+J51/J35</f>
        <v>223.32844002780101</v>
      </c>
      <c r="K47" s="11"/>
      <c r="L47" s="7"/>
    </row>
    <row r="48" spans="1:17" x14ac:dyDescent="0.55000000000000004">
      <c r="A48" s="137" t="s">
        <v>19</v>
      </c>
      <c r="B48" s="138"/>
      <c r="C48" s="103"/>
      <c r="D48" s="16" t="s">
        <v>21</v>
      </c>
      <c r="E48" s="32">
        <f t="shared" ref="E48:J48" si="20">+SUM(E36:E39)/E35</f>
        <v>2.591975222029581E-2</v>
      </c>
      <c r="F48" s="32">
        <f t="shared" si="20"/>
        <v>2.3605488629197962E-2</v>
      </c>
      <c r="G48" s="32">
        <f t="shared" si="20"/>
        <v>2.1241857800302678E-2</v>
      </c>
      <c r="H48" s="32">
        <f t="shared" si="20"/>
        <v>2.3531233181632454E-2</v>
      </c>
      <c r="I48" s="32">
        <f t="shared" si="20"/>
        <v>2.4525946109286458E-2</v>
      </c>
      <c r="J48" s="32">
        <f t="shared" si="20"/>
        <v>2.64770830960795E-2</v>
      </c>
      <c r="K48" s="11"/>
      <c r="L48" s="7"/>
    </row>
    <row r="49" spans="1:12" x14ac:dyDescent="0.55000000000000004">
      <c r="A49" s="139" t="s">
        <v>18</v>
      </c>
      <c r="B49" s="140"/>
      <c r="C49" s="105"/>
      <c r="D49" s="16" t="s">
        <v>21</v>
      </c>
      <c r="E49" s="28">
        <f>+IFERROR(E51/SUM(E36:E39),0)</f>
        <v>17700</v>
      </c>
      <c r="F49" s="28">
        <f t="shared" ref="F49:J49" si="21">+IFERROR(F51/SUM(F36:F39),0)</f>
        <v>12166.666666666666</v>
      </c>
      <c r="G49" s="28">
        <f t="shared" si="21"/>
        <v>10208.333333333334</v>
      </c>
      <c r="H49" s="28">
        <f t="shared" si="21"/>
        <v>9892.8571428571431</v>
      </c>
      <c r="I49" s="28">
        <f t="shared" si="21"/>
        <v>9166.6666666666661</v>
      </c>
      <c r="J49" s="28">
        <f t="shared" si="21"/>
        <v>8434.782608695652</v>
      </c>
      <c r="K49" s="11"/>
      <c r="L49" s="7"/>
    </row>
    <row r="50" spans="1:12" x14ac:dyDescent="0.55000000000000004">
      <c r="A50" s="139" t="s">
        <v>115</v>
      </c>
      <c r="B50" s="140"/>
      <c r="C50" s="105"/>
      <c r="D50" s="64" t="s">
        <v>21</v>
      </c>
      <c r="E50" s="156">
        <f>+E36*$D$8+E37*$D$9+E38*$D$10</f>
        <v>23500</v>
      </c>
      <c r="F50" s="156">
        <f t="shared" ref="F50:J50" si="22">+F36*$D$8+F37*$D$9+F38*$D$10</f>
        <v>44500</v>
      </c>
      <c r="G50" s="156">
        <f t="shared" si="22"/>
        <v>57500</v>
      </c>
      <c r="H50" s="156">
        <f t="shared" si="22"/>
        <v>73500</v>
      </c>
      <c r="I50" s="156">
        <f t="shared" si="22"/>
        <v>100000</v>
      </c>
      <c r="J50" s="156">
        <f t="shared" si="22"/>
        <v>129000</v>
      </c>
      <c r="K50" s="11"/>
      <c r="L50" s="7"/>
    </row>
    <row r="51" spans="1:12" x14ac:dyDescent="0.55000000000000004">
      <c r="A51" s="135" t="s">
        <v>68</v>
      </c>
      <c r="B51" s="136"/>
      <c r="C51" s="110">
        <f>+C45</f>
        <v>0</v>
      </c>
      <c r="D51" s="40">
        <f>+D45</f>
        <v>295000</v>
      </c>
      <c r="E51" s="40">
        <f>SUM(E45,E50)+E44</f>
        <v>88500</v>
      </c>
      <c r="F51" s="40">
        <f t="shared" ref="F51:I51" si="23">SUM(F45,F50)+F44</f>
        <v>109500</v>
      </c>
      <c r="G51" s="40">
        <f t="shared" si="23"/>
        <v>122500</v>
      </c>
      <c r="H51" s="40">
        <f t="shared" si="23"/>
        <v>138500</v>
      </c>
      <c r="I51" s="40">
        <f t="shared" si="23"/>
        <v>165000</v>
      </c>
      <c r="J51" s="40">
        <f>SUM(J45,J50)+J44</f>
        <v>194000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  <v>0</v>
      </c>
      <c r="E54" s="28">
        <f t="shared" ref="E54:J54" si="24">+E75*E76</f>
        <v>0</v>
      </c>
      <c r="F54" s="28">
        <f t="shared" si="24"/>
        <v>0</v>
      </c>
      <c r="G54" s="28">
        <f t="shared" si="24"/>
        <v>0</v>
      </c>
      <c r="H54" s="28">
        <f t="shared" si="24"/>
        <v>0</v>
      </c>
      <c r="I54" s="28">
        <f t="shared" si="24"/>
        <v>0</v>
      </c>
      <c r="J54" s="28">
        <f t="shared" si="24"/>
        <v>0</v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  <v>295000</v>
      </c>
      <c r="E55" s="27">
        <f>SUM(E65:E72)+E54</f>
        <v>215000</v>
      </c>
      <c r="F55" s="27">
        <f t="shared" ref="F55:J55" si="25">SUM(F65:F72)+F54</f>
        <v>215000</v>
      </c>
      <c r="G55" s="27">
        <f t="shared" si="25"/>
        <v>215000</v>
      </c>
      <c r="H55" s="27">
        <f t="shared" si="25"/>
        <v>215000</v>
      </c>
      <c r="I55" s="27">
        <f t="shared" si="25"/>
        <v>215000</v>
      </c>
      <c r="J55" s="27">
        <f t="shared" si="25"/>
        <v>215000</v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  <v>202.63221356168859</v>
      </c>
      <c r="F56" s="28">
        <f t="shared" si="26"/>
        <v>202.63221356168859</v>
      </c>
      <c r="G56" s="28">
        <f t="shared" si="26"/>
        <v>202.63221356168853</v>
      </c>
      <c r="H56" s="28">
        <f t="shared" si="26"/>
        <v>202.63221356168862</v>
      </c>
      <c r="I56" s="28">
        <f t="shared" si="26"/>
        <v>202.63221356168862</v>
      </c>
      <c r="J56" s="28">
        <f t="shared" si="26"/>
        <v>202.63221356168862</v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  <v>1114.5493454727198</v>
      </c>
      <c r="F57" s="28">
        <f t="shared" ref="F57:J57" si="27">+F61/F35</f>
        <v>563.9088950308402</v>
      </c>
      <c r="G57" s="28">
        <f t="shared" si="27"/>
        <v>380.58328558875633</v>
      </c>
      <c r="H57" s="28">
        <f t="shared" si="27"/>
        <v>361.37250957506984</v>
      </c>
      <c r="I57" s="28">
        <f t="shared" si="27"/>
        <v>292.94880074981046</v>
      </c>
      <c r="J57" s="28">
        <f t="shared" si="27"/>
        <v>247.50316807204749</v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  <v>2.591975222029581E-2</v>
      </c>
      <c r="F58" s="32">
        <f t="shared" si="28"/>
        <v>2.3605488629197962E-2</v>
      </c>
      <c r="G58" s="32">
        <f t="shared" si="28"/>
        <v>2.1241857800302678E-2</v>
      </c>
      <c r="H58" s="32">
        <f t="shared" si="28"/>
        <v>2.3531233181632454E-2</v>
      </c>
      <c r="I58" s="32">
        <f t="shared" si="28"/>
        <v>2.4525946109286458E-2</v>
      </c>
      <c r="J58" s="32">
        <f t="shared" si="28"/>
        <v>2.64770830960795E-2</v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  <v>43000</v>
      </c>
      <c r="F59" s="28">
        <f t="shared" ref="F59:J59" si="29">+IFERROR(F55/F40,0)</f>
        <v>23888.888888888891</v>
      </c>
      <c r="G59" s="28">
        <f t="shared" si="29"/>
        <v>17916.666666666668</v>
      </c>
      <c r="H59" s="28">
        <f t="shared" si="29"/>
        <v>15357.142857142857</v>
      </c>
      <c r="I59" s="28">
        <f t="shared" si="29"/>
        <v>11944.444444444445</v>
      </c>
      <c r="J59" s="28">
        <f t="shared" si="29"/>
        <v>9347.826086956522</v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  <v>295000</v>
      </c>
      <c r="E61" s="40">
        <f>+SUM(E65:E72)+E54</f>
        <v>215000</v>
      </c>
      <c r="F61" s="40">
        <f t="shared" ref="F61:J61" si="30">+SUM(F65:F72)+F54</f>
        <v>215000</v>
      </c>
      <c r="G61" s="40">
        <f t="shared" si="30"/>
        <v>215000</v>
      </c>
      <c r="H61" s="40">
        <f t="shared" si="30"/>
        <v>215000</v>
      </c>
      <c r="I61" s="40">
        <f t="shared" si="30"/>
        <v>215000</v>
      </c>
      <c r="J61" s="40">
        <f t="shared" si="30"/>
        <v>215000</v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193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  <v>5000</v>
      </c>
      <c r="F68" s="28">
        <f t="shared" si="31"/>
        <v>5000</v>
      </c>
      <c r="G68" s="28">
        <f t="shared" si="31"/>
        <v>5000</v>
      </c>
      <c r="H68" s="28">
        <f t="shared" si="31"/>
        <v>5000</v>
      </c>
      <c r="I68" s="28">
        <f t="shared" si="31"/>
        <v>5000</v>
      </c>
      <c r="J68" s="28">
        <f t="shared" si="31"/>
        <v>5000</v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184</v>
      </c>
      <c r="C69" s="90">
        <v>0</v>
      </c>
      <c r="D69" s="51">
        <v>100000</v>
      </c>
      <c r="E69" s="28">
        <v>150000</v>
      </c>
      <c r="F69" s="28">
        <v>150000</v>
      </c>
      <c r="G69" s="28">
        <v>150000</v>
      </c>
      <c r="H69" s="28">
        <v>150000</v>
      </c>
      <c r="I69" s="28">
        <v>150000</v>
      </c>
      <c r="J69" s="28">
        <v>150000</v>
      </c>
      <c r="N69" s="69" t="s">
        <v>185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  <v>295000</v>
      </c>
      <c r="E73" s="114">
        <f t="shared" ref="E73:J73" si="32">SUM(E65:E72)+E54</f>
        <v>215000</v>
      </c>
      <c r="F73" s="114">
        <f t="shared" si="32"/>
        <v>215000</v>
      </c>
      <c r="G73" s="114">
        <f t="shared" si="32"/>
        <v>215000</v>
      </c>
      <c r="H73" s="114">
        <f t="shared" si="32"/>
        <v>215000</v>
      </c>
      <c r="I73" s="114">
        <f t="shared" si="32"/>
        <v>215000</v>
      </c>
      <c r="J73" s="114">
        <f t="shared" si="32"/>
        <v>215000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  <v>0</v>
      </c>
      <c r="E75" s="41">
        <f t="shared" si="33"/>
        <v>0</v>
      </c>
      <c r="F75" s="41">
        <f t="shared" si="33"/>
        <v>0</v>
      </c>
      <c r="G75" s="41">
        <f t="shared" si="33"/>
        <v>0</v>
      </c>
      <c r="H75" s="41">
        <f t="shared" si="33"/>
        <v>0</v>
      </c>
      <c r="I75" s="41">
        <f t="shared" si="33"/>
        <v>0</v>
      </c>
      <c r="J75" s="41">
        <f t="shared" si="33"/>
        <v>0</v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4"/>
        <v>3</v>
      </c>
      <c r="F76" s="5">
        <f t="shared" si="34"/>
        <v>3</v>
      </c>
      <c r="G76" s="5">
        <f t="shared" si="34"/>
        <v>3</v>
      </c>
      <c r="H76" s="5">
        <f t="shared" si="34"/>
        <v>3</v>
      </c>
      <c r="I76" s="5">
        <f t="shared" si="34"/>
        <v>3</v>
      </c>
      <c r="J76" s="5">
        <f t="shared" si="34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96F2-79D8-5023-B49B-E468DC771929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>
      <c r="A4" s="85" t="s">
        <v>139</v>
      </c>
      <c r="B4" s="7"/>
      <c r="C4" s="86" t="str">
        <f>+SIM②_成果報酬!D24</f>
        <v>--</v>
      </c>
      <c r="D4" s="28">
        <f>+SIM②_成果報酬!G51</f>
        <v>122500</v>
      </c>
      <c r="E4" s="28">
        <f>+SIM②_成果報酬!J51</f>
        <v>194000</v>
      </c>
      <c r="F4" s="28"/>
    </row>
    <row r="5" spans="1:25" hidden="1" x14ac:dyDescent="0.55000000000000004">
      <c r="A5" s="85" t="s">
        <v>140</v>
      </c>
      <c r="B5" s="7"/>
      <c r="C5" s="86" t="str">
        <f>+SIM②_成果報酬!D25</f>
        <v>--</v>
      </c>
      <c r="D5" s="28">
        <f>+SIM②_成果報酬!G61</f>
        <v>215000</v>
      </c>
      <c r="E5" s="28">
        <f>+SIM②_成果報酬!J61</f>
        <v>215000</v>
      </c>
      <c r="F5" s="27"/>
    </row>
    <row r="6" spans="1:25" x14ac:dyDescent="0.55000000000000004">
      <c r="A6" s="85" t="s">
        <v>74</v>
      </c>
      <c r="B6" s="7"/>
      <c r="C6" s="117">
        <f>+SIM②_成果報酬!D28</f>
        <v>0</v>
      </c>
      <c r="D6" s="87">
        <f>+SIM②_成果報酬!G28</f>
        <v>888.30890625000006</v>
      </c>
      <c r="E6" s="87">
        <f>+SIM②_成果報酬!J28</f>
        <v>1776.6178124999999</v>
      </c>
      <c r="F6" s="10"/>
    </row>
    <row r="7" spans="1:25" x14ac:dyDescent="0.55000000000000004">
      <c r="A7" s="85" t="s">
        <v>75</v>
      </c>
      <c r="B7" s="7"/>
      <c r="C7" s="88">
        <f>+SIM②_成果報酬!D27</f>
        <v>0</v>
      </c>
      <c r="D7" s="89">
        <f>+SIM②_成果報酬!G27</f>
        <v>0.33619999999999994</v>
      </c>
      <c r="E7" s="89">
        <f>+SIM②_成果報酬!J27</f>
        <v>0.36205062812499983</v>
      </c>
      <c r="F7" s="89"/>
    </row>
    <row r="8" spans="1:25" x14ac:dyDescent="0.55000000000000004">
      <c r="A8" s="85" t="s">
        <v>76</v>
      </c>
      <c r="B8" s="7"/>
      <c r="C8" s="117">
        <f>+SIM②_成果報酬!D29</f>
        <v>0</v>
      </c>
      <c r="D8" s="10">
        <f>+SIM②_成果報酬!G29</f>
        <v>589.65945196875009</v>
      </c>
      <c r="E8" s="10">
        <f>+SIM②_成果報酬!J29</f>
        <v>1133.3922175463119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+SIM②_成果報酬!D34</f>
        <v>0</v>
      </c>
      <c r="D10" s="10">
        <f>+SIM②_成果報酬!G34</f>
        <v>2358.6378078750004</v>
      </c>
      <c r="E10" s="10">
        <f>+SIM②_成果報酬!J34</f>
        <v>3626.8550961481988</v>
      </c>
      <c r="F10" s="10"/>
    </row>
    <row r="11" spans="1:25" x14ac:dyDescent="0.55000000000000004">
      <c r="A11" s="85" t="s">
        <v>79</v>
      </c>
      <c r="B11" s="7"/>
      <c r="C11" s="117">
        <f>+SIM②_成果報酬!D35</f>
        <v>0</v>
      </c>
      <c r="D11" s="10">
        <f>+SIM②_成果報酬!G35</f>
        <v>564.92233931765657</v>
      </c>
      <c r="E11" s="10">
        <f>+SIM②_成果報酬!J35</f>
        <v>868.67574938440418</v>
      </c>
      <c r="F11" s="10"/>
    </row>
    <row r="12" spans="1:25" x14ac:dyDescent="0.55000000000000004">
      <c r="A12" s="85" t="s">
        <v>146</v>
      </c>
      <c r="B12" s="7"/>
      <c r="C12" s="28">
        <f>+IFERROR(C5/C11,0)</f>
        <v>0</v>
      </c>
      <c r="D12" s="28">
        <f>+D4/D11</f>
        <v>216.84396504475652</v>
      </c>
      <c r="E12" s="28">
        <f t="shared" ref="E12" si="0">+E4/E11</f>
        <v>223.32844002780101</v>
      </c>
      <c r="F12" s="28"/>
    </row>
    <row r="13" spans="1:25" hidden="1" x14ac:dyDescent="0.55000000000000004">
      <c r="A13" s="85" t="s">
        <v>147</v>
      </c>
      <c r="B13" s="7"/>
      <c r="C13" s="28">
        <f>+IFERROR(C6/C12,0)</f>
        <v>0</v>
      </c>
      <c r="D13" s="28">
        <f>+D5/D11</f>
        <v>380.58328558875633</v>
      </c>
      <c r="E13" s="28">
        <f t="shared" ref="E13" si="1">+E5/E11</f>
        <v>247.50316807204749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+SIM②_成果報酬!$H$10</f>
        <v>150</v>
      </c>
      <c r="D15" s="87">
        <f>+SIM②_成果報酬!$H$10</f>
        <v>150</v>
      </c>
      <c r="E15" s="87">
        <f>+SIM②_成果報酬!$H$10</f>
        <v>150</v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  <v>0</v>
      </c>
      <c r="D16" s="87">
        <f>SUM(D17:D20)</f>
        <v>12</v>
      </c>
      <c r="E16" s="87">
        <f>SUM(E17:E20)</f>
        <v>23</v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186</v>
      </c>
      <c r="B17" s="7"/>
      <c r="C17" s="87">
        <f>+SIM②_成果報酬!D36</f>
        <v>0</v>
      </c>
      <c r="D17" s="87">
        <f>+SIM②_成果報酬!G36</f>
        <v>4</v>
      </c>
      <c r="E17" s="87">
        <f>+SIM②_成果報酬!J36</f>
        <v>8</v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+SIM②_成果報酬!D37</f>
        <v>0</v>
      </c>
      <c r="D18" s="87">
        <f>+SIM②_成果報酬!G37</f>
        <v>7</v>
      </c>
      <c r="E18" s="87">
        <f>+SIM②_成果報酬!J37</f>
        <v>10</v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  <v>37500000</v>
      </c>
      <c r="Y18" s="35">
        <v>2.5</v>
      </c>
    </row>
    <row r="19" spans="1:25" x14ac:dyDescent="0.55000000000000004">
      <c r="A19" s="85" t="s">
        <v>187</v>
      </c>
      <c r="B19" s="7"/>
      <c r="C19" s="87">
        <f>+SIM②_成果報酬!D38</f>
        <v>0</v>
      </c>
      <c r="D19" s="87">
        <f>+SIM②_成果報酬!G38</f>
        <v>1</v>
      </c>
      <c r="E19" s="87">
        <f>+SIM②_成果報酬!J38</f>
        <v>5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+SIM②_成果報酬!D39</f>
        <v>0</v>
      </c>
      <c r="D20" s="87">
        <f>+SIM②_成果報酬!G39</f>
        <v>0</v>
      </c>
      <c r="E20" s="87">
        <f>+SIM②_成果報酬!J39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141</v>
      </c>
      <c r="B22" s="7"/>
      <c r="C22" s="90" t="str">
        <f>+IFERROR(C4/C16,"--")</f>
        <v>--</v>
      </c>
      <c r="D22" s="90">
        <f t="shared" ref="D22:E22" si="2">+IFERROR(D4/D16,"--")</f>
        <v>10208.333333333334</v>
      </c>
      <c r="E22" s="90">
        <f t="shared" si="2"/>
        <v>8434.782608695652</v>
      </c>
      <c r="F22" s="90"/>
      <c r="R22" s="34"/>
      <c r="T22" s="34"/>
      <c r="V22" s="34"/>
      <c r="X22" s="34"/>
      <c r="Y22" s="35"/>
    </row>
    <row r="23" spans="1:25" hidden="1" x14ac:dyDescent="0.55000000000000004">
      <c r="A23" s="85" t="s">
        <v>142</v>
      </c>
      <c r="B23" s="7"/>
      <c r="C23" s="90" t="str">
        <f>+IFERROR(C5/C16,"--")</f>
        <v>--</v>
      </c>
      <c r="D23" s="90">
        <f t="shared" ref="D23" si="3">+IFERROR(D5/D16,"--")</f>
        <v>17916.666666666668</v>
      </c>
      <c r="E23" s="90">
        <f t="shared" ref="E23" si="4">+IFERROR(E5/E16,"--")</f>
        <v>9347.826086956522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+SIM②_成果報酬!E68+C29*C30</f>
        <v>5000</v>
      </c>
      <c r="D25" s="10">
        <f>+SIM②_成果報酬!G68+D29*D30</f>
        <v>5000</v>
      </c>
      <c r="E25" s="10">
        <f>+SIM②_成果報酬!J68+E29*E30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80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87</v>
      </c>
    </row>
    <row r="4" spans="1:7" x14ac:dyDescent="0.55000000000000004">
      <c r="A4" t="s">
        <v>85</v>
      </c>
      <c r="B4" t="s">
        <v>86</v>
      </c>
      <c r="E4">
        <v>1000</v>
      </c>
    </row>
    <row r="5" spans="1:7" x14ac:dyDescent="0.55000000000000004">
      <c r="A5" t="s">
        <v>41</v>
      </c>
      <c r="B5" s="60">
        <v>8.5000000000000006E-2</v>
      </c>
    </row>
    <row r="6" spans="1:7" x14ac:dyDescent="0.55000000000000004">
      <c r="A6" t="s">
        <v>89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88</v>
      </c>
    </row>
    <row r="9" spans="1:7" x14ac:dyDescent="0.55000000000000004">
      <c r="A9" t="s">
        <v>85</v>
      </c>
      <c r="B9" t="s">
        <v>86</v>
      </c>
      <c r="E9">
        <v>1000</v>
      </c>
    </row>
    <row r="10" spans="1:7" x14ac:dyDescent="0.55000000000000004">
      <c r="A10" t="s">
        <v>41</v>
      </c>
      <c r="B10" s="60">
        <v>5.0000000000000001E-3</v>
      </c>
    </row>
    <row r="11" spans="1:7" x14ac:dyDescent="0.55000000000000004">
      <c r="A11" t="s">
        <v>89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90</v>
      </c>
      <c r="D13" t="s">
        <v>93</v>
      </c>
    </row>
    <row r="14" spans="1:7" x14ac:dyDescent="0.55000000000000004">
      <c r="A14" t="s">
        <v>91</v>
      </c>
      <c r="B14" t="s">
        <v>86</v>
      </c>
      <c r="E14">
        <v>1000</v>
      </c>
    </row>
    <row r="15" spans="1:7" x14ac:dyDescent="0.55000000000000004">
      <c r="A15" t="s">
        <v>41</v>
      </c>
      <c r="B15" s="60">
        <v>0.9</v>
      </c>
      <c r="C15" t="s">
        <v>92</v>
      </c>
    </row>
    <row r="16" spans="1:7" x14ac:dyDescent="0.55000000000000004">
      <c r="A16" t="s">
        <v>89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94</v>
      </c>
      <c r="D18" t="s">
        <v>93</v>
      </c>
    </row>
    <row r="19" spans="1:10" x14ac:dyDescent="0.55000000000000004">
      <c r="A19" t="s">
        <v>85</v>
      </c>
      <c r="B19" s="60">
        <v>0.7</v>
      </c>
      <c r="C19" t="s">
        <v>86</v>
      </c>
      <c r="E19">
        <v>1000</v>
      </c>
    </row>
    <row r="20" spans="1:10" x14ac:dyDescent="0.55000000000000004">
      <c r="A20" t="s">
        <v>41</v>
      </c>
      <c r="B20" s="60">
        <v>1</v>
      </c>
    </row>
    <row r="21" spans="1:10" x14ac:dyDescent="0.55000000000000004">
      <c r="A21" t="s">
        <v>89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81</v>
      </c>
      <c r="B23" s="59"/>
      <c r="C23" s="59" t="s">
        <v>84</v>
      </c>
      <c r="D23" s="59"/>
      <c r="E23" s="59"/>
      <c r="F23" s="59"/>
      <c r="G23" s="59"/>
      <c r="I23" s="67" t="s">
        <v>100</v>
      </c>
      <c r="J23" s="68"/>
    </row>
    <row r="24" spans="1:10" x14ac:dyDescent="0.55000000000000004">
      <c r="A24" s="54" t="s">
        <v>82</v>
      </c>
      <c r="I24" s="66">
        <v>1</v>
      </c>
      <c r="J24" t="s">
        <v>101</v>
      </c>
    </row>
    <row r="25" spans="1:10" x14ac:dyDescent="0.55000000000000004">
      <c r="A25" t="s">
        <v>40</v>
      </c>
      <c r="B25" s="61">
        <v>0.8</v>
      </c>
      <c r="I25" s="66">
        <v>2</v>
      </c>
      <c r="J25" t="s">
        <v>102</v>
      </c>
    </row>
    <row r="26" spans="1:10" x14ac:dyDescent="0.55000000000000004">
      <c r="A26" t="s">
        <v>41</v>
      </c>
      <c r="B26" s="61">
        <v>0.06</v>
      </c>
      <c r="I26" s="66">
        <v>3</v>
      </c>
      <c r="J26" t="s">
        <v>103</v>
      </c>
    </row>
    <row r="27" spans="1:10" x14ac:dyDescent="0.55000000000000004">
      <c r="A27" t="s">
        <v>83</v>
      </c>
      <c r="B27" s="61">
        <v>3.0000000000000001E-3</v>
      </c>
      <c r="I27" s="66">
        <v>4</v>
      </c>
      <c r="J27" t="s">
        <v>104</v>
      </c>
    </row>
    <row r="29" spans="1:10" x14ac:dyDescent="0.55000000000000004">
      <c r="A29" s="54" t="s">
        <v>99</v>
      </c>
      <c r="I29" s="67" t="s">
        <v>105</v>
      </c>
      <c r="J29" s="68"/>
    </row>
    <row r="30" spans="1:10" x14ac:dyDescent="0.55000000000000004">
      <c r="A30" t="s">
        <v>40</v>
      </c>
      <c r="B30" s="61">
        <v>0.75</v>
      </c>
      <c r="I30" s="66">
        <v>1</v>
      </c>
      <c r="J30" t="s">
        <v>106</v>
      </c>
    </row>
    <row r="31" spans="1:10" x14ac:dyDescent="0.55000000000000004">
      <c r="A31" t="s">
        <v>41</v>
      </c>
      <c r="B31" s="61">
        <v>0.08</v>
      </c>
      <c r="I31" s="66">
        <v>2</v>
      </c>
      <c r="J31" t="s">
        <v>107</v>
      </c>
    </row>
    <row r="32" spans="1:10" x14ac:dyDescent="0.55000000000000004">
      <c r="A32" t="s">
        <v>83</v>
      </c>
      <c r="B32" s="61">
        <v>6.0000000000000001E-3</v>
      </c>
      <c r="I32" s="66">
        <v>3</v>
      </c>
      <c r="J32" t="s">
        <v>108</v>
      </c>
    </row>
    <row r="33" spans="1:10" x14ac:dyDescent="0.55000000000000004">
      <c r="I33" s="66">
        <v>4</v>
      </c>
      <c r="J33" t="s">
        <v>109</v>
      </c>
    </row>
    <row r="34" spans="1:10" x14ac:dyDescent="0.55000000000000004">
      <c r="A34" s="54" t="s">
        <v>95</v>
      </c>
    </row>
    <row r="35" spans="1:10" x14ac:dyDescent="0.55000000000000004">
      <c r="A35" t="s">
        <v>40</v>
      </c>
      <c r="B35" s="62" t="s">
        <v>21</v>
      </c>
    </row>
    <row r="36" spans="1:10" x14ac:dyDescent="0.55000000000000004">
      <c r="A36" t="s">
        <v>41</v>
      </c>
      <c r="B36" s="61">
        <v>0.02</v>
      </c>
    </row>
    <row r="37" spans="1:10" x14ac:dyDescent="0.55000000000000004">
      <c r="A37" t="s">
        <v>83</v>
      </c>
      <c r="B37" s="61">
        <v>4.0000000000000001E-3</v>
      </c>
    </row>
    <row r="39" spans="1:10" x14ac:dyDescent="0.55000000000000004">
      <c r="A39" s="54" t="s">
        <v>96</v>
      </c>
      <c r="E39" s="54" t="s">
        <v>97</v>
      </c>
    </row>
    <row r="40" spans="1:10" x14ac:dyDescent="0.55000000000000004">
      <c r="A40" t="s">
        <v>40</v>
      </c>
      <c r="B40" s="62">
        <v>1</v>
      </c>
      <c r="E40" t="s">
        <v>40</v>
      </c>
      <c r="F40" s="62" t="s">
        <v>21</v>
      </c>
    </row>
    <row r="41" spans="1:10" x14ac:dyDescent="0.55000000000000004">
      <c r="A41" t="s">
        <v>41</v>
      </c>
      <c r="B41" s="61">
        <v>3.5000000000000003E-2</v>
      </c>
      <c r="E41" t="s">
        <v>98</v>
      </c>
      <c r="F41" s="61">
        <v>0.25</v>
      </c>
    </row>
    <row r="42" spans="1:10" x14ac:dyDescent="0.55000000000000004">
      <c r="A42" t="s">
        <v>83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SIM①_コンサル</vt:lpstr>
      <vt:lpstr>SIM①_比較</vt:lpstr>
      <vt:lpstr>SIM②_成果報酬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2026-10-29T05:56:03Z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
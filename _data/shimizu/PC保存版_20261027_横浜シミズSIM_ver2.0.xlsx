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omura-r\Downloads\"/>
    </mc:Choice>
  </mc:AlternateContent>
  <xr:revisionPtr revIDLastSave="0" documentId="13_ncr:1_{72ED57BE-AF90-4E88-B733-C7F944D72E28}" xr6:coauthVersionLast="47" xr6:coauthVersionMax="47" xr10:uidLastSave="{00000000-0000-0000-0000-000000000000}"/>
  <bookViews>
    <workbookView xWindow="-13380" yWindow="-16320" windowWidth="29040" windowHeight="15720" xr2:uid="{02433765-3560-48F5-BC99-B30FC64129A4}"/>
  </bookViews>
  <sheets>
    <sheet name="SIM" sheetId="1" r:id="rId1"/>
    <sheet name="SIM_比較" sheetId="2" r:id="rId2"/>
    <sheet name="SIM考え方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" i="1" l="1"/>
  <c r="G45" i="1"/>
  <c r="H45" i="1"/>
  <c r="I45" i="1"/>
  <c r="J45" i="1"/>
  <c r="E45" i="1"/>
  <c r="F27" i="1"/>
  <c r="E22" i="3"/>
  <c r="E17" i="3"/>
  <c r="E12" i="3"/>
  <c r="E7" i="3"/>
  <c r="E20" i="2"/>
  <c r="D20" i="2"/>
  <c r="C20" i="2"/>
  <c r="E19" i="2"/>
  <c r="D19" i="2"/>
  <c r="C19" i="2"/>
  <c r="X18" i="2"/>
  <c r="E18" i="2"/>
  <c r="D18" i="2"/>
  <c r="C18" i="2"/>
  <c r="E17" i="2"/>
  <c r="D17" i="2"/>
  <c r="C17" i="2"/>
  <c r="E16" i="2"/>
  <c r="D16" i="2"/>
  <c r="C16" i="2"/>
  <c r="E15" i="2"/>
  <c r="D15" i="2"/>
  <c r="C15" i="2"/>
  <c r="C7" i="2"/>
  <c r="C6" i="2"/>
  <c r="C5" i="2"/>
  <c r="C4" i="2"/>
  <c r="D73" i="1"/>
  <c r="D55" i="1"/>
  <c r="D61" i="1" s="1"/>
  <c r="J50" i="1"/>
  <c r="I50" i="1"/>
  <c r="H50" i="1"/>
  <c r="G50" i="1"/>
  <c r="F50" i="1"/>
  <c r="E50" i="1"/>
  <c r="D45" i="1"/>
  <c r="D51" i="1" s="1"/>
  <c r="C45" i="1"/>
  <c r="C51" i="1" s="1"/>
  <c r="J40" i="1"/>
  <c r="I40" i="1"/>
  <c r="H40" i="1"/>
  <c r="G40" i="1"/>
  <c r="F40" i="1"/>
  <c r="E40" i="1"/>
  <c r="D40" i="1"/>
  <c r="K39" i="1"/>
  <c r="B39" i="1"/>
  <c r="K38" i="1"/>
  <c r="B38" i="1"/>
  <c r="K37" i="1"/>
  <c r="B37" i="1"/>
  <c r="K36" i="1"/>
  <c r="B36" i="1"/>
  <c r="Q35" i="1"/>
  <c r="Q34" i="1"/>
  <c r="Q33" i="1"/>
  <c r="Q32" i="1"/>
  <c r="D29" i="1"/>
  <c r="J25" i="1"/>
  <c r="I25" i="1"/>
  <c r="H25" i="1"/>
  <c r="G25" i="1"/>
  <c r="F25" i="1"/>
  <c r="E25" i="1"/>
  <c r="Y19" i="1"/>
  <c r="D16" i="1"/>
  <c r="E16" i="1" s="1"/>
  <c r="D15" i="1"/>
  <c r="E15" i="1" s="1"/>
  <c r="F15" i="1" s="1"/>
  <c r="G15" i="1" s="1"/>
  <c r="H15" i="1" s="1"/>
  <c r="I15" i="1" s="1"/>
  <c r="J15" i="1" s="1"/>
  <c r="D14" i="1"/>
  <c r="E14" i="1" s="1"/>
  <c r="G27" i="1"/>
  <c r="H27" i="1" s="1"/>
  <c r="I27" i="1" s="1"/>
  <c r="J27" i="1" s="1"/>
  <c r="P36" i="1" l="1"/>
  <c r="E7" i="2"/>
  <c r="D7" i="2"/>
  <c r="C23" i="2"/>
  <c r="C22" i="2"/>
  <c r="K40" i="1"/>
  <c r="C8" i="2"/>
  <c r="D34" i="1"/>
  <c r="D31" i="1"/>
  <c r="D35" i="1" s="1"/>
  <c r="F16" i="1"/>
  <c r="E24" i="1"/>
  <c r="F14" i="1"/>
  <c r="E23" i="1"/>
  <c r="D75" i="1" l="1"/>
  <c r="C10" i="2"/>
  <c r="C29" i="2" s="1"/>
  <c r="C30" i="2" s="1"/>
  <c r="D41" i="1"/>
  <c r="C11" i="2"/>
  <c r="C12" i="2" s="1"/>
  <c r="C13" i="2" s="1"/>
  <c r="G16" i="1"/>
  <c r="F24" i="1"/>
  <c r="G14" i="1"/>
  <c r="F23" i="1"/>
  <c r="F26" i="1" s="1"/>
  <c r="E26" i="1"/>
  <c r="E28" i="1" s="1"/>
  <c r="D76" i="1" l="1"/>
  <c r="D54" i="1" s="1"/>
  <c r="H16" i="1"/>
  <c r="G24" i="1"/>
  <c r="H14" i="1"/>
  <c r="G23" i="1"/>
  <c r="G26" i="1" s="1"/>
  <c r="E56" i="1"/>
  <c r="E46" i="1"/>
  <c r="E29" i="1"/>
  <c r="F28" i="1"/>
  <c r="I16" i="1" l="1"/>
  <c r="H24" i="1"/>
  <c r="I14" i="1"/>
  <c r="H23" i="1"/>
  <c r="H26" i="1" s="1"/>
  <c r="E31" i="1"/>
  <c r="E33" i="1"/>
  <c r="E34" i="1"/>
  <c r="G28" i="1"/>
  <c r="F29" i="1"/>
  <c r="F46" i="1"/>
  <c r="F56" i="1"/>
  <c r="J16" i="1" l="1"/>
  <c r="J24" i="1" s="1"/>
  <c r="I24" i="1"/>
  <c r="J14" i="1"/>
  <c r="J23" i="1" s="1"/>
  <c r="I23" i="1"/>
  <c r="I26" i="1" s="1"/>
  <c r="E75" i="1"/>
  <c r="E68" i="1"/>
  <c r="H28" i="1"/>
  <c r="G29" i="1"/>
  <c r="G46" i="1"/>
  <c r="G56" i="1"/>
  <c r="D6" i="2"/>
  <c r="F31" i="1"/>
  <c r="F33" i="1"/>
  <c r="F34" i="1"/>
  <c r="E35" i="1"/>
  <c r="J26" i="1" l="1"/>
  <c r="E76" i="1"/>
  <c r="C25" i="2"/>
  <c r="I28" i="1"/>
  <c r="H29" i="1"/>
  <c r="H46" i="1"/>
  <c r="H56" i="1"/>
  <c r="G31" i="1"/>
  <c r="G33" i="1"/>
  <c r="D8" i="2"/>
  <c r="G34" i="1"/>
  <c r="F75" i="1"/>
  <c r="F68" i="1"/>
  <c r="E58" i="1"/>
  <c r="E41" i="1"/>
  <c r="E48" i="1"/>
  <c r="F35" i="1"/>
  <c r="E54" i="1" l="1"/>
  <c r="E44" i="1"/>
  <c r="E51" i="1" s="1"/>
  <c r="J28" i="1"/>
  <c r="I29" i="1"/>
  <c r="I46" i="1"/>
  <c r="I56" i="1"/>
  <c r="H31" i="1"/>
  <c r="H33" i="1"/>
  <c r="H34" i="1"/>
  <c r="G75" i="1"/>
  <c r="G68" i="1"/>
  <c r="D10" i="2"/>
  <c r="D29" i="2" s="1"/>
  <c r="D30" i="2" s="1"/>
  <c r="F76" i="1"/>
  <c r="F58" i="1"/>
  <c r="F48" i="1"/>
  <c r="F41" i="1"/>
  <c r="G35" i="1"/>
  <c r="E61" i="1" l="1"/>
  <c r="E57" i="1" s="1"/>
  <c r="E55" i="1"/>
  <c r="E59" i="1" s="1"/>
  <c r="E73" i="1"/>
  <c r="F54" i="1"/>
  <c r="F44" i="1"/>
  <c r="F51" i="1" s="1"/>
  <c r="E47" i="1"/>
  <c r="E49" i="1"/>
  <c r="J29" i="1"/>
  <c r="J46" i="1"/>
  <c r="J56" i="1"/>
  <c r="E6" i="2"/>
  <c r="I31" i="1"/>
  <c r="I33" i="1"/>
  <c r="I34" i="1"/>
  <c r="H68" i="1"/>
  <c r="H75" i="1"/>
  <c r="G76" i="1"/>
  <c r="D25" i="2"/>
  <c r="F61" i="1"/>
  <c r="F57" i="1" s="1"/>
  <c r="D11" i="2"/>
  <c r="G58" i="1"/>
  <c r="G48" i="1"/>
  <c r="G41" i="1"/>
  <c r="H35" i="1"/>
  <c r="F55" i="1" l="1"/>
  <c r="F59" i="1" s="1"/>
  <c r="F73" i="1"/>
  <c r="F49" i="1"/>
  <c r="F47" i="1"/>
  <c r="G54" i="1"/>
  <c r="G44" i="1"/>
  <c r="G51" i="1" s="1"/>
  <c r="J31" i="1"/>
  <c r="J33" i="1"/>
  <c r="E8" i="2"/>
  <c r="J34" i="1"/>
  <c r="I68" i="1"/>
  <c r="I75" i="1"/>
  <c r="H76" i="1"/>
  <c r="H58" i="1"/>
  <c r="H48" i="1"/>
  <c r="H41" i="1"/>
  <c r="I35" i="1"/>
  <c r="G73" i="1" l="1"/>
  <c r="G55" i="1"/>
  <c r="G59" i="1" s="1"/>
  <c r="G61" i="1"/>
  <c r="H54" i="1"/>
  <c r="H44" i="1"/>
  <c r="H51" i="1" s="1"/>
  <c r="J68" i="1"/>
  <c r="J75" i="1"/>
  <c r="E10" i="2"/>
  <c r="E29" i="2" s="1"/>
  <c r="E30" i="2" s="1"/>
  <c r="I76" i="1"/>
  <c r="I58" i="1"/>
  <c r="I48" i="1"/>
  <c r="I41" i="1"/>
  <c r="G49" i="1"/>
  <c r="G47" i="1"/>
  <c r="D4" i="2"/>
  <c r="J35" i="1"/>
  <c r="H55" i="1" l="1"/>
  <c r="H59" i="1" s="1"/>
  <c r="H61" i="1"/>
  <c r="H57" i="1" s="1"/>
  <c r="H73" i="1"/>
  <c r="D5" i="2"/>
  <c r="G57" i="1"/>
  <c r="H47" i="1"/>
  <c r="H49" i="1"/>
  <c r="I54" i="1"/>
  <c r="I55" i="1" s="1"/>
  <c r="I59" i="1" s="1"/>
  <c r="I44" i="1"/>
  <c r="I51" i="1" s="1"/>
  <c r="E25" i="2"/>
  <c r="J76" i="1"/>
  <c r="D22" i="2"/>
  <c r="D12" i="2"/>
  <c r="E11" i="2"/>
  <c r="J58" i="1"/>
  <c r="J48" i="1"/>
  <c r="J41" i="1"/>
  <c r="D13" i="2" l="1"/>
  <c r="D23" i="2"/>
  <c r="I47" i="1"/>
  <c r="I49" i="1"/>
  <c r="I61" i="1"/>
  <c r="I57" i="1" s="1"/>
  <c r="I73" i="1"/>
  <c r="J44" i="1"/>
  <c r="J51" i="1" s="1"/>
  <c r="J47" i="1" s="1"/>
  <c r="J54" i="1"/>
  <c r="J55" i="1"/>
  <c r="J59" i="1" s="1"/>
  <c r="J49" i="1" l="1"/>
  <c r="E4" i="2"/>
  <c r="J61" i="1"/>
  <c r="J73" i="1"/>
  <c r="E12" i="2" l="1"/>
  <c r="E22" i="2"/>
  <c r="E5" i="2"/>
  <c r="J57" i="1"/>
  <c r="E13" i="2" l="1"/>
  <c r="E23" i="2"/>
</calcChain>
</file>

<file path=xl/sharedStrings.xml><?xml version="1.0" encoding="utf-8"?>
<sst xmlns="http://schemas.openxmlformats.org/spreadsheetml/2006/main" count="280" uniqueCount="195">
  <si>
    <t>項目</t>
    <rPh sb="0" eb="2">
      <t>コウモク</t>
    </rPh>
    <phoneticPr fontId="2"/>
  </si>
  <si>
    <t>半年合計</t>
    <rPh sb="0" eb="2">
      <t>ハントシ</t>
    </rPh>
    <rPh sb="2" eb="4">
      <t>ゴウケイ</t>
    </rPh>
    <phoneticPr fontId="2"/>
  </si>
  <si>
    <t>単月平均（６ヶ月）</t>
    <rPh sb="0" eb="2">
      <t>タンゲツ</t>
    </rPh>
    <rPh sb="2" eb="4">
      <t>ヘイキン</t>
    </rPh>
    <rPh sb="7" eb="8">
      <t>ゲツ</t>
    </rPh>
    <phoneticPr fontId="2"/>
  </si>
  <si>
    <t>施策</t>
    <rPh sb="0" eb="2">
      <t>シサク</t>
    </rPh>
    <phoneticPr fontId="2"/>
  </si>
  <si>
    <t>CPF</t>
    <phoneticPr fontId="2"/>
  </si>
  <si>
    <t>新規CV</t>
    <rPh sb="0" eb="2">
      <t>シンキ</t>
    </rPh>
    <phoneticPr fontId="2"/>
  </si>
  <si>
    <t>①_CV地点</t>
    <rPh sb="4" eb="6">
      <t>チテン</t>
    </rPh>
    <phoneticPr fontId="2"/>
  </si>
  <si>
    <t>②_CV地点</t>
    <rPh sb="4" eb="6">
      <t>チテン</t>
    </rPh>
    <phoneticPr fontId="2"/>
  </si>
  <si>
    <t>リピートCV</t>
    <phoneticPr fontId="2"/>
  </si>
  <si>
    <t>③_CV地点</t>
    <rPh sb="4" eb="6">
      <t>チテン</t>
    </rPh>
    <phoneticPr fontId="2"/>
  </si>
  <si>
    <t>④_CV地点</t>
    <rPh sb="4" eb="6">
      <t>チテン</t>
    </rPh>
    <phoneticPr fontId="2"/>
  </si>
  <si>
    <t>施策増分
※友だち</t>
    <rPh sb="0" eb="2">
      <t>シサク</t>
    </rPh>
    <rPh sb="2" eb="4">
      <t>ゾウブン</t>
    </rPh>
    <rPh sb="6" eb="7">
      <t>トモ</t>
    </rPh>
    <phoneticPr fontId="2"/>
  </si>
  <si>
    <t>友だち数</t>
    <rPh sb="0" eb="1">
      <t>トモ</t>
    </rPh>
    <rPh sb="3" eb="4">
      <t>スウ</t>
    </rPh>
    <phoneticPr fontId="2"/>
  </si>
  <si>
    <t>ターゲット数</t>
    <rPh sb="5" eb="6">
      <t>スウ</t>
    </rPh>
    <phoneticPr fontId="2"/>
  </si>
  <si>
    <t>ブロック率</t>
    <rPh sb="4" eb="5">
      <t>リツ</t>
    </rPh>
    <phoneticPr fontId="2"/>
  </si>
  <si>
    <t>友だち数_増加数</t>
    <rPh sb="0" eb="1">
      <t>トモ</t>
    </rPh>
    <rPh sb="3" eb="4">
      <t>スウ</t>
    </rPh>
    <rPh sb="5" eb="8">
      <t>ゾウカスウ</t>
    </rPh>
    <phoneticPr fontId="2"/>
  </si>
  <si>
    <t>友だち獲得単価</t>
    <rPh sb="0" eb="1">
      <t>トモ</t>
    </rPh>
    <rPh sb="3" eb="5">
      <t>カクトク</t>
    </rPh>
    <rPh sb="5" eb="7">
      <t>タンカ</t>
    </rPh>
    <phoneticPr fontId="2"/>
  </si>
  <si>
    <t>CPC想定</t>
    <rPh sb="3" eb="5">
      <t>ソウテイ</t>
    </rPh>
    <phoneticPr fontId="2"/>
  </si>
  <si>
    <t>CPA想定</t>
    <rPh sb="3" eb="5">
      <t>ソウテイ</t>
    </rPh>
    <phoneticPr fontId="2"/>
  </si>
  <si>
    <t>CVR想定</t>
    <rPh sb="3" eb="5">
      <t>ソウテイ</t>
    </rPh>
    <phoneticPr fontId="2"/>
  </si>
  <si>
    <t>--</t>
  </si>
  <si>
    <t>--</t>
    <phoneticPr fontId="2"/>
  </si>
  <si>
    <t>企画投稿数</t>
    <rPh sb="0" eb="2">
      <t>キカク</t>
    </rPh>
    <rPh sb="2" eb="5">
      <t>トウコウスウ</t>
    </rPh>
    <phoneticPr fontId="2"/>
  </si>
  <si>
    <t>企画投稿からの流入</t>
    <rPh sb="0" eb="2">
      <t>キカク</t>
    </rPh>
    <rPh sb="2" eb="4">
      <t>トウコウ</t>
    </rPh>
    <rPh sb="7" eb="9">
      <t>リュウニュウ</t>
    </rPh>
    <phoneticPr fontId="2"/>
  </si>
  <si>
    <t>想定Click数</t>
    <rPh sb="0" eb="2">
      <t>ソウテイ</t>
    </rPh>
    <rPh sb="7" eb="8">
      <t>スウ</t>
    </rPh>
    <phoneticPr fontId="2"/>
  </si>
  <si>
    <t>配信数</t>
    <rPh sb="0" eb="3">
      <t>ハイシンスウ</t>
    </rPh>
    <phoneticPr fontId="2"/>
  </si>
  <si>
    <t>従量課金</t>
    <rPh sb="0" eb="4">
      <t>ジュウリョウカキン</t>
    </rPh>
    <phoneticPr fontId="2"/>
  </si>
  <si>
    <t>コスト備考</t>
    <rPh sb="3" eb="5">
      <t>ビコウ</t>
    </rPh>
    <phoneticPr fontId="2"/>
  </si>
  <si>
    <t>　※↓現状数値</t>
    <rPh sb="3" eb="5">
      <t>ゲンジョウ</t>
    </rPh>
    <rPh sb="5" eb="7">
      <t>スウチ</t>
    </rPh>
    <phoneticPr fontId="2"/>
  </si>
  <si>
    <t>ステップ配信本数</t>
    <rPh sb="4" eb="6">
      <t>ハイシン</t>
    </rPh>
    <rPh sb="6" eb="8">
      <t>ホンスウ</t>
    </rPh>
    <phoneticPr fontId="2"/>
  </si>
  <si>
    <t>ステップ配信からの流入</t>
    <rPh sb="4" eb="6">
      <t>ハイシン</t>
    </rPh>
    <rPh sb="9" eb="11">
      <t>リュウニュウ</t>
    </rPh>
    <phoneticPr fontId="2"/>
  </si>
  <si>
    <t>WEBサイト</t>
    <phoneticPr fontId="2"/>
  </si>
  <si>
    <t>AD以外のLINE誘導</t>
    <rPh sb="2" eb="4">
      <t>イガイ</t>
    </rPh>
    <rPh sb="9" eb="11">
      <t>ユウドウ</t>
    </rPh>
    <phoneticPr fontId="2"/>
  </si>
  <si>
    <t>ADでのLP/HP→LINE</t>
    <phoneticPr fontId="2"/>
  </si>
  <si>
    <t>UU(うち広告)</t>
    <phoneticPr fontId="2"/>
  </si>
  <si>
    <t>UU全体</t>
    <rPh sb="2" eb="4">
      <t>ゼンタイ</t>
    </rPh>
    <phoneticPr fontId="2"/>
  </si>
  <si>
    <t>※①＞②で作成</t>
    <rPh sb="5" eb="7">
      <t>サクセイ</t>
    </rPh>
    <phoneticPr fontId="2"/>
  </si>
  <si>
    <t>※③＞④で作成</t>
    <rPh sb="5" eb="7">
      <t>サクセイ</t>
    </rPh>
    <phoneticPr fontId="2"/>
  </si>
  <si>
    <t>離脱防止表示率（AD）</t>
    <rPh sb="0" eb="4">
      <t>リダツボウシ</t>
    </rPh>
    <rPh sb="4" eb="7">
      <t>ヒョウジリツ</t>
    </rPh>
    <phoneticPr fontId="2"/>
  </si>
  <si>
    <t>離脱防止表示率（SEO）</t>
    <rPh sb="0" eb="4">
      <t>リダツボウシ</t>
    </rPh>
    <rPh sb="4" eb="7">
      <t>ヒョウジリツ</t>
    </rPh>
    <phoneticPr fontId="2"/>
  </si>
  <si>
    <t>開封率</t>
    <rPh sb="0" eb="3">
      <t>カイフウリツ</t>
    </rPh>
    <phoneticPr fontId="2"/>
  </si>
  <si>
    <t>クリック率</t>
    <rPh sb="4" eb="5">
      <t>リツ</t>
    </rPh>
    <phoneticPr fontId="2"/>
  </si>
  <si>
    <t>→DYM作業用</t>
    <rPh sb="4" eb="7">
      <t>サギョウヨウ</t>
    </rPh>
    <phoneticPr fontId="2"/>
  </si>
  <si>
    <t>audienceターゲ率</t>
    <rPh sb="11" eb="12">
      <t>リツ</t>
    </rPh>
    <phoneticPr fontId="2"/>
  </si>
  <si>
    <t>↓企画投稿</t>
    <rPh sb="1" eb="5">
      <t>キカクトウコウ</t>
    </rPh>
    <phoneticPr fontId="2"/>
  </si>
  <si>
    <t>↓ステップ配信</t>
    <rPh sb="5" eb="7">
      <t>ハイシン</t>
    </rPh>
    <phoneticPr fontId="2"/>
  </si>
  <si>
    <t>■従量計算式↓</t>
    <rPh sb="1" eb="3">
      <t>ジュウリョウ</t>
    </rPh>
    <rPh sb="3" eb="5">
      <t>ケイサン</t>
    </rPh>
    <rPh sb="5" eb="6">
      <t>シキ</t>
    </rPh>
    <phoneticPr fontId="2"/>
  </si>
  <si>
    <t>アカウント費</t>
    <rPh sb="5" eb="6">
      <t>ヒ</t>
    </rPh>
    <phoneticPr fontId="2"/>
  </si>
  <si>
    <t>■要件定義</t>
    <rPh sb="1" eb="5">
      <t>ヨウケンテイギ</t>
    </rPh>
    <phoneticPr fontId="2"/>
  </si>
  <si>
    <t>※コンサル</t>
    <phoneticPr fontId="2"/>
  </si>
  <si>
    <t>■成果報酬運営</t>
    <rPh sb="1" eb="5">
      <t>セイカホウシュウ</t>
    </rPh>
    <rPh sb="5" eb="7">
      <t>ウンエイ</t>
    </rPh>
    <phoneticPr fontId="2"/>
  </si>
  <si>
    <t>←上限通数拡大の際に使用する。</t>
    <rPh sb="1" eb="5">
      <t>ジョウゲンツウスウ</t>
    </rPh>
    <rPh sb="5" eb="7">
      <t>カクダイ</t>
    </rPh>
    <rPh sb="8" eb="9">
      <t>サイ</t>
    </rPh>
    <rPh sb="10" eb="12">
      <t>シヨウ</t>
    </rPh>
    <phoneticPr fontId="2"/>
  </si>
  <si>
    <t>合計CV</t>
    <rPh sb="0" eb="2">
      <t>ゴウケイ</t>
    </rPh>
    <phoneticPr fontId="2"/>
  </si>
  <si>
    <t>地点</t>
    <rPh sb="0" eb="2">
      <t>チテン</t>
    </rPh>
    <phoneticPr fontId="2"/>
  </si>
  <si>
    <t>名称</t>
    <rPh sb="0" eb="2">
      <t>メイショウ</t>
    </rPh>
    <phoneticPr fontId="2"/>
  </si>
  <si>
    <t>成果単価</t>
    <rPh sb="0" eb="2">
      <t>セイカ</t>
    </rPh>
    <rPh sb="2" eb="4">
      <t>タンカ</t>
    </rPh>
    <phoneticPr fontId="2"/>
  </si>
  <si>
    <t>コンサル費②</t>
    <rPh sb="4" eb="5">
      <t>ヒ</t>
    </rPh>
    <phoneticPr fontId="2"/>
  </si>
  <si>
    <t>■料金テーブル</t>
  </si>
  <si>
    <t>課金対象配信総数</t>
  </si>
  <si>
    <t>費用</t>
  </si>
  <si>
    <t>単価</t>
  </si>
  <si>
    <t>-</t>
  </si>
  <si>
    <t>APIツール費</t>
    <rPh sb="6" eb="7">
      <t>ヒ</t>
    </rPh>
    <phoneticPr fontId="2"/>
  </si>
  <si>
    <t>追加通数</t>
    <rPh sb="0" eb="4">
      <t>ツイカツウスウ</t>
    </rPh>
    <phoneticPr fontId="2"/>
  </si>
  <si>
    <t>想定単価</t>
    <rPh sb="0" eb="2">
      <t>ソウテイ</t>
    </rPh>
    <rPh sb="2" eb="4">
      <t>タンカ</t>
    </rPh>
    <phoneticPr fontId="2"/>
  </si>
  <si>
    <t>CVR</t>
    <phoneticPr fontId="2"/>
  </si>
  <si>
    <t>■コンサル運営</t>
    <phoneticPr fontId="2"/>
  </si>
  <si>
    <t>通知メッセージ</t>
    <rPh sb="0" eb="2">
      <t>ツウチ</t>
    </rPh>
    <phoneticPr fontId="2"/>
  </si>
  <si>
    <t>総計コスト</t>
    <rPh sb="0" eb="2">
      <t>ソウケイ</t>
    </rPh>
    <phoneticPr fontId="2"/>
  </si>
  <si>
    <t>想定顧客リスト</t>
    <rPh sb="0" eb="2">
      <t>ソウテイ</t>
    </rPh>
    <rPh sb="2" eb="4">
      <t>コキャク</t>
    </rPh>
    <phoneticPr fontId="2"/>
  </si>
  <si>
    <t>↓調整可能です！</t>
    <rPh sb="1" eb="5">
      <t>チョウセイカノウ</t>
    </rPh>
    <phoneticPr fontId="2"/>
  </si>
  <si>
    <t>DYM実装前</t>
    <rPh sb="3" eb="5">
      <t>ジッソウ</t>
    </rPh>
    <rPh sb="5" eb="6">
      <t>マエ</t>
    </rPh>
    <phoneticPr fontId="2"/>
  </si>
  <si>
    <t>DYM実装後（③か月）</t>
    <rPh sb="3" eb="6">
      <t>ジッソウゴ</t>
    </rPh>
    <rPh sb="9" eb="10">
      <t>ゲツ</t>
    </rPh>
    <phoneticPr fontId="2"/>
  </si>
  <si>
    <t>DYM実装後（⑥か月）</t>
    <rPh sb="3" eb="6">
      <t>ジッソウゴ</t>
    </rPh>
    <rPh sb="9" eb="10">
      <t>ゲツ</t>
    </rPh>
    <phoneticPr fontId="2"/>
  </si>
  <si>
    <t>友だち数想定</t>
    <rPh sb="0" eb="1">
      <t>トモ</t>
    </rPh>
    <rPh sb="3" eb="4">
      <t>スウ</t>
    </rPh>
    <rPh sb="4" eb="6">
      <t>ソウテイ</t>
    </rPh>
    <phoneticPr fontId="2"/>
  </si>
  <si>
    <t>ブロック率想定</t>
    <rPh sb="4" eb="5">
      <t>リツ</t>
    </rPh>
    <rPh sb="5" eb="7">
      <t>ソウテイ</t>
    </rPh>
    <phoneticPr fontId="2"/>
  </si>
  <si>
    <t>友だち数（アクティブ）想定</t>
    <rPh sb="0" eb="1">
      <t>トモ</t>
    </rPh>
    <rPh sb="3" eb="4">
      <t>スウ</t>
    </rPh>
    <rPh sb="11" eb="13">
      <t>ソウテイ</t>
    </rPh>
    <phoneticPr fontId="2"/>
  </si>
  <si>
    <t>比較項目</t>
    <rPh sb="0" eb="2">
      <t>ヒカク</t>
    </rPh>
    <rPh sb="2" eb="4">
      <t>コウモク</t>
    </rPh>
    <phoneticPr fontId="2"/>
  </si>
  <si>
    <t>メッセ通数</t>
    <rPh sb="3" eb="5">
      <t>ツウスウ</t>
    </rPh>
    <phoneticPr fontId="2"/>
  </si>
  <si>
    <t>サイト流入数（LINEから）</t>
    <rPh sb="3" eb="6">
      <t>リュウニュウスウ</t>
    </rPh>
    <phoneticPr fontId="2"/>
  </si>
  <si>
    <t>友だち数_増加施策</t>
    <rPh sb="0" eb="1">
      <t>トモ</t>
    </rPh>
    <rPh sb="3" eb="4">
      <t>スウ</t>
    </rPh>
    <rPh sb="5" eb="7">
      <t>ゾウカ</t>
    </rPh>
    <rPh sb="7" eb="9">
      <t>シサク</t>
    </rPh>
    <phoneticPr fontId="2"/>
  </si>
  <si>
    <t>配信効率改善施策</t>
    <rPh sb="0" eb="2">
      <t>ハイシン</t>
    </rPh>
    <rPh sb="2" eb="4">
      <t>コウリツ</t>
    </rPh>
    <rPh sb="4" eb="8">
      <t>カイゼンシサク</t>
    </rPh>
    <phoneticPr fontId="2"/>
  </si>
  <si>
    <t>&gt; 通常メッセ</t>
    <rPh sb="2" eb="4">
      <t>ツウジョウ</t>
    </rPh>
    <phoneticPr fontId="2"/>
  </si>
  <si>
    <t>CV率</t>
    <rPh sb="2" eb="3">
      <t>リツ</t>
    </rPh>
    <phoneticPr fontId="2"/>
  </si>
  <si>
    <t>※具体的なセグメントの仕方、企画により変動</t>
    <rPh sb="1" eb="4">
      <t>グタイテキ</t>
    </rPh>
    <rPh sb="11" eb="13">
      <t>シカタ</t>
    </rPh>
    <rPh sb="14" eb="16">
      <t>キカク</t>
    </rPh>
    <rPh sb="19" eb="21">
      <t>ヘンドウ</t>
    </rPh>
    <phoneticPr fontId="2"/>
  </si>
  <si>
    <t>掲載率</t>
    <rPh sb="0" eb="2">
      <t>ケイサイ</t>
    </rPh>
    <rPh sb="2" eb="3">
      <t>リツ</t>
    </rPh>
    <phoneticPr fontId="2"/>
  </si>
  <si>
    <t>※サイト構成、要望により変動</t>
    <rPh sb="4" eb="6">
      <t>コウセイ</t>
    </rPh>
    <rPh sb="7" eb="9">
      <t>ヨウボウ</t>
    </rPh>
    <rPh sb="12" eb="14">
      <t>ヘンドウ</t>
    </rPh>
    <phoneticPr fontId="2"/>
  </si>
  <si>
    <t>離脱防止 ※</t>
    <rPh sb="0" eb="2">
      <t>リダツ</t>
    </rPh>
    <rPh sb="2" eb="4">
      <t>ボウシ</t>
    </rPh>
    <phoneticPr fontId="2"/>
  </si>
  <si>
    <t>サイト→LINEの導線の改善 ※</t>
    <rPh sb="9" eb="11">
      <t>ドウセン</t>
    </rPh>
    <rPh sb="12" eb="14">
      <t>カイゼン</t>
    </rPh>
    <phoneticPr fontId="2"/>
  </si>
  <si>
    <t>追加率</t>
    <rPh sb="0" eb="2">
      <t>ツイカ</t>
    </rPh>
    <rPh sb="2" eb="3">
      <t>リツ</t>
    </rPh>
    <phoneticPr fontId="2"/>
  </si>
  <si>
    <t>サンクスページ誘導 ※</t>
    <rPh sb="7" eb="9">
      <t>ユウドウ</t>
    </rPh>
    <phoneticPr fontId="2"/>
  </si>
  <si>
    <t>掲載数</t>
    <rPh sb="0" eb="2">
      <t>ケイサイ</t>
    </rPh>
    <rPh sb="2" eb="3">
      <t>スウ</t>
    </rPh>
    <phoneticPr fontId="2"/>
  </si>
  <si>
    <t>※カウントしない</t>
    <phoneticPr fontId="2"/>
  </si>
  <si>
    <t>ただCVが増えるわけではない</t>
    <rPh sb="5" eb="6">
      <t>フ</t>
    </rPh>
    <phoneticPr fontId="2"/>
  </si>
  <si>
    <t>通知メッセの改善 ※</t>
    <rPh sb="0" eb="2">
      <t>ツウチ</t>
    </rPh>
    <rPh sb="6" eb="8">
      <t>カイゼン</t>
    </rPh>
    <phoneticPr fontId="2"/>
  </si>
  <si>
    <t>&gt; その他（リッチメニュー）</t>
    <rPh sb="4" eb="5">
      <t>タ</t>
    </rPh>
    <phoneticPr fontId="2"/>
  </si>
  <si>
    <t>&gt;挨拶メッセ</t>
    <phoneticPr fontId="2"/>
  </si>
  <si>
    <t>&gt;挨拶メッセ（アンケート回答率）</t>
    <rPh sb="12" eb="15">
      <t>カイトウリツ</t>
    </rPh>
    <phoneticPr fontId="2"/>
  </si>
  <si>
    <t>回答率</t>
    <rPh sb="0" eb="3">
      <t>カイトウリツ</t>
    </rPh>
    <phoneticPr fontId="2"/>
  </si>
  <si>
    <t>&gt; 追いメッセ（ステップ、シナリオ）</t>
    <rPh sb="2" eb="3">
      <t>オ</t>
    </rPh>
    <phoneticPr fontId="2"/>
  </si>
  <si>
    <t>課金</t>
    <rPh sb="0" eb="2">
      <t>カキン</t>
    </rPh>
    <phoneticPr fontId="2"/>
  </si>
  <si>
    <t>企画投稿（セグメントor一斉配信）</t>
    <rPh sb="0" eb="2">
      <t>キカク</t>
    </rPh>
    <rPh sb="2" eb="4">
      <t>トウコウ</t>
    </rPh>
    <rPh sb="12" eb="14">
      <t>イッセイ</t>
    </rPh>
    <rPh sb="14" eb="16">
      <t>ハイシン</t>
    </rPh>
    <phoneticPr fontId="2"/>
  </si>
  <si>
    <t>追いメッセージ（ステップ、シナリオ）</t>
    <rPh sb="0" eb="1">
      <t>オ</t>
    </rPh>
    <phoneticPr fontId="2"/>
  </si>
  <si>
    <t>VOOM投稿　※同時進行の場合が多い</t>
    <rPh sb="4" eb="6">
      <t>トウコウ</t>
    </rPh>
    <rPh sb="8" eb="10">
      <t>ドウジ</t>
    </rPh>
    <rPh sb="10" eb="12">
      <t>シンコウ</t>
    </rPh>
    <rPh sb="13" eb="15">
      <t>バアイ</t>
    </rPh>
    <rPh sb="16" eb="17">
      <t>オオ</t>
    </rPh>
    <phoneticPr fontId="2"/>
  </si>
  <si>
    <t>通知メッセージ（1通7円くらいの想定）　※機能導入が必要　※ツール費：月8万～</t>
    <rPh sb="0" eb="2">
      <t>ツウチ</t>
    </rPh>
    <rPh sb="9" eb="10">
      <t>ツウ</t>
    </rPh>
    <rPh sb="11" eb="12">
      <t>エン</t>
    </rPh>
    <rPh sb="16" eb="18">
      <t>ソウテイ</t>
    </rPh>
    <rPh sb="21" eb="23">
      <t>キノウ</t>
    </rPh>
    <rPh sb="23" eb="25">
      <t>ドウニュウ</t>
    </rPh>
    <rPh sb="26" eb="28">
      <t>ヒツヨウ</t>
    </rPh>
    <rPh sb="33" eb="34">
      <t>ヒ</t>
    </rPh>
    <rPh sb="35" eb="36">
      <t>ツキ</t>
    </rPh>
    <rPh sb="37" eb="38">
      <t>マン</t>
    </rPh>
    <phoneticPr fontId="2"/>
  </si>
  <si>
    <t>非課金</t>
    <rPh sb="0" eb="3">
      <t>ヒカキン</t>
    </rPh>
    <phoneticPr fontId="2"/>
  </si>
  <si>
    <t>自動の即時応答</t>
    <rPh sb="0" eb="2">
      <t>ジドウ</t>
    </rPh>
    <rPh sb="3" eb="5">
      <t>ソクジ</t>
    </rPh>
    <rPh sb="5" eb="7">
      <t>オウトウ</t>
    </rPh>
    <phoneticPr fontId="2"/>
  </si>
  <si>
    <t>個別チャット対応</t>
    <rPh sb="0" eb="2">
      <t>コベツ</t>
    </rPh>
    <rPh sb="6" eb="8">
      <t>タイオウ</t>
    </rPh>
    <phoneticPr fontId="2"/>
  </si>
  <si>
    <t>あいさつメッセージ</t>
    <phoneticPr fontId="2"/>
  </si>
  <si>
    <t>（リッチメニュー）</t>
    <phoneticPr fontId="2"/>
  </si>
  <si>
    <t>階層別</t>
    <rPh sb="0" eb="3">
      <t>カイソウベツ</t>
    </rPh>
    <phoneticPr fontId="2"/>
  </si>
  <si>
    <t>広告比率等を参考に</t>
    <rPh sb="0" eb="5">
      <t>コウコクヒリツトウ</t>
    </rPh>
    <rPh sb="6" eb="8">
      <t>サンコウ</t>
    </rPh>
    <phoneticPr fontId="2"/>
  </si>
  <si>
    <t>通知メッセージ_CV</t>
    <rPh sb="0" eb="2">
      <t>ツウチ</t>
    </rPh>
    <phoneticPr fontId="2"/>
  </si>
  <si>
    <t>通知メッセージ_既存リスト</t>
    <rPh sb="0" eb="2">
      <t>ツウチ</t>
    </rPh>
    <rPh sb="8" eb="10">
      <t>キゾン</t>
    </rPh>
    <phoneticPr fontId="2"/>
  </si>
  <si>
    <t>サンクスLINE誘導</t>
    <rPh sb="8" eb="10">
      <t>ユウドウ</t>
    </rPh>
    <phoneticPr fontId="2"/>
  </si>
  <si>
    <t>成果報酬_費用発生</t>
    <rPh sb="0" eb="4">
      <t>セイカホウシュウ</t>
    </rPh>
    <rPh sb="5" eb="7">
      <t>ヒヨウ</t>
    </rPh>
    <rPh sb="7" eb="9">
      <t>ハッセイ</t>
    </rPh>
    <phoneticPr fontId="2"/>
  </si>
  <si>
    <t>CV/流入数で計算、0.3%〜1%とかで推移。</t>
    <rPh sb="3" eb="6">
      <t>リュウニュウスウ</t>
    </rPh>
    <rPh sb="7" eb="9">
      <t>ケイサン</t>
    </rPh>
    <rPh sb="20" eb="22">
      <t>スイイ</t>
    </rPh>
    <phoneticPr fontId="2"/>
  </si>
  <si>
    <t>新規向け_</t>
    <rPh sb="0" eb="3">
      <t>シンキム</t>
    </rPh>
    <phoneticPr fontId="2"/>
  </si>
  <si>
    <t>既存向け_休眠顧客向け</t>
    <rPh sb="0" eb="3">
      <t>キゾンム</t>
    </rPh>
    <rPh sb="5" eb="10">
      <t>キュウミンコキャクム</t>
    </rPh>
    <phoneticPr fontId="2"/>
  </si>
  <si>
    <t>4‐6か月後係数</t>
    <rPh sb="1" eb="6">
      <t>-6カゲツゴ</t>
    </rPh>
    <rPh sb="6" eb="8">
      <t>ケイスウ</t>
    </rPh>
    <phoneticPr fontId="2"/>
  </si>
  <si>
    <t>CPFの単価設定</t>
    <rPh sb="4" eb="8">
      <t>タンカセッテイ</t>
    </rPh>
    <phoneticPr fontId="2"/>
  </si>
  <si>
    <t>CPFコスト / CPFの単価設定 ※ブロック率が上がりやすい</t>
    <rPh sb="13" eb="15">
      <t>タンカ</t>
    </rPh>
    <rPh sb="15" eb="17">
      <t>セッテイ</t>
    </rPh>
    <rPh sb="23" eb="24">
      <t>リツ</t>
    </rPh>
    <rPh sb="25" eb="26">
      <t>ア</t>
    </rPh>
    <phoneticPr fontId="2"/>
  </si>
  <si>
    <t>サンクス到達*情報一致率(70%前後)*実追加率</t>
    <rPh sb="4" eb="6">
      <t>トウタツ</t>
    </rPh>
    <rPh sb="7" eb="12">
      <t>ジョウホウイッチリツ</t>
    </rPh>
    <rPh sb="16" eb="18">
      <t>ゼンゴ</t>
    </rPh>
    <rPh sb="20" eb="24">
      <t>ジツツイカリツ</t>
    </rPh>
    <phoneticPr fontId="2"/>
  </si>
  <si>
    <t>20%くらいの調整は可能です。</t>
    <rPh sb="7" eb="9">
      <t>チョウセイ</t>
    </rPh>
    <rPh sb="10" eb="12">
      <t>カノウ</t>
    </rPh>
    <phoneticPr fontId="2"/>
  </si>
  <si>
    <t>CV（別施策）2</t>
    <phoneticPr fontId="2"/>
  </si>
  <si>
    <t>特典の強さ</t>
    <rPh sb="0" eb="2">
      <t>トクテン</t>
    </rPh>
    <rPh sb="3" eb="4">
      <t>ツヨ</t>
    </rPh>
    <phoneticPr fontId="2"/>
  </si>
  <si>
    <t>想定の係数（反応率）</t>
    <rPh sb="0" eb="2">
      <t>ソウテイ</t>
    </rPh>
    <rPh sb="3" eb="5">
      <t>ケイスウ</t>
    </rPh>
    <rPh sb="6" eb="9">
      <t>ハンノウリツ</t>
    </rPh>
    <phoneticPr fontId="2"/>
  </si>
  <si>
    <t>機能拡張</t>
    <rPh sb="0" eb="4">
      <t>キノウカクチョウ</t>
    </rPh>
    <phoneticPr fontId="2"/>
  </si>
  <si>
    <t>通知メッセージ：要相談、（）</t>
    <rPh sb="0" eb="2">
      <t>ツウチ</t>
    </rPh>
    <rPh sb="8" eb="11">
      <t>ヨウソウダン</t>
    </rPh>
    <phoneticPr fontId="2"/>
  </si>
  <si>
    <t>コンサル費用ショット（開発、初期費用）</t>
    <rPh sb="4" eb="6">
      <t>ヒヨウ</t>
    </rPh>
    <rPh sb="11" eb="13">
      <t>カイハツ</t>
    </rPh>
    <rPh sb="14" eb="18">
      <t>ショキヒヨウ</t>
    </rPh>
    <phoneticPr fontId="2"/>
  </si>
  <si>
    <t>プラン単価</t>
    <rPh sb="3" eb="5">
      <t>タンカ</t>
    </rPh>
    <phoneticPr fontId="2"/>
  </si>
  <si>
    <t>コスト想定(固定費)</t>
    <rPh sb="3" eb="5">
      <t>ソウテイ</t>
    </rPh>
    <rPh sb="6" eb="9">
      <t>コテイヒ</t>
    </rPh>
    <phoneticPr fontId="2"/>
  </si>
  <si>
    <t>※ターゲット数の増加分が通常の増加分を超えないように調整する</t>
    <rPh sb="6" eb="7">
      <t>スウ</t>
    </rPh>
    <rPh sb="8" eb="11">
      <t>ゾウカブン</t>
    </rPh>
    <rPh sb="12" eb="14">
      <t>ツウジョウ</t>
    </rPh>
    <rPh sb="15" eb="18">
      <t>ゾウカブン</t>
    </rPh>
    <rPh sb="19" eb="20">
      <t>コ</t>
    </rPh>
    <rPh sb="26" eb="28">
      <t>チョウセイ</t>
    </rPh>
    <phoneticPr fontId="2"/>
  </si>
  <si>
    <t>クリエイティブ強さ</t>
    <rPh sb="7" eb="8">
      <t>ツヨ</t>
    </rPh>
    <phoneticPr fontId="2"/>
  </si>
  <si>
    <t>知名度強さ</t>
    <rPh sb="0" eb="3">
      <t>チメイド</t>
    </rPh>
    <rPh sb="3" eb="4">
      <t>ツヨ</t>
    </rPh>
    <phoneticPr fontId="2"/>
  </si>
  <si>
    <t>動線の強さ</t>
    <rPh sb="0" eb="2">
      <t>ドウセン</t>
    </rPh>
    <rPh sb="3" eb="4">
      <t>ツヨ</t>
    </rPh>
    <phoneticPr fontId="2"/>
  </si>
  <si>
    <t>母数</t>
    <rPh sb="0" eb="2">
      <t>ボスウ</t>
    </rPh>
    <phoneticPr fontId="2"/>
  </si>
  <si>
    <t>誘導率</t>
    <rPh sb="0" eb="3">
      <t>ユウドウリツ</t>
    </rPh>
    <phoneticPr fontId="2"/>
  </si>
  <si>
    <t>想定CVR</t>
    <rPh sb="0" eb="2">
      <t>ソウテイ</t>
    </rPh>
    <phoneticPr fontId="2"/>
  </si>
  <si>
    <t>コスト想定 ※月額（成果報酬プラン）</t>
    <rPh sb="3" eb="5">
      <t>ソウテイ</t>
    </rPh>
    <rPh sb="7" eb="9">
      <t>ゲツガク</t>
    </rPh>
    <rPh sb="10" eb="14">
      <t>セイカホウシュウ</t>
    </rPh>
    <phoneticPr fontId="2"/>
  </si>
  <si>
    <t>コスト想定 ※月額（固定プラン）</t>
    <rPh sb="3" eb="5">
      <t>ソウテイ</t>
    </rPh>
    <rPh sb="7" eb="9">
      <t>ゲツガク</t>
    </rPh>
    <rPh sb="10" eb="12">
      <t>コテイ</t>
    </rPh>
    <phoneticPr fontId="2"/>
  </si>
  <si>
    <t>成果報酬プラン_CPA（単純計算）</t>
    <rPh sb="0" eb="4">
      <t>セイカホウシュウ</t>
    </rPh>
    <rPh sb="12" eb="16">
      <t>タンジュンケイサン</t>
    </rPh>
    <phoneticPr fontId="2"/>
  </si>
  <si>
    <t>固定費プラン_CPA（単純計算）</t>
    <rPh sb="0" eb="3">
      <t>コテイヒ</t>
    </rPh>
    <rPh sb="11" eb="15">
      <t>タンジュンケイサン</t>
    </rPh>
    <phoneticPr fontId="2"/>
  </si>
  <si>
    <t>備考単価</t>
    <rPh sb="0" eb="2">
      <t>ビコウ</t>
    </rPh>
    <rPh sb="2" eb="4">
      <t>タンカ</t>
    </rPh>
    <phoneticPr fontId="2"/>
  </si>
  <si>
    <t>→通数減らすように係数：</t>
    <rPh sb="1" eb="3">
      <t>ツウスウ</t>
    </rPh>
    <rPh sb="3" eb="4">
      <t>ヘ</t>
    </rPh>
    <rPh sb="9" eb="11">
      <t>ケイスウ</t>
    </rPh>
    <phoneticPr fontId="2"/>
  </si>
  <si>
    <t>従量課金対象単価</t>
    <rPh sb="0" eb="4">
      <t>ジュウリョウカキン</t>
    </rPh>
    <rPh sb="4" eb="6">
      <t>タイショウ</t>
    </rPh>
    <rPh sb="6" eb="8">
      <t>タンカ</t>
    </rPh>
    <phoneticPr fontId="2"/>
  </si>
  <si>
    <t>想定CPC（LINEOA施策）_成果報酬プラン</t>
    <rPh sb="0" eb="2">
      <t>ソウテイ</t>
    </rPh>
    <rPh sb="12" eb="14">
      <t>シサク</t>
    </rPh>
    <rPh sb="16" eb="20">
      <t>セイカホウシュウ</t>
    </rPh>
    <phoneticPr fontId="2"/>
  </si>
  <si>
    <t>想定CPC（LINEOA施策）_固定運用プラン</t>
    <rPh sb="0" eb="2">
      <t>ソウテイ</t>
    </rPh>
    <rPh sb="12" eb="14">
      <t>シサク</t>
    </rPh>
    <rPh sb="16" eb="18">
      <t>コテイ</t>
    </rPh>
    <rPh sb="18" eb="20">
      <t>ウンヨウ</t>
    </rPh>
    <phoneticPr fontId="2"/>
  </si>
  <si>
    <t>備考_合計コスト(従量課金) ※アカウント費用</t>
    <rPh sb="0" eb="2">
      <t>ビコウ</t>
    </rPh>
    <rPh sb="3" eb="5">
      <t>ゴウケイ</t>
    </rPh>
    <rPh sb="9" eb="13">
      <t>ジュウリョウカキン</t>
    </rPh>
    <rPh sb="21" eb="23">
      <t>ヒヨウ</t>
    </rPh>
    <phoneticPr fontId="2"/>
  </si>
  <si>
    <t>現状数値</t>
    <rPh sb="0" eb="4">
      <t>ゲンジョウスウチ</t>
    </rPh>
    <phoneticPr fontId="2"/>
  </si>
  <si>
    <t>初期</t>
    <rPh sb="0" eb="2">
      <t>ショキ</t>
    </rPh>
    <phoneticPr fontId="2"/>
  </si>
  <si>
    <t>CV（別施策） ※想定</t>
    <rPh sb="3" eb="4">
      <t>ベツ</t>
    </rPh>
    <rPh sb="4" eb="6">
      <t>シサク</t>
    </rPh>
    <rPh sb="9" eb="11">
      <t>ソウテイ</t>
    </rPh>
    <phoneticPr fontId="2"/>
  </si>
  <si>
    <t>コスト総計</t>
    <rPh sb="3" eb="5">
      <t>ソウケイ</t>
    </rPh>
    <phoneticPr fontId="2"/>
  </si>
  <si>
    <t>マネタイズ（イメージ）</t>
    <phoneticPr fontId="2"/>
  </si>
  <si>
    <t>リード（イメージ）</t>
    <phoneticPr fontId="2"/>
  </si>
  <si>
    <t>LINEプレスリリースの可否</t>
    <rPh sb="12" eb="14">
      <t>カヒ</t>
    </rPh>
    <phoneticPr fontId="2"/>
  </si>
  <si>
    <t>※メルマガ、他SNS等でのリリースが出来るか</t>
    <rPh sb="6" eb="7">
      <t>ホカ</t>
    </rPh>
    <rPh sb="10" eb="11">
      <t>トウ</t>
    </rPh>
    <rPh sb="18" eb="20">
      <t>デキ</t>
    </rPh>
    <phoneticPr fontId="2"/>
  </si>
  <si>
    <t>※これより→はPDFにするときに消すようにする（範囲外に）</t>
    <rPh sb="16" eb="17">
      <t>ケ</t>
    </rPh>
    <rPh sb="24" eb="27">
      <t>ハンイガイ</t>
    </rPh>
    <phoneticPr fontId="2"/>
  </si>
  <si>
    <t>KaiU表示率</t>
    <rPh sb="4" eb="6">
      <t>ヒョウジ</t>
    </rPh>
    <rPh sb="6" eb="7">
      <t>リツ</t>
    </rPh>
    <phoneticPr fontId="2"/>
  </si>
  <si>
    <t>（サイト固定リンク）</t>
    <rPh sb="4" eb="6">
      <t>コテイ</t>
    </rPh>
    <phoneticPr fontId="2"/>
  </si>
  <si>
    <t>（サイト固定リンク）</t>
    <phoneticPr fontId="2"/>
  </si>
  <si>
    <t>Ver.</t>
    <phoneticPr fontId="2"/>
  </si>
  <si>
    <t>サイトUU</t>
  </si>
  <si>
    <t>うち広告</t>
  </si>
  <si>
    <t>応募（サイト・仮に）</t>
  </si>
  <si>
    <t>1か月目</t>
  </si>
  <si>
    <t>2か月目</t>
  </si>
  <si>
    <t>3か月目</t>
  </si>
  <si>
    <t>4か月目</t>
  </si>
  <si>
    <t>5か月目</t>
  </si>
  <si>
    <t>6か月目</t>
  </si>
  <si>
    <t>求人サイトの月間UU 8,947（与件）。6か月同じ</t>
  </si>
  <si>
    <t>離脱防止ポップアップ</t>
  </si>
  <si>
    <t>離脱防止ポップアップ＝UU×表示65%×クリック12.5%×追加12.5%（定義テキストの係数）</t>
  </si>
  <si>
    <t>サンクスLINE誘導</t>
  </si>
  <si>
    <t>サンクスLINE誘導：初期15万円・月3万円〜</t>
  </si>
  <si>
    <t>アカウント費：FMTの式（開設3万円）</t>
  </si>
  <si>
    <t>CV数（+LINEOA施策）</t>
  </si>
  <si>
    <t>新規応募</t>
  </si>
  <si>
    <t>再応募</t>
  </si>
  <si>
    <t>サイトからの応募は与件に無いので、仮にUUの1.0%（月89件・資料と同じ）</t>
  </si>
  <si>
    <t>サンクスLINE誘導＝応募×遷移80%×追加40%（資料と同じ・定義テキストの係数）</t>
  </si>
  <si>
    <t>ブロック率：1か月目（E27）から、2か月目以降は前の月×1.025（式）</t>
  </si>
  <si>
    <t>企画配信 月4回（週1回。次回イベントの募集・会場の案内）</t>
  </si>
  <si>
    <t>LINE運用（運用代行・効率改善）</t>
  </si>
  <si>
    <t>LINE運用：資料の金額（初期構築10万円・月10万円）</t>
  </si>
  <si>
    <t>CV①_新規応募</t>
  </si>
  <si>
    <t>CV③_再応募</t>
  </si>
  <si>
    <t>株式会社横浜シミズ御中_LINEOA施策提案【SIM】（サイトのLINEボタン＋離脱防止＋サンクスLINE誘導）</t>
  </si>
  <si>
    <t>CV①新規応募：サイトのLINEボタン・離脱防止で友だちになった方（応募前）が、配信から応募した数。サンクスLINE誘導で友だちになった方は応募済みなので、新規応募には数えない</t>
  </si>
  <si>
    <t>サイトのLINEボタン（UUの0.5%・FMTの係数）＋離脱防止ポップアップ＋サンクスLINE誘導</t>
  </si>
  <si>
    <t>ステップ配信 4通（あいさつメッセージの後、友だち追加から14日以内）</t>
  </si>
  <si>
    <t>新規応募：サイトのLINEボタン・離脱防止で友だちになった方が、企画配信・ステップ配信から応募した数</t>
  </si>
  <si>
    <t>再応募：一度勤務した方が、次回イベントの募集から勤務希望を出した数（応募→勤務を経てからなので3か月目から）</t>
  </si>
  <si>
    <t>離脱防止ポップアップ：初期1.5万円・月3万円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</si>
</sst>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%"/>
  </numFmts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b/>
      <sz val="11"/>
      <color theme="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theme="0" tint="-0.34998626667073579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1"/>
      <color theme="2" tint="-0.499984740745262"/>
      <name val="メイリオ"/>
      <family val="3"/>
      <charset val="128"/>
    </font>
    <font>
      <b/>
      <sz val="20"/>
      <color theme="1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2"/>
      <color rgb="FF000000"/>
      <name val="メイリオ"/>
      <family val="3"/>
      <charset val="128"/>
    </font>
    <font>
      <sz val="12"/>
      <name val="Arial"/>
      <family val="2"/>
    </font>
    <font>
      <sz val="12"/>
      <color rgb="FFFF0000"/>
      <name val="メイリオ"/>
      <family val="3"/>
      <charset val="128"/>
    </font>
    <font>
      <b/>
      <sz val="12"/>
      <color rgb="FF000000"/>
      <name val="メイリオ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2" tint="-0.749992370372631"/>
      <name val="メイリオ"/>
      <family val="3"/>
      <charset val="128"/>
    </font>
    <font>
      <sz val="11"/>
      <color theme="0" tint="-0.249977111117893"/>
      <name val="メイリオ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right" vertical="center"/>
    </xf>
    <xf numFmtId="38" fontId="6" fillId="0" borderId="1" xfId="1" applyFont="1" applyBorder="1">
      <alignment vertical="center"/>
    </xf>
    <xf numFmtId="0" fontId="6" fillId="9" borderId="1" xfId="0" applyFont="1" applyFill="1" applyBorder="1">
      <alignment vertical="center"/>
    </xf>
    <xf numFmtId="38" fontId="6" fillId="9" borderId="1" xfId="1" applyFont="1" applyFill="1" applyBorder="1">
      <alignment vertical="center"/>
    </xf>
    <xf numFmtId="0" fontId="8" fillId="8" borderId="1" xfId="0" applyFont="1" applyFill="1" applyBorder="1">
      <alignment vertical="center"/>
    </xf>
    <xf numFmtId="0" fontId="7" fillId="9" borderId="1" xfId="0" quotePrefix="1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6" fillId="0" borderId="1" xfId="0" quotePrefix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10" fontId="6" fillId="0" borderId="0" xfId="3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6" fontId="6" fillId="0" borderId="0" xfId="3" applyNumberFormat="1" applyFont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>
      <alignment vertical="center"/>
    </xf>
    <xf numFmtId="6" fontId="6" fillId="0" borderId="1" xfId="0" applyNumberFormat="1" applyFont="1" applyBorder="1">
      <alignment vertical="center"/>
    </xf>
    <xf numFmtId="6" fontId="6" fillId="0" borderId="1" xfId="2" applyFont="1" applyBorder="1">
      <alignment vertical="center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6" fontId="14" fillId="0" borderId="1" xfId="2" applyFont="1" applyBorder="1">
      <alignment vertical="center"/>
    </xf>
    <xf numFmtId="10" fontId="6" fillId="0" borderId="1" xfId="3" applyNumberFormat="1" applyFont="1" applyBorder="1">
      <alignment vertical="center"/>
    </xf>
    <xf numFmtId="6" fontId="8" fillId="0" borderId="1" xfId="2" applyFont="1" applyBorder="1" applyAlignment="1">
      <alignment horizontal="center" vertical="center"/>
    </xf>
    <xf numFmtId="3" fontId="6" fillId="0" borderId="0" xfId="0" applyNumberFormat="1" applyFont="1">
      <alignment vertical="center"/>
    </xf>
    <xf numFmtId="0" fontId="11" fillId="0" borderId="0" xfId="0" applyFont="1">
      <alignment vertical="center"/>
    </xf>
    <xf numFmtId="55" fontId="5" fillId="3" borderId="1" xfId="0" applyNumberFormat="1" applyFont="1" applyFill="1" applyBorder="1" applyAlignment="1">
      <alignment horizontal="center" vertical="center"/>
    </xf>
    <xf numFmtId="6" fontId="6" fillId="0" borderId="0" xfId="2" applyFont="1" applyBorder="1">
      <alignment vertical="center"/>
    </xf>
    <xf numFmtId="0" fontId="8" fillId="0" borderId="1" xfId="0" quotePrefix="1" applyFont="1" applyBorder="1" applyAlignment="1">
      <alignment horizontal="center" vertical="center"/>
    </xf>
    <xf numFmtId="6" fontId="6" fillId="0" borderId="1" xfId="2" quotePrefix="1" applyFont="1" applyBorder="1">
      <alignment vertical="center"/>
    </xf>
    <xf numFmtId="6" fontId="6" fillId="0" borderId="1" xfId="3" applyNumberFormat="1" applyFont="1" applyBorder="1">
      <alignment vertical="center"/>
    </xf>
    <xf numFmtId="38" fontId="11" fillId="0" borderId="0" xfId="1" applyFont="1">
      <alignment vertical="center"/>
    </xf>
    <xf numFmtId="3" fontId="17" fillId="12" borderId="7" xfId="0" applyNumberFormat="1" applyFont="1" applyFill="1" applyBorder="1" applyAlignment="1">
      <alignment horizontal="center" vertical="center" wrapText="1" readingOrder="1"/>
    </xf>
    <xf numFmtId="3" fontId="17" fillId="0" borderId="7" xfId="0" applyNumberFormat="1" applyFont="1" applyBorder="1" applyAlignment="1">
      <alignment horizontal="center" vertical="center" wrapText="1" readingOrder="1"/>
    </xf>
    <xf numFmtId="0" fontId="17" fillId="12" borderId="7" xfId="0" applyFont="1" applyFill="1" applyBorder="1" applyAlignment="1">
      <alignment horizontal="right" vertical="center" wrapText="1" readingOrder="1"/>
    </xf>
    <xf numFmtId="0" fontId="17" fillId="0" borderId="7" xfId="0" applyFont="1" applyBorder="1" applyAlignment="1">
      <alignment horizontal="right" vertical="center" wrapText="1" readingOrder="1"/>
    </xf>
    <xf numFmtId="3" fontId="17" fillId="0" borderId="7" xfId="0" applyNumberFormat="1" applyFont="1" applyBorder="1" applyAlignment="1">
      <alignment horizontal="right" vertical="center" wrapText="1" readingOrder="1"/>
    </xf>
    <xf numFmtId="10" fontId="17" fillId="0" borderId="7" xfId="0" applyNumberFormat="1" applyFont="1" applyBorder="1" applyAlignment="1">
      <alignment horizontal="right" vertical="center" wrapText="1" readingOrder="1"/>
    </xf>
    <xf numFmtId="0" fontId="19" fillId="12" borderId="7" xfId="0" applyFont="1" applyFill="1" applyBorder="1" applyAlignment="1">
      <alignment horizontal="right" vertical="center" wrapText="1" readingOrder="1"/>
    </xf>
    <xf numFmtId="3" fontId="19" fillId="0" borderId="7" xfId="0" applyNumberFormat="1" applyFont="1" applyBorder="1" applyAlignment="1">
      <alignment horizontal="right" vertical="center" wrapText="1" readingOrder="1"/>
    </xf>
    <xf numFmtId="3" fontId="20" fillId="0" borderId="7" xfId="0" applyNumberFormat="1" applyFont="1" applyBorder="1" applyAlignment="1">
      <alignment horizontal="right" vertical="center" wrapText="1" readingOrder="1"/>
    </xf>
    <xf numFmtId="6" fontId="6" fillId="10" borderId="1" xfId="2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12" fillId="8" borderId="0" xfId="0" applyFont="1" applyFill="1">
      <alignment vertical="center"/>
    </xf>
    <xf numFmtId="0" fontId="15" fillId="0" borderId="0" xfId="0" quotePrefix="1" applyFont="1">
      <alignment vertical="center"/>
    </xf>
    <xf numFmtId="0" fontId="18" fillId="0" borderId="7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10" borderId="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3" borderId="0" xfId="0" applyFont="1" applyFill="1">
      <alignment vertical="center"/>
    </xf>
    <xf numFmtId="10" fontId="0" fillId="0" borderId="0" xfId="0" applyNumberFormat="1">
      <alignment vertical="center"/>
    </xf>
    <xf numFmtId="176" fontId="0" fillId="0" borderId="0" xfId="3" applyNumberFormat="1" applyFont="1">
      <alignment vertical="center"/>
    </xf>
    <xf numFmtId="176" fontId="0" fillId="0" borderId="0" xfId="3" quotePrefix="1" applyNumberFormat="1" applyFont="1">
      <alignment vertical="center"/>
    </xf>
    <xf numFmtId="38" fontId="17" fillId="0" borderId="7" xfId="1" applyFont="1" applyBorder="1" applyAlignment="1">
      <alignment horizontal="right" vertical="center" wrapText="1" readingOrder="1"/>
    </xf>
    <xf numFmtId="0" fontId="8" fillId="0" borderId="1" xfId="0" quotePrefix="1" applyFont="1" applyBorder="1" applyAlignment="1">
      <alignment horizontal="right" vertical="center"/>
    </xf>
    <xf numFmtId="6" fontId="8" fillId="0" borderId="1" xfId="2" applyFont="1" applyBorder="1">
      <alignment vertical="center"/>
    </xf>
    <xf numFmtId="0" fontId="21" fillId="0" borderId="0" xfId="0" applyFont="1" applyAlignment="1">
      <alignment horizontal="center" vertical="center"/>
    </xf>
    <xf numFmtId="0" fontId="21" fillId="8" borderId="0" xfId="0" applyFont="1" applyFill="1">
      <alignment vertical="center"/>
    </xf>
    <xf numFmtId="0" fontId="0" fillId="8" borderId="0" xfId="0" applyFill="1">
      <alignment vertical="center"/>
    </xf>
    <xf numFmtId="0" fontId="6" fillId="10" borderId="0" xfId="0" applyFont="1" applyFill="1">
      <alignment vertical="center"/>
    </xf>
    <xf numFmtId="0" fontId="11" fillId="10" borderId="0" xfId="0" applyFont="1" applyFill="1">
      <alignment vertical="center"/>
    </xf>
    <xf numFmtId="0" fontId="12" fillId="10" borderId="0" xfId="0" applyFont="1" applyFill="1">
      <alignment vertical="center"/>
    </xf>
    <xf numFmtId="0" fontId="23" fillId="10" borderId="0" xfId="0" applyFont="1" applyFill="1">
      <alignment vertical="center"/>
    </xf>
    <xf numFmtId="0" fontId="24" fillId="0" borderId="0" xfId="0" applyFont="1" applyAlignment="1">
      <alignment horizontal="center" vertical="center"/>
    </xf>
    <xf numFmtId="9" fontId="11" fillId="0" borderId="0" xfId="3" applyFont="1" applyAlignment="1">
      <alignment horizontal="center" vertical="center"/>
    </xf>
    <xf numFmtId="0" fontId="6" fillId="7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6" fontId="6" fillId="7" borderId="0" xfId="2" applyFont="1" applyFill="1" applyAlignment="1">
      <alignment horizontal="center" vertical="center"/>
    </xf>
    <xf numFmtId="176" fontId="8" fillId="7" borderId="0" xfId="3" applyNumberFormat="1" applyFont="1" applyFill="1" applyAlignment="1">
      <alignment horizontal="center" vertical="center"/>
    </xf>
    <xf numFmtId="9" fontId="6" fillId="7" borderId="0" xfId="0" applyNumberFormat="1" applyFont="1" applyFill="1" applyAlignment="1">
      <alignment horizontal="center" vertical="center"/>
    </xf>
    <xf numFmtId="10" fontId="6" fillId="7" borderId="0" xfId="3" applyNumberFormat="1" applyFont="1" applyFill="1" applyAlignment="1">
      <alignment horizontal="center" vertical="center"/>
    </xf>
    <xf numFmtId="6" fontId="6" fillId="0" borderId="1" xfId="0" quotePrefix="1" applyNumberFormat="1" applyFont="1" applyBorder="1" applyAlignment="1">
      <alignment horizontal="right" vertical="center"/>
    </xf>
    <xf numFmtId="0" fontId="6" fillId="7" borderId="0" xfId="0" applyFont="1" applyFill="1" applyAlignment="1">
      <alignment horizontal="center" vertical="center"/>
    </xf>
    <xf numFmtId="0" fontId="8" fillId="11" borderId="1" xfId="0" applyFont="1" applyFill="1" applyBorder="1">
      <alignment vertical="center"/>
    </xf>
    <xf numFmtId="0" fontId="8" fillId="1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6" fontId="6" fillId="10" borderId="1" xfId="2" applyFont="1" applyFill="1" applyBorder="1" applyAlignment="1">
      <alignment horizontal="right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right" vertical="center"/>
    </xf>
    <xf numFmtId="176" fontId="6" fillId="0" borderId="1" xfId="3" applyNumberFormat="1" applyFont="1" applyBorder="1">
      <alignment vertical="center"/>
    </xf>
    <xf numFmtId="6" fontId="6" fillId="0" borderId="1" xfId="2" applyFont="1" applyBorder="1" applyAlignment="1">
      <alignment horizontal="right" vertical="center"/>
    </xf>
    <xf numFmtId="38" fontId="6" fillId="0" borderId="0" xfId="1" applyFont="1">
      <alignment vertical="center"/>
    </xf>
    <xf numFmtId="0" fontId="8" fillId="11" borderId="0" xfId="0" applyFont="1" applyFill="1">
      <alignment vertical="center"/>
    </xf>
    <xf numFmtId="0" fontId="8" fillId="13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right" vertical="center"/>
    </xf>
    <xf numFmtId="6" fontId="6" fillId="2" borderId="6" xfId="0" applyNumberFormat="1" applyFont="1" applyFill="1" applyBorder="1" applyAlignment="1">
      <alignment horizontal="right" vertical="center"/>
    </xf>
    <xf numFmtId="0" fontId="8" fillId="7" borderId="6" xfId="0" applyFont="1" applyFill="1" applyBorder="1" applyAlignment="1">
      <alignment horizontal="right" vertical="center"/>
    </xf>
    <xf numFmtId="38" fontId="19" fillId="12" borderId="7" xfId="1" applyFont="1" applyFill="1" applyBorder="1" applyAlignment="1">
      <alignment horizontal="right" vertical="center" wrapText="1" readingOrder="1"/>
    </xf>
    <xf numFmtId="176" fontId="17" fillId="12" borderId="7" xfId="3" applyNumberFormat="1" applyFont="1" applyFill="1" applyBorder="1" applyAlignment="1">
      <alignment horizontal="right" vertical="center" wrapText="1" readingOrder="1"/>
    </xf>
    <xf numFmtId="38" fontId="17" fillId="12" borderId="7" xfId="1" applyFont="1" applyFill="1" applyBorder="1" applyAlignment="1">
      <alignment horizontal="right" vertical="center" wrapText="1" readingOrder="1"/>
    </xf>
    <xf numFmtId="38" fontId="20" fillId="12" borderId="7" xfId="1" applyFont="1" applyFill="1" applyBorder="1" applyAlignment="1">
      <alignment horizontal="right" vertical="center" wrapText="1" readingOrder="1"/>
    </xf>
    <xf numFmtId="6" fontId="5" fillId="5" borderId="6" xfId="0" applyNumberFormat="1" applyFont="1" applyFill="1" applyBorder="1" applyAlignment="1">
      <alignment horizontal="right" vertical="center"/>
    </xf>
    <xf numFmtId="38" fontId="16" fillId="0" borderId="7" xfId="1" applyFont="1" applyBorder="1" applyAlignment="1">
      <alignment horizontal="right" vertical="center" wrapText="1" readingOrder="1"/>
    </xf>
    <xf numFmtId="0" fontId="6" fillId="8" borderId="1" xfId="0" applyFont="1" applyFill="1" applyBorder="1" applyAlignment="1">
      <alignment horizontal="center" vertical="center"/>
    </xf>
    <xf numFmtId="6" fontId="8" fillId="0" borderId="1" xfId="2" applyFont="1" applyBorder="1" applyAlignment="1">
      <alignment horizontal="right" vertical="center"/>
    </xf>
    <xf numFmtId="6" fontId="8" fillId="10" borderId="1" xfId="2" applyFont="1" applyFill="1" applyBorder="1">
      <alignment vertical="center"/>
    </xf>
    <xf numFmtId="38" fontId="6" fillId="9" borderId="1" xfId="0" applyNumberFormat="1" applyFont="1" applyFill="1" applyBorder="1">
      <alignment vertical="center"/>
    </xf>
    <xf numFmtId="9" fontId="8" fillId="0" borderId="0" xfId="3" applyFont="1">
      <alignment vertical="center"/>
    </xf>
    <xf numFmtId="38" fontId="6" fillId="0" borderId="1" xfId="0" applyNumberFormat="1" applyFont="1" applyBorder="1">
      <alignment vertical="center"/>
    </xf>
    <xf numFmtId="0" fontId="8" fillId="0" borderId="12" xfId="0" applyFont="1" applyBorder="1">
      <alignment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8" xfId="0" applyFont="1" applyBorder="1" applyAlignment="1">
      <alignment horizontal="center" vertical="center"/>
    </xf>
    <xf numFmtId="38" fontId="8" fillId="7" borderId="9" xfId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38" fontId="8" fillId="7" borderId="0" xfId="1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38" fontId="8" fillId="7" borderId="14" xfId="1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38" fontId="8" fillId="7" borderId="10" xfId="1" applyFont="1" applyFill="1" applyBorder="1" applyAlignment="1">
      <alignment horizontal="center" vertical="center"/>
    </xf>
    <xf numFmtId="0" fontId="6" fillId="0" borderId="16" xfId="0" applyFont="1" applyBorder="1">
      <alignment vertical="center"/>
    </xf>
    <xf numFmtId="0" fontId="6" fillId="0" borderId="17" xfId="0" applyFont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10" borderId="0" xfId="0" applyFont="1" applyFill="1">
      <alignment vertical="center"/>
    </xf>
    <xf numFmtId="0" fontId="8" fillId="8" borderId="0" xfId="0" applyFont="1" applyFill="1" applyAlignment="1">
      <alignment horizontal="center" vertical="center"/>
    </xf>
    <xf numFmtId="14" fontId="8" fillId="8" borderId="0" xfId="0" applyNumberFormat="1" applyFont="1" applyFill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35F9-36D4-435E-B89B-2E9FE9727E52}">
  <dimension ref="A2:Z76"/>
  <sheetViews>
    <sheetView tabSelected="1" topLeftCell="A16" zoomScale="70" zoomScaleNormal="55" workbookViewId="0">
      <selection activeCell="D14" sqref="D14"/>
    </sheetView>
  </sheetViews>
  <sheetFormatPr defaultColWidth="9" defaultRowHeight="17.5" x14ac:dyDescent="0.55000000000000004"/>
  <cols>
    <col min="1" max="1" width="19.33203125" style="5" customWidth="1"/>
    <col min="2" max="2" width="29.25" style="5" customWidth="1"/>
    <col min="3" max="12" width="20" style="5" customWidth="1"/>
    <col min="13" max="13" width="2.58203125" style="5" customWidth="1"/>
    <col min="14" max="14" width="44.5" style="69" customWidth="1"/>
    <col min="15" max="17" width="24.08203125" style="5" customWidth="1"/>
    <col min="18" max="18" width="2.83203125" style="5" customWidth="1"/>
    <col min="19" max="19" width="12.08203125" style="5" customWidth="1"/>
    <col min="20" max="20" width="2.58203125" style="5" bestFit="1" customWidth="1"/>
    <col min="21" max="21" width="12.08203125" style="5" customWidth="1"/>
    <col min="22" max="22" width="2.83203125" style="5" customWidth="1"/>
    <col min="23" max="23" width="12.08203125" style="5" customWidth="1"/>
    <col min="24" max="24" width="2.58203125" style="5" bestFit="1" customWidth="1"/>
    <col min="25" max="25" width="12.08203125" style="5" customWidth="1"/>
    <col min="26" max="16384" width="9" style="5"/>
  </cols>
  <sheetData>
    <row r="2" spans="1:25" x14ac:dyDescent="0.55000000000000004">
      <c r="A2" s="133" t="s">
        <v>161</v>
      </c>
      <c r="B2" s="134">
        <v>46315</v>
      </c>
    </row>
    <row r="4" spans="1:25" ht="45.75" customHeight="1" x14ac:dyDescent="0.55000000000000004">
      <c r="A4" s="56" t="s">
        <v>188</v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55000000000000004">
      <c r="A5" s="1"/>
      <c r="B5" s="1"/>
      <c r="C5" s="1"/>
      <c r="D5" s="1"/>
      <c r="N5" s="55" t="s">
        <v>157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5500000000000000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8" thickBot="1" x14ac:dyDescent="0.6">
      <c r="A7" s="29" t="s">
        <v>48</v>
      </c>
      <c r="B7" s="17" t="s">
        <v>53</v>
      </c>
      <c r="C7" s="17" t="s">
        <v>54</v>
      </c>
      <c r="D7" s="17" t="s">
        <v>55</v>
      </c>
    </row>
    <row r="8" spans="1:25" ht="18" thickBot="1" x14ac:dyDescent="0.6">
      <c r="A8" s="147" t="s">
        <v>5</v>
      </c>
      <c r="B8" s="19" t="s">
        <v>6</v>
      </c>
      <c r="C8" s="19" t="s">
        <v>178</v>
      </c>
      <c r="D8" s="33">
        <v>6000</v>
      </c>
      <c r="G8" s="121" t="s">
        <v>162</v>
      </c>
      <c r="H8" s="122">
        <v>8947</v>
      </c>
      <c r="I8" s="123"/>
      <c r="J8" s="123" t="s">
        <v>69</v>
      </c>
      <c r="K8" s="129">
        <v>0</v>
      </c>
      <c r="N8" s="69" t="s">
        <v>189</v>
      </c>
      <c r="O8" s="35" t="s">
        <v>156</v>
      </c>
    </row>
    <row r="9" spans="1:25" ht="18" thickBot="1" x14ac:dyDescent="0.6">
      <c r="A9" s="148"/>
      <c r="B9" s="19" t="s">
        <v>7</v>
      </c>
      <c r="C9" s="38" t="s">
        <v>61</v>
      </c>
      <c r="D9" s="33">
        <v>0</v>
      </c>
      <c r="G9" s="124" t="s">
        <v>163</v>
      </c>
      <c r="H9" s="125">
        <v>0</v>
      </c>
      <c r="I9" s="22"/>
      <c r="J9" s="29"/>
      <c r="K9" s="118"/>
      <c r="N9" s="132" t="s">
        <v>111</v>
      </c>
      <c r="O9" s="130" t="s">
        <v>155</v>
      </c>
      <c r="P9" s="131" t="b">
        <v>0</v>
      </c>
    </row>
    <row r="10" spans="1:25" x14ac:dyDescent="0.55000000000000004">
      <c r="A10" s="147" t="s">
        <v>8</v>
      </c>
      <c r="B10" s="19" t="s">
        <v>9</v>
      </c>
      <c r="C10" s="19" t="s">
        <v>179</v>
      </c>
      <c r="D10" s="33">
        <v>6000</v>
      </c>
      <c r="G10" s="124" t="s">
        <v>164</v>
      </c>
      <c r="H10" s="125">
        <v>89</v>
      </c>
      <c r="I10" s="22" t="s">
        <v>154</v>
      </c>
      <c r="J10" s="29"/>
      <c r="K10" s="118"/>
      <c r="N10" s="132" t="s">
        <v>180</v>
      </c>
    </row>
    <row r="11" spans="1:25" ht="18" thickBot="1" x14ac:dyDescent="0.6">
      <c r="A11" s="148"/>
      <c r="B11" s="19" t="s">
        <v>10</v>
      </c>
      <c r="C11" s="38" t="s">
        <v>61</v>
      </c>
      <c r="D11" s="33">
        <v>0</v>
      </c>
      <c r="G11" s="126" t="s">
        <v>124</v>
      </c>
      <c r="H11" s="127">
        <v>0</v>
      </c>
      <c r="I11" s="128" t="s">
        <v>153</v>
      </c>
      <c r="J11" s="119"/>
      <c r="K11" s="120"/>
    </row>
    <row r="12" spans="1:25" x14ac:dyDescent="0.55000000000000004">
      <c r="O12" s="55" t="s">
        <v>70</v>
      </c>
      <c r="P12" s="55"/>
      <c r="Q12" s="55"/>
      <c r="S12" s="55"/>
      <c r="T12" s="55"/>
      <c r="U12" s="55"/>
      <c r="V12" s="55"/>
    </row>
    <row r="13" spans="1:25" x14ac:dyDescent="0.55000000000000004">
      <c r="A13" s="149" t="s">
        <v>0</v>
      </c>
      <c r="B13" s="149"/>
      <c r="C13" s="95"/>
      <c r="D13" s="13" t="s">
        <v>28</v>
      </c>
      <c r="E13" s="36" t="s">
        <v>165</v>
      </c>
      <c r="F13" s="36" t="s">
        <v>166</v>
      </c>
      <c r="G13" s="36" t="s">
        <v>167</v>
      </c>
      <c r="H13" s="36" t="s">
        <v>168</v>
      </c>
      <c r="I13" s="36" t="s">
        <v>169</v>
      </c>
      <c r="J13" s="36" t="s">
        <v>170</v>
      </c>
      <c r="K13" s="3" t="s">
        <v>1</v>
      </c>
      <c r="L13" s="4" t="s">
        <v>2</v>
      </c>
      <c r="N13" s="71" t="s">
        <v>123</v>
      </c>
      <c r="O13" s="30" t="s">
        <v>42</v>
      </c>
      <c r="P13" s="23"/>
      <c r="Q13" s="23"/>
      <c r="S13" s="23"/>
      <c r="T13" s="23"/>
      <c r="U13" s="23"/>
      <c r="V13" s="23"/>
    </row>
    <row r="14" spans="1:25" ht="19" x14ac:dyDescent="0.55000000000000004">
      <c r="A14" s="150" t="s">
        <v>31</v>
      </c>
      <c r="B14" s="20" t="s">
        <v>35</v>
      </c>
      <c r="C14" s="99"/>
      <c r="D14" s="42">
        <f>+H8</f>
        <v>8947</v>
      </c>
      <c r="E14" s="43">
        <f>+D14</f>
        <v>8947</v>
      </c>
      <c r="F14" s="43">
        <f t="shared" ref="F14:J14" si="0">+E14</f>
        <v>8947</v>
      </c>
      <c r="G14" s="43">
        <f t="shared" si="0"/>
        <v>8947</v>
      </c>
      <c r="H14" s="43">
        <f t="shared" si="0"/>
        <v>8947</v>
      </c>
      <c r="I14" s="43">
        <f t="shared" si="0"/>
        <v>8947</v>
      </c>
      <c r="J14" s="43">
        <f t="shared" si="0"/>
        <v>8947</v>
      </c>
      <c r="K14" s="11"/>
      <c r="L14" s="7"/>
      <c r="N14" t="s">
        <v>171</v>
      </c>
    </row>
    <row r="15" spans="1:25" ht="19" x14ac:dyDescent="0.55000000000000004">
      <c r="A15" s="151"/>
      <c r="B15" s="20" t="s">
        <v>34</v>
      </c>
      <c r="C15" s="99"/>
      <c r="D15" s="42">
        <f t="shared" ref="D15" si="1">+H9</f>
        <v>0</v>
      </c>
      <c r="E15" s="43">
        <f t="shared" ref="E15:J16" si="2">+D15</f>
        <v>0</v>
      </c>
      <c r="F15" s="43">
        <f t="shared" si="2"/>
        <v>0</v>
      </c>
      <c r="G15" s="43">
        <f t="shared" si="2"/>
        <v>0</v>
      </c>
      <c r="H15" s="43">
        <f t="shared" si="2"/>
        <v>0</v>
      </c>
      <c r="I15" s="43">
        <f t="shared" si="2"/>
        <v>0</v>
      </c>
      <c r="J15" s="43">
        <f t="shared" si="2"/>
        <v>0</v>
      </c>
      <c r="K15" s="11"/>
      <c r="L15" s="7"/>
      <c r="N15" s="69" t="s">
        <v>160</v>
      </c>
      <c r="O15" s="17" t="s">
        <v>32</v>
      </c>
      <c r="P15" s="79">
        <v>5.0000000000000001E-3</v>
      </c>
      <c r="S15" s="29" t="s">
        <v>46</v>
      </c>
    </row>
    <row r="16" spans="1:25" ht="19" x14ac:dyDescent="0.55000000000000004">
      <c r="A16" s="152"/>
      <c r="B16" s="20" t="s">
        <v>151</v>
      </c>
      <c r="C16" s="99"/>
      <c r="D16" s="42">
        <f>H10</f>
        <v>89</v>
      </c>
      <c r="E16" s="43">
        <f t="shared" si="2"/>
        <v>89</v>
      </c>
      <c r="F16" s="43">
        <f t="shared" si="2"/>
        <v>89</v>
      </c>
      <c r="G16" s="43">
        <f t="shared" si="2"/>
        <v>89</v>
      </c>
      <c r="H16" s="43">
        <f t="shared" si="2"/>
        <v>89</v>
      </c>
      <c r="I16" s="43">
        <f t="shared" si="2"/>
        <v>89</v>
      </c>
      <c r="J16" s="43">
        <f t="shared" si="2"/>
        <v>89</v>
      </c>
      <c r="K16" s="11"/>
      <c r="L16" s="7"/>
      <c r="N16" s="69" t="s">
        <v>159</v>
      </c>
      <c r="O16" s="17" t="s">
        <v>33</v>
      </c>
      <c r="P16" s="79">
        <v>2.5000000000000001E-3</v>
      </c>
      <c r="S16" s="5" t="s">
        <v>57</v>
      </c>
    </row>
    <row r="17" spans="1:26" x14ac:dyDescent="0.55000000000000004">
      <c r="A17" s="150" t="s">
        <v>3</v>
      </c>
      <c r="B17" s="8" t="s">
        <v>4</v>
      </c>
      <c r="C17" s="100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s">
        <v>21</v>
      </c>
      <c r="L17" s="9" t="s">
        <v>21</v>
      </c>
      <c r="S17" s="5" t="s">
        <v>58</v>
      </c>
      <c r="W17" s="5" t="s">
        <v>59</v>
      </c>
      <c r="Z17" s="35" t="s">
        <v>60</v>
      </c>
    </row>
    <row r="18" spans="1:26" x14ac:dyDescent="0.55000000000000004">
      <c r="A18" s="151"/>
      <c r="B18" s="8" t="s">
        <v>172</v>
      </c>
      <c r="C18" s="100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s">
        <v>21</v>
      </c>
      <c r="L18" s="9" t="s">
        <v>21</v>
      </c>
      <c r="N18" s="69" t="s">
        <v>158</v>
      </c>
      <c r="O18" s="22" t="s">
        <v>38</v>
      </c>
      <c r="P18" s="78">
        <v>0.65</v>
      </c>
      <c r="S18" s="5">
        <v>0</v>
      </c>
      <c r="T18" s="5" t="s">
        <v>61</v>
      </c>
      <c r="U18" s="34">
        <v>200000</v>
      </c>
      <c r="W18" s="5">
        <v>0</v>
      </c>
      <c r="X18" s="5" t="s">
        <v>61</v>
      </c>
      <c r="Y18" s="34">
        <v>600000</v>
      </c>
      <c r="Z18" s="35">
        <v>3</v>
      </c>
    </row>
    <row r="19" spans="1:26" x14ac:dyDescent="0.55000000000000004">
      <c r="A19" s="151"/>
      <c r="B19" s="8" t="s">
        <v>114</v>
      </c>
      <c r="C19" s="100"/>
      <c r="D19" s="58" t="b">
        <v>0</v>
      </c>
      <c r="E19" s="57" t="b">
        <v>1</v>
      </c>
      <c r="F19" s="57" t="b">
        <v>1</v>
      </c>
      <c r="G19" s="57" t="b">
        <v>1</v>
      </c>
      <c r="H19" s="57" t="b">
        <v>1</v>
      </c>
      <c r="I19" s="57" t="b">
        <v>1</v>
      </c>
      <c r="J19" s="57" t="b">
        <v>1</v>
      </c>
      <c r="K19" s="14"/>
      <c r="L19" s="9"/>
      <c r="N19" s="69" t="s">
        <v>158</v>
      </c>
      <c r="O19" s="22" t="s">
        <v>39</v>
      </c>
      <c r="P19" s="78">
        <v>0.55000000000000004</v>
      </c>
      <c r="S19" s="34">
        <v>200000</v>
      </c>
      <c r="T19" s="5" t="s">
        <v>61</v>
      </c>
      <c r="U19" s="34">
        <v>15000000</v>
      </c>
      <c r="W19" s="34">
        <v>600000</v>
      </c>
      <c r="X19" s="5" t="s">
        <v>61</v>
      </c>
      <c r="Y19" s="34">
        <f>+U19*2.5</f>
        <v>37500000</v>
      </c>
      <c r="Z19" s="35">
        <v>2.5</v>
      </c>
    </row>
    <row r="20" spans="1:26" x14ac:dyDescent="0.55000000000000004">
      <c r="A20" s="151"/>
      <c r="B20" s="8" t="s">
        <v>112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55000000000000004">
      <c r="A21" s="152"/>
      <c r="B21" s="8" t="s">
        <v>113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21</v>
      </c>
      <c r="L21" s="9" t="s">
        <v>21</v>
      </c>
      <c r="O21" s="25" t="s">
        <v>44</v>
      </c>
      <c r="P21" s="26"/>
      <c r="S21" s="34"/>
      <c r="U21" s="34"/>
      <c r="W21" s="34"/>
      <c r="Y21" s="34"/>
      <c r="Z21" s="35"/>
    </row>
    <row r="22" spans="1:26" ht="18.75" customHeight="1" x14ac:dyDescent="0.55000000000000004">
      <c r="A22" s="153" t="s">
        <v>11</v>
      </c>
      <c r="B22" s="6" t="s">
        <v>4</v>
      </c>
      <c r="C22" s="17"/>
      <c r="D22" s="44" t="s">
        <v>20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11"/>
      <c r="L22" s="7"/>
      <c r="N22" s="69" t="s">
        <v>121</v>
      </c>
      <c r="O22" s="17" t="s">
        <v>40</v>
      </c>
      <c r="P22" s="24">
        <v>0.78</v>
      </c>
      <c r="S22" s="34"/>
      <c r="U22" s="34"/>
      <c r="W22" s="34"/>
      <c r="Y22" s="34"/>
      <c r="Z22" s="35"/>
    </row>
    <row r="23" spans="1:26" ht="19" x14ac:dyDescent="0.55000000000000004">
      <c r="A23" s="151"/>
      <c r="B23" s="6" t="s">
        <v>172</v>
      </c>
      <c r="C23" s="17"/>
      <c r="D23" s="44" t="s">
        <v>20</v>
      </c>
      <c r="E23" s="46">
        <f t="shared" ref="E23:J23" si="3">IF(E18=FALSE,0,E14*$P$18*0.125*0.125)</f>
        <v>90.867968750000003</v>
      </c>
      <c r="F23" s="46">
        <f t="shared" si="3"/>
        <v>90.867968750000003</v>
      </c>
      <c r="G23" s="63">
        <f t="shared" si="3"/>
        <v>90.867968750000003</v>
      </c>
      <c r="H23" s="63">
        <f t="shared" si="3"/>
        <v>90.867968750000003</v>
      </c>
      <c r="I23" s="63">
        <f t="shared" si="3"/>
        <v>90.867968750000003</v>
      </c>
      <c r="J23" s="63">
        <f t="shared" si="3"/>
        <v>90.867968750000003</v>
      </c>
      <c r="K23" s="11"/>
      <c r="L23" s="7"/>
      <c r="N23" s="69" t="s">
        <v>173</v>
      </c>
      <c r="O23" s="17" t="s">
        <v>41</v>
      </c>
      <c r="P23" s="24">
        <v>0.1</v>
      </c>
      <c r="Q23" s="5" t="s">
        <v>119</v>
      </c>
      <c r="S23" s="34"/>
      <c r="U23" s="34"/>
      <c r="W23" s="34"/>
      <c r="Y23" s="34"/>
      <c r="Z23" s="35"/>
    </row>
    <row r="24" spans="1:26" ht="19" x14ac:dyDescent="0.55000000000000004">
      <c r="A24" s="151"/>
      <c r="B24" s="6" t="s">
        <v>114</v>
      </c>
      <c r="C24" s="17"/>
      <c r="D24" s="44" t="s">
        <v>20</v>
      </c>
      <c r="E24" s="46">
        <f t="shared" ref="E24:J24" si="4">IF(E19=FALSE,0,E16*0.8*0.4)</f>
        <v>28.480000000000004</v>
      </c>
      <c r="F24" s="63">
        <f t="shared" si="4"/>
        <v>28.480000000000004</v>
      </c>
      <c r="G24" s="63">
        <f t="shared" si="4"/>
        <v>28.480000000000004</v>
      </c>
      <c r="H24" s="63">
        <f t="shared" si="4"/>
        <v>28.480000000000004</v>
      </c>
      <c r="I24" s="63">
        <f t="shared" si="4"/>
        <v>28.480000000000004</v>
      </c>
      <c r="J24" s="63">
        <f t="shared" si="4"/>
        <v>28.480000000000004</v>
      </c>
      <c r="K24" s="11"/>
      <c r="L24" s="7"/>
      <c r="N24" s="69" t="s">
        <v>181</v>
      </c>
      <c r="O24" s="22" t="s">
        <v>43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" x14ac:dyDescent="0.55000000000000004">
      <c r="A25" s="152"/>
      <c r="B25" s="6" t="s">
        <v>67</v>
      </c>
      <c r="C25" s="17"/>
      <c r="D25" s="44" t="s">
        <v>20</v>
      </c>
      <c r="E25" s="46">
        <f>+IF(E20=FALSE,0,SUM($H$10:$H$11)*0.7*0.3)+IF($E$21=FALSE,0,$K$8*0.15*0.15)</f>
        <v>0</v>
      </c>
      <c r="F25" s="46">
        <f t="shared" ref="F25:J25" si="5">+IF(F20=FALSE,0,SUM($H$10:$H$11)*0.7*0.3)+IF($E$21=FALSE,0,$K$8*0.15*0.15)</f>
        <v>0</v>
      </c>
      <c r="G25" s="46">
        <f t="shared" si="5"/>
        <v>0</v>
      </c>
      <c r="H25" s="46">
        <f t="shared" si="5"/>
        <v>0</v>
      </c>
      <c r="I25" s="46">
        <f t="shared" si="5"/>
        <v>0</v>
      </c>
      <c r="J25" s="46">
        <f t="shared" si="5"/>
        <v>0</v>
      </c>
      <c r="K25" s="11"/>
      <c r="L25" s="7"/>
      <c r="N25" s="69" t="s">
        <v>122</v>
      </c>
      <c r="O25" s="25" t="s">
        <v>45</v>
      </c>
      <c r="P25" s="26"/>
      <c r="S25" s="34"/>
      <c r="U25" s="34"/>
      <c r="W25" s="34"/>
      <c r="Y25" s="34"/>
      <c r="Z25" s="35"/>
    </row>
    <row r="26" spans="1:26" ht="19" x14ac:dyDescent="0.55000000000000004">
      <c r="A26" s="137" t="s">
        <v>15</v>
      </c>
      <c r="B26" s="138"/>
      <c r="C26" s="23"/>
      <c r="D26" s="44" t="s">
        <v>20</v>
      </c>
      <c r="E26" s="46">
        <f>+SUM(E22:E25)+$H$9*$P$16+($H$8-$H$9)*$P$15+IF(P9=FALSE,0,$K$8*0.15*0.08)</f>
        <v>164.08296875000002</v>
      </c>
      <c r="F26" s="46">
        <f t="shared" ref="F26:J26" si="6">+SUM(F22:F25)+$H$9*$P$16+($H$8-$H$9)*$P$15</f>
        <v>164.08296875000002</v>
      </c>
      <c r="G26" s="46">
        <f>+SUM(G22:G25)+$H$9*$P$16+($H$8-$H$9)*$P$15</f>
        <v>164.08296875000002</v>
      </c>
      <c r="H26" s="46">
        <f t="shared" si="6"/>
        <v>164.08296875000002</v>
      </c>
      <c r="I26" s="46">
        <f t="shared" si="6"/>
        <v>164.08296875000002</v>
      </c>
      <c r="J26" s="46">
        <f t="shared" si="6"/>
        <v>164.08296875000002</v>
      </c>
      <c r="K26" s="11"/>
      <c r="L26" s="7"/>
      <c r="N26" s="72" t="s">
        <v>190</v>
      </c>
      <c r="O26" s="17" t="s">
        <v>40</v>
      </c>
      <c r="P26" s="24">
        <v>0.72499999999999998</v>
      </c>
      <c r="S26" s="34"/>
      <c r="U26" s="34"/>
      <c r="W26" s="34"/>
      <c r="Y26" s="34"/>
      <c r="Z26" s="35"/>
    </row>
    <row r="27" spans="1:26" ht="19" x14ac:dyDescent="0.55000000000000004">
      <c r="A27" s="137" t="s">
        <v>14</v>
      </c>
      <c r="B27" s="138"/>
      <c r="C27" s="23"/>
      <c r="D27" s="107">
        <v>0</v>
      </c>
      <c r="E27" s="47">
        <v>0.32</v>
      </c>
      <c r="F27" s="47">
        <f>+E$27*1.025</f>
        <v>0.32799999999999996</v>
      </c>
      <c r="G27" s="47">
        <f>+F$27*1.025</f>
        <v>0.33619999999999994</v>
      </c>
      <c r="H27" s="47">
        <f>+G$27*1.025</f>
        <v>0.34460499999999994</v>
      </c>
      <c r="I27" s="47">
        <f>+H$27*1.025</f>
        <v>0.35322012499999988</v>
      </c>
      <c r="J27" s="47">
        <f>+I$27*1.025</f>
        <v>0.36205062812499983</v>
      </c>
      <c r="K27" s="11"/>
      <c r="L27" s="7"/>
      <c r="N27" t="s">
        <v>182</v>
      </c>
      <c r="O27" s="17" t="s">
        <v>41</v>
      </c>
      <c r="P27" s="24">
        <v>0.12</v>
      </c>
      <c r="Q27" s="5" t="s">
        <v>119</v>
      </c>
      <c r="S27" s="34"/>
      <c r="U27" s="34"/>
      <c r="W27" s="34"/>
      <c r="Y27" s="34"/>
      <c r="Z27" s="35"/>
    </row>
    <row r="28" spans="1:26" ht="19" x14ac:dyDescent="0.55000000000000004">
      <c r="A28" s="154" t="s">
        <v>12</v>
      </c>
      <c r="B28" s="155"/>
      <c r="C28" s="101"/>
      <c r="D28" s="106">
        <v>0</v>
      </c>
      <c r="E28" s="49">
        <f>+D28+E26</f>
        <v>164.08296875000002</v>
      </c>
      <c r="F28" s="49">
        <f t="shared" ref="F28:J28" si="7">+E28+F26</f>
        <v>328.16593750000004</v>
      </c>
      <c r="G28" s="49">
        <f t="shared" si="7"/>
        <v>492.24890625000006</v>
      </c>
      <c r="H28" s="49">
        <f t="shared" si="7"/>
        <v>656.33187500000008</v>
      </c>
      <c r="I28" s="49">
        <f t="shared" si="7"/>
        <v>820.41484375000005</v>
      </c>
      <c r="J28" s="49">
        <f t="shared" si="7"/>
        <v>984.49781250000001</v>
      </c>
      <c r="K28" s="12"/>
      <c r="L28" s="7"/>
      <c r="O28" s="22" t="s">
        <v>43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" x14ac:dyDescent="0.55000000000000004">
      <c r="A29" s="143" t="s">
        <v>13</v>
      </c>
      <c r="B29" s="144"/>
      <c r="C29" s="102"/>
      <c r="D29" s="108">
        <f>+D28*(1-D27)</f>
        <v>0</v>
      </c>
      <c r="E29" s="50">
        <f>+E28*(1-E27)</f>
        <v>111.57641875</v>
      </c>
      <c r="F29" s="50">
        <f t="shared" ref="F29:J29" si="8">+F28*(1-F27)</f>
        <v>220.52751000000004</v>
      </c>
      <c r="G29" s="50">
        <f t="shared" si="8"/>
        <v>326.75482396875009</v>
      </c>
      <c r="H29" s="50">
        <f t="shared" si="8"/>
        <v>430.15662921562512</v>
      </c>
      <c r="I29" s="50">
        <f t="shared" si="8"/>
        <v>530.62781008876971</v>
      </c>
      <c r="J29" s="50">
        <f t="shared" si="8"/>
        <v>628.05976109668677</v>
      </c>
      <c r="K29" s="12"/>
      <c r="L29" s="7"/>
      <c r="N29" s="69" t="s">
        <v>132</v>
      </c>
      <c r="S29" s="34"/>
      <c r="U29" s="34"/>
      <c r="W29" s="34"/>
      <c r="Y29" s="34"/>
      <c r="Z29" s="35"/>
    </row>
    <row r="30" spans="1:26" ht="19" x14ac:dyDescent="0.55000000000000004">
      <c r="A30" s="141" t="s">
        <v>22</v>
      </c>
      <c r="B30" s="142"/>
      <c r="C30" s="30"/>
      <c r="D30" s="48">
        <v>0</v>
      </c>
      <c r="E30" s="45">
        <v>4</v>
      </c>
      <c r="F30" s="45">
        <v>4</v>
      </c>
      <c r="G30" s="45">
        <v>4</v>
      </c>
      <c r="H30" s="45">
        <v>4</v>
      </c>
      <c r="I30" s="45">
        <v>4</v>
      </c>
      <c r="J30" s="45">
        <v>4</v>
      </c>
      <c r="K30" s="11"/>
      <c r="L30" s="7"/>
      <c r="N30" s="69" t="s">
        <v>183</v>
      </c>
      <c r="O30" s="17" t="s">
        <v>120</v>
      </c>
      <c r="P30" s="76"/>
      <c r="S30" s="34"/>
      <c r="U30" s="34"/>
      <c r="W30" s="34"/>
      <c r="Y30" s="34"/>
      <c r="Z30" s="35"/>
    </row>
    <row r="31" spans="1:26" ht="19" x14ac:dyDescent="0.55000000000000004">
      <c r="A31" s="137" t="s">
        <v>23</v>
      </c>
      <c r="B31" s="138"/>
      <c r="C31" s="23"/>
      <c r="D31" s="108">
        <f>+D30*D29*0.41*0.07</f>
        <v>0</v>
      </c>
      <c r="E31" s="63">
        <f>+E29*E30*$P$24*$P$22*$P$23*$P$36</f>
        <v>40.774415059092021</v>
      </c>
      <c r="F31" s="63">
        <f>+F29*F30*$P$24*$P$22*$P$23*$P$36</f>
        <v>80.58943211679366</v>
      </c>
      <c r="G31" s="63">
        <f>+G29*G30*$P$24*$P$22*$P$23*$P$36</f>
        <v>119.40907374805278</v>
      </c>
      <c r="H31" s="63">
        <f>+H29*H30*$P$24*$P$22*$P$23*$P$36*$Q$24</f>
        <v>125.75693062425235</v>
      </c>
      <c r="I31" s="63">
        <f>+I29*I30*$P$24*$P$22*$P$23*$P$36*$Q$24</f>
        <v>155.12982985363337</v>
      </c>
      <c r="J31" s="63">
        <f>+J29*J30*$P$24*$P$22*$P$23*$P$36*$Q$24</f>
        <v>183.61420570954101</v>
      </c>
      <c r="K31" s="11"/>
      <c r="L31" s="7"/>
      <c r="S31" s="34"/>
      <c r="U31" s="34"/>
      <c r="W31" s="34"/>
      <c r="Y31" s="34"/>
      <c r="Z31" s="35"/>
    </row>
    <row r="32" spans="1:26" ht="19" x14ac:dyDescent="0.55000000000000004">
      <c r="A32" s="141" t="s">
        <v>29</v>
      </c>
      <c r="B32" s="142"/>
      <c r="C32" s="30"/>
      <c r="D32" s="48">
        <v>0</v>
      </c>
      <c r="E32" s="45">
        <v>4</v>
      </c>
      <c r="F32" s="45">
        <v>4</v>
      </c>
      <c r="G32" s="45">
        <v>4</v>
      </c>
      <c r="H32" s="45">
        <v>4</v>
      </c>
      <c r="I32" s="45">
        <v>4</v>
      </c>
      <c r="J32" s="45">
        <v>4</v>
      </c>
      <c r="K32" s="11"/>
      <c r="L32" s="7"/>
      <c r="N32" s="69" t="s">
        <v>191</v>
      </c>
      <c r="O32" s="17" t="s">
        <v>125</v>
      </c>
      <c r="P32" s="75" t="b">
        <v>1</v>
      </c>
      <c r="Q32" s="73">
        <f>+IF(P32=TRUE,1.1,0.95)</f>
        <v>1.1000000000000001</v>
      </c>
      <c r="S32" s="34"/>
      <c r="U32" s="34"/>
      <c r="W32" s="34"/>
      <c r="Z32" s="35"/>
    </row>
    <row r="33" spans="1:17" ht="19" x14ac:dyDescent="0.55000000000000004">
      <c r="A33" s="137" t="s">
        <v>30</v>
      </c>
      <c r="B33" s="138"/>
      <c r="C33" s="23"/>
      <c r="D33" s="44">
        <v>0</v>
      </c>
      <c r="E33" s="63">
        <f>+E29*E32*$P$26*$P$27*$P$28*$P$36</f>
        <v>11.369788814554505</v>
      </c>
      <c r="F33" s="63">
        <f t="shared" ref="F33:G33" si="9">+F29*F32*$P$26*$P$27*$P$28*$P$36</f>
        <v>22.472053186413611</v>
      </c>
      <c r="G33" s="63">
        <f t="shared" si="9"/>
        <v>33.296760948976249</v>
      </c>
      <c r="H33" s="63">
        <f>+H29*H32*$P$26*$P$27*$P$28*$P$36*$Q$28</f>
        <v>35.066836424070367</v>
      </c>
      <c r="I33" s="63">
        <f t="shared" ref="I33:J33" si="10">+I29*I32*$P$26*$P$27*$P$28*$P$36*$Q$28</f>
        <v>43.257356401493901</v>
      </c>
      <c r="J33" s="63">
        <f t="shared" si="10"/>
        <v>51.200115053622007</v>
      </c>
      <c r="K33" s="11"/>
      <c r="L33" s="7"/>
      <c r="O33" s="17" t="s">
        <v>133</v>
      </c>
      <c r="P33" s="75" t="b">
        <v>1</v>
      </c>
      <c r="Q33" s="73">
        <f t="shared" ref="Q33:Q35" si="11">+IF(P33=TRUE,1.1,0.95)</f>
        <v>1.1000000000000001</v>
      </c>
    </row>
    <row r="34" spans="1:17" ht="19" x14ac:dyDescent="0.55000000000000004">
      <c r="A34" s="143" t="s">
        <v>25</v>
      </c>
      <c r="B34" s="144"/>
      <c r="C34" s="102"/>
      <c r="D34" s="108">
        <f>+D29*D30</f>
        <v>0</v>
      </c>
      <c r="E34" s="46">
        <f>+E29*E30*$P$24+E29*E32*$P$28</f>
        <v>446.30567500000006</v>
      </c>
      <c r="F34" s="46">
        <f>+F29*F30*$P$24+F29*F32*$P$28</f>
        <v>882.11004000000014</v>
      </c>
      <c r="G34" s="46">
        <f>+G29*G30*$P$24+G29*G32*$P$28</f>
        <v>1307.0192958750004</v>
      </c>
      <c r="H34" s="46">
        <f>+H29*H30*$P$24*$Q$24+H29*H32*$P$28*$Q$28</f>
        <v>1376.5012134900005</v>
      </c>
      <c r="I34" s="46">
        <f>+I29*I30*$P$24*$Q$24+I29*I32*$P$28*$Q$28</f>
        <v>1698.0089922840634</v>
      </c>
      <c r="J34" s="46">
        <f>+J29*J30*$P$24*$Q$24+J29*J32*$P$28*$Q$28</f>
        <v>2009.7912355093979</v>
      </c>
      <c r="K34" s="11"/>
      <c r="L34" s="7"/>
      <c r="O34" s="17" t="s">
        <v>134</v>
      </c>
      <c r="P34" s="75" t="b">
        <v>1</v>
      </c>
      <c r="Q34" s="73">
        <f t="shared" si="11"/>
        <v>1.1000000000000001</v>
      </c>
    </row>
    <row r="35" spans="1:17" ht="19" x14ac:dyDescent="0.55000000000000004">
      <c r="A35" s="143" t="s">
        <v>24</v>
      </c>
      <c r="B35" s="144"/>
      <c r="C35" s="102"/>
      <c r="D35" s="109">
        <f>+D31*1.02</f>
        <v>0</v>
      </c>
      <c r="E35" s="50">
        <f>+E31+E33+1.05*(E31+E33)</f>
        <v>106.89561794097537</v>
      </c>
      <c r="F35" s="50">
        <f t="shared" ref="F35:J35" si="12">+F31+F33+1.05*(F31+F33)</f>
        <v>211.2760448715749</v>
      </c>
      <c r="G35" s="50">
        <f t="shared" si="12"/>
        <v>313.04696112890952</v>
      </c>
      <c r="H35" s="50">
        <f t="shared" si="12"/>
        <v>329.68872244906157</v>
      </c>
      <c r="I35" s="50">
        <f t="shared" si="12"/>
        <v>406.69373182301092</v>
      </c>
      <c r="J35" s="50">
        <f t="shared" si="12"/>
        <v>481.36935756448418</v>
      </c>
      <c r="K35" s="11"/>
      <c r="L35" s="7"/>
      <c r="O35" s="17" t="s">
        <v>135</v>
      </c>
      <c r="P35" s="75" t="b">
        <v>1</v>
      </c>
      <c r="Q35" s="73">
        <f t="shared" si="11"/>
        <v>1.1000000000000001</v>
      </c>
    </row>
    <row r="36" spans="1:17" x14ac:dyDescent="0.55000000000000004">
      <c r="A36" s="145" t="s">
        <v>5</v>
      </c>
      <c r="B36" s="6" t="str">
        <f>+C8</f>
        <v>新規応募</v>
      </c>
      <c r="C36" s="6"/>
      <c r="D36" s="11">
        <v>0</v>
      </c>
      <c r="E36" s="111">
        <v>2</v>
      </c>
      <c r="F36" s="111">
        <v>2</v>
      </c>
      <c r="G36" s="111">
        <v>4</v>
      </c>
      <c r="H36" s="111">
        <v>5</v>
      </c>
      <c r="I36" s="111">
        <v>5</v>
      </c>
      <c r="J36" s="111">
        <v>6</v>
      </c>
      <c r="K36" s="115">
        <f>SUM(E36:J36)</f>
        <v>24</v>
      </c>
      <c r="L36" s="7"/>
      <c r="N36" s="69" t="s">
        <v>192</v>
      </c>
      <c r="O36" s="17" t="s">
        <v>126</v>
      </c>
      <c r="P36" s="74">
        <f>1*(Q32*Q33*Q34*Q35)</f>
        <v>1.4641000000000006</v>
      </c>
      <c r="Q36" s="73"/>
    </row>
    <row r="37" spans="1:17" x14ac:dyDescent="0.55000000000000004">
      <c r="A37" s="146"/>
      <c r="B37" s="6" t="str">
        <f>+C9</f>
        <v>-</v>
      </c>
      <c r="C37" s="6"/>
      <c r="D37" s="11">
        <v>0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5">
        <f>SUM(E37:J37)</f>
        <v>0</v>
      </c>
      <c r="L37" s="7"/>
      <c r="N37" s="69" t="s">
        <v>117</v>
      </c>
    </row>
    <row r="38" spans="1:17" x14ac:dyDescent="0.55000000000000004">
      <c r="A38" s="145" t="s">
        <v>8</v>
      </c>
      <c r="B38" s="6" t="str">
        <f>+C10</f>
        <v>再応募</v>
      </c>
      <c r="C38" s="6"/>
      <c r="D38" s="11">
        <v>0</v>
      </c>
      <c r="E38" s="111">
        <v>0</v>
      </c>
      <c r="F38" s="111">
        <v>0</v>
      </c>
      <c r="G38" s="111">
        <v>1</v>
      </c>
      <c r="H38" s="111">
        <v>2</v>
      </c>
      <c r="I38" s="111">
        <v>3</v>
      </c>
      <c r="J38" s="111">
        <v>3</v>
      </c>
      <c r="K38" s="115">
        <f>SUM(E38:J38)</f>
        <v>9</v>
      </c>
      <c r="L38" s="7"/>
      <c r="N38" s="69" t="s">
        <v>193</v>
      </c>
      <c r="O38" s="21" t="s">
        <v>36</v>
      </c>
    </row>
    <row r="39" spans="1:17" x14ac:dyDescent="0.55000000000000004">
      <c r="A39" s="146"/>
      <c r="B39" s="6" t="str">
        <f>+C11</f>
        <v>-</v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  <v>0</v>
      </c>
      <c r="L39" s="7"/>
      <c r="N39" s="69" t="s">
        <v>118</v>
      </c>
      <c r="O39" s="21" t="s">
        <v>37</v>
      </c>
    </row>
    <row r="40" spans="1:17" x14ac:dyDescent="0.55000000000000004">
      <c r="A40" s="139" t="s">
        <v>52</v>
      </c>
      <c r="B40" s="140"/>
      <c r="C40" s="97"/>
      <c r="D40" s="11">
        <f t="shared" ref="D40:J40" si="13">+SUM(D36:D39)</f>
        <v>0</v>
      </c>
      <c r="E40" s="10">
        <f t="shared" si="13"/>
        <v>2</v>
      </c>
      <c r="F40" s="10">
        <f t="shared" si="13"/>
        <v>2</v>
      </c>
      <c r="G40" s="10">
        <f t="shared" si="13"/>
        <v>5</v>
      </c>
      <c r="H40" s="10">
        <f t="shared" si="13"/>
        <v>7</v>
      </c>
      <c r="I40" s="10">
        <f t="shared" si="13"/>
        <v>8</v>
      </c>
      <c r="J40" s="10">
        <f t="shared" si="13"/>
        <v>9</v>
      </c>
      <c r="K40" s="115">
        <f>SUM(E40:J40)</f>
        <v>33</v>
      </c>
      <c r="L40" s="7"/>
      <c r="O40" s="17"/>
    </row>
    <row r="41" spans="1:17" x14ac:dyDescent="0.55000000000000004">
      <c r="B41" s="5" t="s">
        <v>65</v>
      </c>
      <c r="D41" s="18">
        <f t="shared" ref="D41" si="14">+IFERROR(D40/D35,0)</f>
        <v>0</v>
      </c>
      <c r="E41" s="18">
        <f>+IFERROR(E40/E35,0)</f>
        <v>1.8709840857127947E-2</v>
      </c>
      <c r="F41" s="18">
        <f t="shared" ref="F41:J41" si="15">+IFERROR(F40/F35,0)</f>
        <v>9.4662885289040176E-3</v>
      </c>
      <c r="G41" s="18">
        <f t="shared" si="15"/>
        <v>1.5972044519994722E-2</v>
      </c>
      <c r="H41" s="18">
        <f t="shared" si="15"/>
        <v>2.1232148761417012E-2</v>
      </c>
      <c r="I41" s="18">
        <f t="shared" si="15"/>
        <v>1.9670821982281057E-2</v>
      </c>
      <c r="J41" s="18">
        <f t="shared" si="15"/>
        <v>1.8696661635331371E-2</v>
      </c>
      <c r="N41" s="69" t="s">
        <v>116</v>
      </c>
    </row>
    <row r="42" spans="1:17" x14ac:dyDescent="0.55000000000000004">
      <c r="B42" s="29"/>
      <c r="D42" s="18"/>
      <c r="E42" s="116"/>
      <c r="F42" s="116"/>
      <c r="G42" s="116"/>
      <c r="H42" s="116"/>
      <c r="I42" s="116"/>
      <c r="J42" s="116"/>
    </row>
    <row r="43" spans="1:17" x14ac:dyDescent="0.55000000000000004">
      <c r="A43" s="29" t="s">
        <v>50</v>
      </c>
      <c r="C43" s="5" t="s">
        <v>149</v>
      </c>
      <c r="D43" s="5" t="s">
        <v>150</v>
      </c>
    </row>
    <row r="44" spans="1:17" x14ac:dyDescent="0.55000000000000004">
      <c r="A44" s="137" t="s">
        <v>26</v>
      </c>
      <c r="B44" s="138"/>
      <c r="C44" s="103"/>
      <c r="D44" s="16" t="s">
        <v>21</v>
      </c>
      <c r="E44" s="31">
        <f>+E75*E76</f>
        <v>0</v>
      </c>
      <c r="F44" s="31">
        <f t="shared" ref="F44:J44" si="16">+F75*F76</f>
        <v>0</v>
      </c>
      <c r="G44" s="31">
        <f t="shared" si="16"/>
        <v>0</v>
      </c>
      <c r="H44" s="31">
        <f t="shared" si="16"/>
        <v>0</v>
      </c>
      <c r="I44" s="31">
        <f t="shared" si="16"/>
        <v>0</v>
      </c>
      <c r="J44" s="31">
        <f t="shared" si="16"/>
        <v>0</v>
      </c>
      <c r="K44" s="11"/>
      <c r="L44" s="7"/>
    </row>
    <row r="45" spans="1:17" x14ac:dyDescent="0.55000000000000004">
      <c r="A45" s="137" t="s">
        <v>131</v>
      </c>
      <c r="B45" s="138"/>
      <c r="C45" s="104">
        <f>+SUM(C65:C72)</f>
        <v>0</v>
      </c>
      <c r="D45" s="80">
        <f>+SUM(D65:D72)</f>
        <v>295000</v>
      </c>
      <c r="E45" s="27">
        <f>SUM(E65:E68)+SUM(E71:E72)</f>
        <v>65000</v>
      </c>
      <c r="F45" s="27">
        <f t="shared" ref="F45:J45" si="17">SUM(F65:F68)+SUM(F71:F72)</f>
        <v>65000</v>
      </c>
      <c r="G45" s="27">
        <f t="shared" si="17"/>
        <v>65000</v>
      </c>
      <c r="H45" s="27">
        <f t="shared" si="17"/>
        <v>65000</v>
      </c>
      <c r="I45" s="27">
        <f t="shared" si="17"/>
        <v>65000</v>
      </c>
      <c r="J45" s="27">
        <f t="shared" si="17"/>
        <v>65000</v>
      </c>
      <c r="K45" s="11"/>
      <c r="L45" s="7"/>
    </row>
    <row r="46" spans="1:17" x14ac:dyDescent="0.55000000000000004">
      <c r="A46" s="137" t="s">
        <v>16</v>
      </c>
      <c r="B46" s="138"/>
      <c r="C46" s="103"/>
      <c r="D46" s="16" t="s">
        <v>21</v>
      </c>
      <c r="E46" s="28">
        <f t="shared" ref="E46:J46" si="18">IFERROR(SUM(E65:E67)/(E28-D28),"-")</f>
        <v>365.66866419522893</v>
      </c>
      <c r="F46" s="28">
        <f t="shared" si="18"/>
        <v>365.66866419522893</v>
      </c>
      <c r="G46" s="28">
        <f t="shared" si="18"/>
        <v>365.66866419522893</v>
      </c>
      <c r="H46" s="28">
        <f t="shared" si="18"/>
        <v>365.66866419522893</v>
      </c>
      <c r="I46" s="28">
        <f t="shared" si="18"/>
        <v>365.66866419522904</v>
      </c>
      <c r="J46" s="28">
        <f t="shared" si="18"/>
        <v>365.66866419522904</v>
      </c>
      <c r="K46" s="11"/>
      <c r="L46" s="7"/>
    </row>
    <row r="47" spans="1:17" x14ac:dyDescent="0.55000000000000004">
      <c r="A47" s="137" t="s">
        <v>17</v>
      </c>
      <c r="B47" s="138"/>
      <c r="C47" s="103"/>
      <c r="D47" s="16" t="s">
        <v>21</v>
      </c>
      <c r="E47" s="28">
        <f t="shared" ref="E47:I47" si="19">+E51/E35</f>
        <v>720.32887299942593</v>
      </c>
      <c r="F47" s="28">
        <f t="shared" si="19"/>
        <v>364.45210836280467</v>
      </c>
      <c r="G47" s="28">
        <f t="shared" si="19"/>
        <v>303.46884587989973</v>
      </c>
      <c r="H47" s="28">
        <f t="shared" si="19"/>
        <v>324.54855963880289</v>
      </c>
      <c r="I47" s="28">
        <f t="shared" si="19"/>
        <v>277.8503604997199</v>
      </c>
      <c r="J47" s="28">
        <f>+J51/J35</f>
        <v>247.21141495604812</v>
      </c>
      <c r="K47" s="11"/>
      <c r="L47" s="7"/>
    </row>
    <row r="48" spans="1:17" x14ac:dyDescent="0.55000000000000004">
      <c r="A48" s="137" t="s">
        <v>19</v>
      </c>
      <c r="B48" s="138"/>
      <c r="C48" s="103"/>
      <c r="D48" s="16" t="s">
        <v>21</v>
      </c>
      <c r="E48" s="32">
        <f t="shared" ref="E48:J48" si="20">+SUM(E36:E39)/E35</f>
        <v>1.8709840857127947E-2</v>
      </c>
      <c r="F48" s="32">
        <f t="shared" si="20"/>
        <v>9.4662885289040176E-3</v>
      </c>
      <c r="G48" s="32">
        <f t="shared" si="20"/>
        <v>1.5972044519994722E-2</v>
      </c>
      <c r="H48" s="32">
        <f t="shared" si="20"/>
        <v>2.1232148761417012E-2</v>
      </c>
      <c r="I48" s="32">
        <f t="shared" si="20"/>
        <v>1.9670821982281057E-2</v>
      </c>
      <c r="J48" s="32">
        <f t="shared" si="20"/>
        <v>1.8696661635331371E-2</v>
      </c>
      <c r="K48" s="11"/>
      <c r="L48" s="7"/>
    </row>
    <row r="49" spans="1:12" x14ac:dyDescent="0.55000000000000004">
      <c r="A49" s="139" t="s">
        <v>18</v>
      </c>
      <c r="B49" s="140"/>
      <c r="C49" s="105"/>
      <c r="D49" s="16" t="s">
        <v>21</v>
      </c>
      <c r="E49" s="28">
        <f>+IFERROR(E51/SUM(E36:E39),0)</f>
        <v>38500</v>
      </c>
      <c r="F49" s="28">
        <f t="shared" ref="F49:J49" si="21">+IFERROR(F51/SUM(F36:F39),0)</f>
        <v>38500</v>
      </c>
      <c r="G49" s="28">
        <f t="shared" si="21"/>
        <v>19000</v>
      </c>
      <c r="H49" s="28">
        <f t="shared" si="21"/>
        <v>15285.714285714286</v>
      </c>
      <c r="I49" s="28">
        <f t="shared" si="21"/>
        <v>14125</v>
      </c>
      <c r="J49" s="28">
        <f t="shared" si="21"/>
        <v>13222.222222222223</v>
      </c>
      <c r="K49" s="11"/>
      <c r="L49" s="7"/>
    </row>
    <row r="50" spans="1:12" x14ac:dyDescent="0.55000000000000004">
      <c r="A50" s="139" t="s">
        <v>115</v>
      </c>
      <c r="B50" s="140"/>
      <c r="C50" s="105"/>
      <c r="D50" s="64" t="s">
        <v>21</v>
      </c>
      <c r="E50" s="65">
        <f>+E36*$D$8+E38*$D$10</f>
        <v>12000</v>
      </c>
      <c r="F50" s="65">
        <f t="shared" ref="F50:J50" si="22">+F36*$D$8+F38*$D$10</f>
        <v>12000</v>
      </c>
      <c r="G50" s="65">
        <f t="shared" si="22"/>
        <v>30000</v>
      </c>
      <c r="H50" s="65">
        <f t="shared" si="22"/>
        <v>42000</v>
      </c>
      <c r="I50" s="65">
        <f t="shared" si="22"/>
        <v>48000</v>
      </c>
      <c r="J50" s="65">
        <f t="shared" si="22"/>
        <v>54000</v>
      </c>
      <c r="K50" s="11"/>
      <c r="L50" s="7"/>
    </row>
    <row r="51" spans="1:12" x14ac:dyDescent="0.55000000000000004">
      <c r="A51" s="135" t="s">
        <v>68</v>
      </c>
      <c r="B51" s="136"/>
      <c r="C51" s="110">
        <f>+C45</f>
        <v>0</v>
      </c>
      <c r="D51" s="40">
        <f>+D45</f>
        <v>295000</v>
      </c>
      <c r="E51" s="40">
        <f>SUM(E45,E50)+E44</f>
        <v>77000</v>
      </c>
      <c r="F51" s="40">
        <f t="shared" ref="F51:I51" si="23">SUM(F45,F50)+F44</f>
        <v>77000</v>
      </c>
      <c r="G51" s="40">
        <f t="shared" si="23"/>
        <v>95000</v>
      </c>
      <c r="H51" s="40">
        <f t="shared" si="23"/>
        <v>107000</v>
      </c>
      <c r="I51" s="40">
        <f t="shared" si="23"/>
        <v>113000</v>
      </c>
      <c r="J51" s="40">
        <f>SUM(J45,J50)+J44</f>
        <v>119000</v>
      </c>
      <c r="K51" s="11"/>
      <c r="L51" s="7"/>
    </row>
    <row r="52" spans="1:12" x14ac:dyDescent="0.5500000000000000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2" hidden="1" x14ac:dyDescent="0.55000000000000004">
      <c r="A53" s="29" t="s">
        <v>66</v>
      </c>
    </row>
    <row r="54" spans="1:12" hidden="1" x14ac:dyDescent="0.55000000000000004">
      <c r="A54" s="137" t="s">
        <v>26</v>
      </c>
      <c r="B54" s="138"/>
      <c r="C54" s="96"/>
      <c r="D54" s="28">
        <f>+D75*D76</f>
        <v>0</v>
      </c>
      <c r="E54" s="28">
        <f t="shared" ref="E54:J54" si="24">+E75*E76</f>
        <v>0</v>
      </c>
      <c r="F54" s="28">
        <f t="shared" si="24"/>
        <v>0</v>
      </c>
      <c r="G54" s="28">
        <f t="shared" si="24"/>
        <v>0</v>
      </c>
      <c r="H54" s="28">
        <f t="shared" si="24"/>
        <v>0</v>
      </c>
      <c r="I54" s="28">
        <f t="shared" si="24"/>
        <v>0</v>
      </c>
      <c r="J54" s="28">
        <f t="shared" si="24"/>
        <v>0</v>
      </c>
      <c r="K54" s="11"/>
      <c r="L54" s="7"/>
    </row>
    <row r="55" spans="1:12" hidden="1" x14ac:dyDescent="0.55000000000000004">
      <c r="A55" s="137" t="s">
        <v>131</v>
      </c>
      <c r="B55" s="138"/>
      <c r="C55" s="96"/>
      <c r="D55" s="27">
        <f>+SUM(D65:D72)</f>
        <v>295000</v>
      </c>
      <c r="E55" s="27">
        <f>SUM(E65:E72)+E54</f>
        <v>215000</v>
      </c>
      <c r="F55" s="27">
        <f t="shared" ref="F55:J55" si="25">SUM(F65:F72)+F54</f>
        <v>215000</v>
      </c>
      <c r="G55" s="27">
        <f t="shared" si="25"/>
        <v>215000</v>
      </c>
      <c r="H55" s="27">
        <f t="shared" si="25"/>
        <v>215000</v>
      </c>
      <c r="I55" s="27">
        <f t="shared" si="25"/>
        <v>215000</v>
      </c>
      <c r="J55" s="27">
        <f t="shared" si="25"/>
        <v>215000</v>
      </c>
      <c r="K55" s="11"/>
      <c r="L55" s="7"/>
    </row>
    <row r="56" spans="1:12" hidden="1" x14ac:dyDescent="0.55000000000000004">
      <c r="A56" s="137" t="s">
        <v>16</v>
      </c>
      <c r="B56" s="138"/>
      <c r="C56" s="96"/>
      <c r="D56" s="39" t="s">
        <v>21</v>
      </c>
      <c r="E56" s="28">
        <f t="shared" ref="E56:J56" si="26">IFERROR(SUM(E65:E67)/(E28-D28),"-")</f>
        <v>365.66866419522893</v>
      </c>
      <c r="F56" s="28">
        <f t="shared" si="26"/>
        <v>365.66866419522893</v>
      </c>
      <c r="G56" s="28">
        <f t="shared" si="26"/>
        <v>365.66866419522893</v>
      </c>
      <c r="H56" s="28">
        <f t="shared" si="26"/>
        <v>365.66866419522893</v>
      </c>
      <c r="I56" s="28">
        <f t="shared" si="26"/>
        <v>365.66866419522904</v>
      </c>
      <c r="J56" s="28">
        <f t="shared" si="26"/>
        <v>365.66866419522904</v>
      </c>
      <c r="K56" s="11"/>
      <c r="L56" s="7"/>
    </row>
    <row r="57" spans="1:12" hidden="1" x14ac:dyDescent="0.55000000000000004">
      <c r="A57" s="137" t="s">
        <v>17</v>
      </c>
      <c r="B57" s="138"/>
      <c r="C57" s="96"/>
      <c r="D57" s="39" t="s">
        <v>21</v>
      </c>
      <c r="E57" s="28">
        <f>+E61/E35</f>
        <v>2011.3078921412541</v>
      </c>
      <c r="F57" s="28">
        <f t="shared" ref="F57:J57" si="27">+F61/F35</f>
        <v>1017.6260168571819</v>
      </c>
      <c r="G57" s="28">
        <f t="shared" si="27"/>
        <v>686.79791435977302</v>
      </c>
      <c r="H57" s="28">
        <f t="shared" si="27"/>
        <v>652.13028338637969</v>
      </c>
      <c r="I57" s="28">
        <f t="shared" si="27"/>
        <v>528.65334077380339</v>
      </c>
      <c r="J57" s="28">
        <f t="shared" si="27"/>
        <v>446.64247239958274</v>
      </c>
      <c r="K57" s="11"/>
      <c r="L57" s="7"/>
    </row>
    <row r="58" spans="1:12" hidden="1" x14ac:dyDescent="0.55000000000000004">
      <c r="A58" s="137" t="s">
        <v>19</v>
      </c>
      <c r="B58" s="138"/>
      <c r="C58" s="96"/>
      <c r="D58" s="39" t="s">
        <v>21</v>
      </c>
      <c r="E58" s="32">
        <f t="shared" ref="E58:J58" si="28">+SUM(E36:E39)/E35</f>
        <v>1.8709840857127947E-2</v>
      </c>
      <c r="F58" s="32">
        <f t="shared" si="28"/>
        <v>9.4662885289040176E-3</v>
      </c>
      <c r="G58" s="32">
        <f t="shared" si="28"/>
        <v>1.5972044519994722E-2</v>
      </c>
      <c r="H58" s="32">
        <f t="shared" si="28"/>
        <v>2.1232148761417012E-2</v>
      </c>
      <c r="I58" s="32">
        <f t="shared" si="28"/>
        <v>1.9670821982281057E-2</v>
      </c>
      <c r="J58" s="32">
        <f t="shared" si="28"/>
        <v>1.8696661635331371E-2</v>
      </c>
      <c r="K58" s="11"/>
      <c r="L58" s="7"/>
    </row>
    <row r="59" spans="1:12" hidden="1" x14ac:dyDescent="0.55000000000000004">
      <c r="A59" s="139" t="s">
        <v>18</v>
      </c>
      <c r="B59" s="140"/>
      <c r="C59" s="97"/>
      <c r="D59" s="28"/>
      <c r="E59" s="28">
        <f>+IFERROR(E55/E40,0)</f>
        <v>107500</v>
      </c>
      <c r="F59" s="28">
        <f t="shared" ref="F59:J59" si="29">+IFERROR(F55/F40,0)</f>
        <v>107500</v>
      </c>
      <c r="G59" s="28">
        <f t="shared" si="29"/>
        <v>43000</v>
      </c>
      <c r="H59" s="28">
        <f t="shared" si="29"/>
        <v>30714.285714285714</v>
      </c>
      <c r="I59" s="28">
        <f t="shared" si="29"/>
        <v>26875</v>
      </c>
      <c r="J59" s="28">
        <f t="shared" si="29"/>
        <v>23888.888888888891</v>
      </c>
      <c r="K59" s="11"/>
      <c r="L59" s="7"/>
    </row>
    <row r="60" spans="1:12" hidden="1" x14ac:dyDescent="0.55000000000000004">
      <c r="A60" s="139" t="s">
        <v>115</v>
      </c>
      <c r="B60" s="140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2" hidden="1" x14ac:dyDescent="0.55000000000000004">
      <c r="A61" s="135" t="s">
        <v>68</v>
      </c>
      <c r="B61" s="136"/>
      <c r="C61" s="98"/>
      <c r="D61" s="40">
        <f>+D55</f>
        <v>295000</v>
      </c>
      <c r="E61" s="40">
        <f>+SUM(E65:E72)+E54</f>
        <v>215000</v>
      </c>
      <c r="F61" s="40">
        <f t="shared" ref="F61:J61" si="30">+SUM(F65:F72)+F54</f>
        <v>215000</v>
      </c>
      <c r="G61" s="40">
        <f t="shared" si="30"/>
        <v>215000</v>
      </c>
      <c r="H61" s="40">
        <f t="shared" si="30"/>
        <v>215000</v>
      </c>
      <c r="I61" s="40">
        <f t="shared" si="30"/>
        <v>215000</v>
      </c>
      <c r="J61" s="40">
        <f t="shared" si="30"/>
        <v>215000</v>
      </c>
      <c r="K61" s="11"/>
      <c r="L61" s="7"/>
    </row>
    <row r="62" spans="1:12" hidden="1" x14ac:dyDescent="0.55000000000000004"/>
    <row r="64" spans="1:12" x14ac:dyDescent="0.55000000000000004">
      <c r="C64" s="5" t="s">
        <v>149</v>
      </c>
      <c r="D64" s="5" t="s">
        <v>150</v>
      </c>
    </row>
    <row r="65" spans="1:16" x14ac:dyDescent="0.55000000000000004">
      <c r="A65" s="52" t="s">
        <v>27</v>
      </c>
      <c r="B65" s="6" t="s">
        <v>26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</row>
    <row r="66" spans="1:16" x14ac:dyDescent="0.55000000000000004">
      <c r="A66" s="53" t="s">
        <v>49</v>
      </c>
      <c r="B66" s="6" t="s">
        <v>172</v>
      </c>
      <c r="C66" s="90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9" t="s">
        <v>194</v>
      </c>
    </row>
    <row r="67" spans="1:16" x14ac:dyDescent="0.55000000000000004">
      <c r="B67" s="6" t="s">
        <v>174</v>
      </c>
      <c r="C67" s="90">
        <v>0</v>
      </c>
      <c r="D67" s="51">
        <v>150000</v>
      </c>
      <c r="E67" s="28">
        <v>30000</v>
      </c>
      <c r="F67" s="28">
        <v>30000</v>
      </c>
      <c r="G67" s="28">
        <v>30000</v>
      </c>
      <c r="H67" s="28">
        <v>30000</v>
      </c>
      <c r="I67" s="28">
        <v>30000</v>
      </c>
      <c r="J67" s="28">
        <v>30000</v>
      </c>
      <c r="N67" s="69" t="s">
        <v>175</v>
      </c>
    </row>
    <row r="68" spans="1:16" x14ac:dyDescent="0.55000000000000004">
      <c r="A68" s="15"/>
      <c r="B68" s="6" t="s">
        <v>47</v>
      </c>
      <c r="C68" s="90">
        <v>0</v>
      </c>
      <c r="D68" s="51">
        <v>30000</v>
      </c>
      <c r="E68" s="28">
        <f t="shared" ref="E68:J68" si="31">IF(E34&lt;5000,5000,15000)</f>
        <v>5000</v>
      </c>
      <c r="F68" s="28">
        <f t="shared" si="31"/>
        <v>5000</v>
      </c>
      <c r="G68" s="28">
        <f t="shared" si="31"/>
        <v>5000</v>
      </c>
      <c r="H68" s="28">
        <f t="shared" si="31"/>
        <v>5000</v>
      </c>
      <c r="I68" s="28">
        <f t="shared" si="31"/>
        <v>5000</v>
      </c>
      <c r="J68" s="28">
        <f t="shared" si="31"/>
        <v>5000</v>
      </c>
      <c r="N68" s="69" t="s">
        <v>176</v>
      </c>
      <c r="O68" s="17" t="s">
        <v>130</v>
      </c>
      <c r="P68" s="75">
        <v>5000</v>
      </c>
    </row>
    <row r="69" spans="1:16" x14ac:dyDescent="0.55000000000000004">
      <c r="A69" s="15"/>
      <c r="B69" s="6" t="s">
        <v>184</v>
      </c>
      <c r="C69" s="90">
        <v>0</v>
      </c>
      <c r="D69" s="51">
        <v>100000</v>
      </c>
      <c r="E69" s="28">
        <v>150000</v>
      </c>
      <c r="F69" s="28">
        <v>150000</v>
      </c>
      <c r="G69" s="28">
        <v>150000</v>
      </c>
      <c r="H69" s="28">
        <v>150000</v>
      </c>
      <c r="I69" s="28">
        <v>150000</v>
      </c>
      <c r="J69" s="28">
        <v>150000</v>
      </c>
      <c r="N69" s="69" t="s">
        <v>185</v>
      </c>
      <c r="O69" s="5" t="s">
        <v>51</v>
      </c>
    </row>
    <row r="70" spans="1:16" x14ac:dyDescent="0.55000000000000004">
      <c r="A70" s="15"/>
      <c r="B70" s="6" t="s">
        <v>56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129</v>
      </c>
    </row>
    <row r="71" spans="1:16" x14ac:dyDescent="0.55000000000000004">
      <c r="A71" s="15"/>
      <c r="B71" s="6" t="s">
        <v>127</v>
      </c>
      <c r="C71" s="90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9" t="s">
        <v>128</v>
      </c>
    </row>
    <row r="72" spans="1:16" x14ac:dyDescent="0.55000000000000004">
      <c r="A72" s="15"/>
      <c r="B72" s="6" t="s">
        <v>62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55000000000000004">
      <c r="A73" s="15"/>
      <c r="B73" s="112" t="s">
        <v>152</v>
      </c>
      <c r="C73" s="113">
        <v>0</v>
      </c>
      <c r="D73" s="114">
        <f>SUM(D65:D72)</f>
        <v>295000</v>
      </c>
      <c r="E73" s="114">
        <f t="shared" ref="E73:J73" si="32">SUM(E65:E72)+E54</f>
        <v>215000</v>
      </c>
      <c r="F73" s="114">
        <f t="shared" si="32"/>
        <v>215000</v>
      </c>
      <c r="G73" s="114">
        <f t="shared" si="32"/>
        <v>215000</v>
      </c>
      <c r="H73" s="114">
        <f t="shared" si="32"/>
        <v>215000</v>
      </c>
      <c r="I73" s="114">
        <f t="shared" si="32"/>
        <v>215000</v>
      </c>
      <c r="J73" s="114">
        <f t="shared" si="32"/>
        <v>215000</v>
      </c>
    </row>
    <row r="74" spans="1:16" x14ac:dyDescent="0.5500000000000000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55000000000000004">
      <c r="B75" s="5" t="s">
        <v>63</v>
      </c>
      <c r="D75" s="41">
        <f t="shared" ref="D75:J75" si="33">+IF(D34&lt;30001,0,D34-30000)</f>
        <v>0</v>
      </c>
      <c r="E75" s="41">
        <f t="shared" si="33"/>
        <v>0</v>
      </c>
      <c r="F75" s="41">
        <f t="shared" si="33"/>
        <v>0</v>
      </c>
      <c r="G75" s="41">
        <f t="shared" si="33"/>
        <v>0</v>
      </c>
      <c r="H75" s="41">
        <f t="shared" si="33"/>
        <v>0</v>
      </c>
      <c r="I75" s="41">
        <f t="shared" si="33"/>
        <v>0</v>
      </c>
      <c r="J75" s="41">
        <f t="shared" si="33"/>
        <v>0</v>
      </c>
    </row>
    <row r="76" spans="1:16" x14ac:dyDescent="0.55000000000000004">
      <c r="B76" s="5" t="s">
        <v>64</v>
      </c>
      <c r="D76" s="5">
        <f t="shared" ref="D76:J76" si="34"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>3</v>
      </c>
      <c r="E76" s="5">
        <f t="shared" si="34"/>
        <v>3</v>
      </c>
      <c r="F76" s="5">
        <f t="shared" si="34"/>
        <v>3</v>
      </c>
      <c r="G76" s="5">
        <f t="shared" si="34"/>
        <v>3</v>
      </c>
      <c r="H76" s="5">
        <f t="shared" si="34"/>
        <v>3</v>
      </c>
      <c r="I76" s="5">
        <f t="shared" si="34"/>
        <v>3</v>
      </c>
      <c r="J76" s="5">
        <f t="shared" si="34"/>
        <v>3</v>
      </c>
    </row>
  </sheetData>
  <mergeCells count="35"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D691-14F5-4A8E-893C-B7BE5E9344BB}">
  <dimension ref="A1:Y35"/>
  <sheetViews>
    <sheetView topLeftCell="D1" zoomScale="76" workbookViewId="0">
      <selection activeCell="X18" sqref="X18"/>
    </sheetView>
  </sheetViews>
  <sheetFormatPr defaultColWidth="9" defaultRowHeight="17.5" x14ac:dyDescent="0.55000000000000004"/>
  <cols>
    <col min="1" max="1" width="41.75" style="29" customWidth="1"/>
    <col min="2" max="2" width="3" style="5" customWidth="1"/>
    <col min="3" max="6" width="26.08203125" style="5" customWidth="1"/>
    <col min="7" max="17" width="9" style="5"/>
    <col min="18" max="18" width="10.83203125" style="5" bestFit="1" customWidth="1"/>
    <col min="19" max="19" width="9" style="5"/>
    <col min="20" max="27" width="14.83203125" style="5" customWidth="1"/>
    <col min="28" max="16384" width="9" style="5"/>
  </cols>
  <sheetData>
    <row r="1" spans="1:25" x14ac:dyDescent="0.55000000000000004">
      <c r="E1" s="81" t="s">
        <v>144</v>
      </c>
      <c r="F1" s="81">
        <v>0.6</v>
      </c>
    </row>
    <row r="3" spans="1:25" x14ac:dyDescent="0.55000000000000004">
      <c r="A3" s="82" t="s">
        <v>77</v>
      </c>
      <c r="B3" s="82"/>
      <c r="C3" s="83" t="s">
        <v>71</v>
      </c>
      <c r="D3" s="84" t="s">
        <v>72</v>
      </c>
      <c r="E3" s="84" t="s">
        <v>73</v>
      </c>
      <c r="F3" s="84"/>
    </row>
    <row r="4" spans="1:25" x14ac:dyDescent="0.55000000000000004">
      <c r="A4" s="85" t="s">
        <v>139</v>
      </c>
      <c r="B4" s="7"/>
      <c r="C4" s="86" t="str">
        <f>+SIM!D24</f>
        <v>--</v>
      </c>
      <c r="D4" s="28">
        <f>+SIM!G51</f>
        <v>95000</v>
      </c>
      <c r="E4" s="28">
        <f>+SIM!J51</f>
        <v>119000</v>
      </c>
      <c r="F4" s="28"/>
    </row>
    <row r="5" spans="1:25" x14ac:dyDescent="0.55000000000000004">
      <c r="A5" s="85" t="s">
        <v>140</v>
      </c>
      <c r="B5" s="7"/>
      <c r="C5" s="86" t="str">
        <f>+SIM!D25</f>
        <v>--</v>
      </c>
      <c r="D5" s="28">
        <f>+SIM!G61</f>
        <v>215000</v>
      </c>
      <c r="E5" s="28">
        <f>+SIM!J61</f>
        <v>215000</v>
      </c>
      <c r="F5" s="27"/>
    </row>
    <row r="6" spans="1:25" x14ac:dyDescent="0.55000000000000004">
      <c r="A6" s="85" t="s">
        <v>74</v>
      </c>
      <c r="B6" s="7"/>
      <c r="C6" s="117">
        <f>+SIM!D28</f>
        <v>0</v>
      </c>
      <c r="D6" s="87">
        <f>+SIM!G28</f>
        <v>492.24890625000006</v>
      </c>
      <c r="E6" s="87">
        <f>+SIM!J28</f>
        <v>984.49781250000001</v>
      </c>
      <c r="F6" s="10"/>
    </row>
    <row r="7" spans="1:25" x14ac:dyDescent="0.55000000000000004">
      <c r="A7" s="85" t="s">
        <v>75</v>
      </c>
      <c r="B7" s="7"/>
      <c r="C7" s="88">
        <f>+SIM!D27</f>
        <v>0</v>
      </c>
      <c r="D7" s="89">
        <f>+SIM!G27</f>
        <v>0.33619999999999994</v>
      </c>
      <c r="E7" s="89">
        <f>+SIM!J27</f>
        <v>0.36205062812499983</v>
      </c>
      <c r="F7" s="89"/>
    </row>
    <row r="8" spans="1:25" x14ac:dyDescent="0.55000000000000004">
      <c r="A8" s="85" t="s">
        <v>76</v>
      </c>
      <c r="B8" s="7"/>
      <c r="C8" s="117">
        <f>+SIM!D29</f>
        <v>0</v>
      </c>
      <c r="D8" s="10">
        <f>+SIM!G29</f>
        <v>326.75482396875009</v>
      </c>
      <c r="E8" s="10">
        <f>+SIM!J29</f>
        <v>628.05976109668677</v>
      </c>
      <c r="F8" s="10"/>
    </row>
    <row r="9" spans="1:25" x14ac:dyDescent="0.55000000000000004">
      <c r="A9" s="85"/>
      <c r="B9" s="7"/>
      <c r="C9" s="7"/>
      <c r="D9" s="7"/>
      <c r="E9" s="7"/>
      <c r="F9" s="7"/>
    </row>
    <row r="10" spans="1:25" x14ac:dyDescent="0.55000000000000004">
      <c r="A10" s="85" t="s">
        <v>78</v>
      </c>
      <c r="B10" s="7"/>
      <c r="C10" s="117">
        <f>+SIM!D34</f>
        <v>0</v>
      </c>
      <c r="D10" s="10">
        <f>+SIM!G34</f>
        <v>1307.0192958750004</v>
      </c>
      <c r="E10" s="10">
        <f>+SIM!J34</f>
        <v>2009.7912355093979</v>
      </c>
      <c r="F10" s="10"/>
    </row>
    <row r="11" spans="1:25" x14ac:dyDescent="0.55000000000000004">
      <c r="A11" s="85" t="s">
        <v>79</v>
      </c>
      <c r="B11" s="7"/>
      <c r="C11" s="117">
        <f>+SIM!D35</f>
        <v>0</v>
      </c>
      <c r="D11" s="10">
        <f>+SIM!G35</f>
        <v>313.04696112890952</v>
      </c>
      <c r="E11" s="10">
        <f>+SIM!J35</f>
        <v>481.36935756448418</v>
      </c>
      <c r="F11" s="10"/>
    </row>
    <row r="12" spans="1:25" x14ac:dyDescent="0.55000000000000004">
      <c r="A12" s="85" t="s">
        <v>146</v>
      </c>
      <c r="B12" s="7"/>
      <c r="C12" s="28">
        <f>+IFERROR(C5/C11,0)</f>
        <v>0</v>
      </c>
      <c r="D12" s="28">
        <f>+D4/D11</f>
        <v>303.46884587989973</v>
      </c>
      <c r="E12" s="28">
        <f t="shared" ref="E12" si="0">+E4/E11</f>
        <v>247.21141495604812</v>
      </c>
      <c r="F12" s="28"/>
    </row>
    <row r="13" spans="1:25" x14ac:dyDescent="0.55000000000000004">
      <c r="A13" s="85" t="s">
        <v>147</v>
      </c>
      <c r="B13" s="7"/>
      <c r="C13" s="28">
        <f>+IFERROR(C6/C12,0)</f>
        <v>0</v>
      </c>
      <c r="D13" s="28">
        <f>+D5/D11</f>
        <v>686.79791435977302</v>
      </c>
      <c r="E13" s="28">
        <f t="shared" ref="E13" si="1">+E5/E11</f>
        <v>446.64247239958274</v>
      </c>
      <c r="F13" s="28"/>
    </row>
    <row r="14" spans="1:25" x14ac:dyDescent="0.55000000000000004">
      <c r="A14" s="85"/>
      <c r="B14" s="7"/>
      <c r="C14" s="7"/>
      <c r="D14" s="7"/>
      <c r="E14" s="7"/>
      <c r="F14" s="7"/>
      <c r="R14" s="29" t="s">
        <v>46</v>
      </c>
    </row>
    <row r="15" spans="1:25" x14ac:dyDescent="0.55000000000000004">
      <c r="A15" s="85" t="s">
        <v>164</v>
      </c>
      <c r="B15" s="7"/>
      <c r="C15" s="87">
        <f>+SIM!$H$10</f>
        <v>89</v>
      </c>
      <c r="D15" s="87">
        <f>+SIM!$H$10</f>
        <v>89</v>
      </c>
      <c r="E15" s="87">
        <f>+SIM!$H$10</f>
        <v>89</v>
      </c>
      <c r="F15" s="87"/>
      <c r="R15" s="5" t="s">
        <v>57</v>
      </c>
    </row>
    <row r="16" spans="1:25" x14ac:dyDescent="0.55000000000000004">
      <c r="A16" s="85" t="s">
        <v>177</v>
      </c>
      <c r="B16" s="7"/>
      <c r="C16" s="87">
        <f>SUM(C17:C20)</f>
        <v>0</v>
      </c>
      <c r="D16" s="87">
        <f>SUM(D17:D20)</f>
        <v>5</v>
      </c>
      <c r="E16" s="87">
        <f>SUM(E17:E20)</f>
        <v>9</v>
      </c>
      <c r="F16" s="87"/>
      <c r="R16" s="5" t="s">
        <v>58</v>
      </c>
      <c r="V16" s="5" t="s">
        <v>59</v>
      </c>
      <c r="Y16" s="35" t="s">
        <v>60</v>
      </c>
    </row>
    <row r="17" spans="1:25" x14ac:dyDescent="0.55000000000000004">
      <c r="A17" s="85" t="s">
        <v>186</v>
      </c>
      <c r="B17" s="7"/>
      <c r="C17" s="87">
        <f>+SIM!D36</f>
        <v>0</v>
      </c>
      <c r="D17" s="87">
        <f>+SIM!G36</f>
        <v>4</v>
      </c>
      <c r="E17" s="87">
        <f>+SIM!J36</f>
        <v>6</v>
      </c>
      <c r="F17" s="10"/>
      <c r="R17" s="5">
        <v>0</v>
      </c>
      <c r="S17" s="5" t="s">
        <v>61</v>
      </c>
      <c r="T17" s="34">
        <v>200000</v>
      </c>
      <c r="V17" s="5">
        <v>0</v>
      </c>
      <c r="W17" s="5" t="s">
        <v>61</v>
      </c>
      <c r="X17" s="34">
        <v>600000</v>
      </c>
      <c r="Y17" s="35">
        <v>3</v>
      </c>
    </row>
    <row r="18" spans="1:25" x14ac:dyDescent="0.55000000000000004">
      <c r="A18" s="85" t="s">
        <v>61</v>
      </c>
      <c r="B18" s="7"/>
      <c r="C18" s="87">
        <f>+SIM!D37</f>
        <v>0</v>
      </c>
      <c r="D18" s="87">
        <f>+SIM!G37</f>
        <v>0</v>
      </c>
      <c r="E18" s="87">
        <f>+SIM!J37</f>
        <v>0</v>
      </c>
      <c r="F18" s="10"/>
      <c r="R18" s="34">
        <v>200000</v>
      </c>
      <c r="S18" s="5" t="s">
        <v>61</v>
      </c>
      <c r="T18" s="34">
        <v>15000000</v>
      </c>
      <c r="V18" s="34">
        <v>600000</v>
      </c>
      <c r="W18" s="5" t="s">
        <v>61</v>
      </c>
      <c r="X18" s="34">
        <f>+T18*2.5</f>
        <v>37500000</v>
      </c>
      <c r="Y18" s="35">
        <v>2.5</v>
      </c>
    </row>
    <row r="19" spans="1:25" x14ac:dyDescent="0.55000000000000004">
      <c r="A19" s="85" t="s">
        <v>187</v>
      </c>
      <c r="B19" s="7"/>
      <c r="C19" s="87">
        <f>+SIM!D38</f>
        <v>0</v>
      </c>
      <c r="D19" s="87">
        <f>+SIM!G38</f>
        <v>1</v>
      </c>
      <c r="E19" s="87">
        <f>+SIM!J38</f>
        <v>3</v>
      </c>
      <c r="F19" s="10"/>
      <c r="R19" s="34"/>
      <c r="T19" s="34"/>
      <c r="V19" s="34"/>
      <c r="X19" s="34"/>
      <c r="Y19" s="35"/>
    </row>
    <row r="20" spans="1:25" x14ac:dyDescent="0.55000000000000004">
      <c r="A20" s="85" t="s">
        <v>61</v>
      </c>
      <c r="B20" s="7"/>
      <c r="C20" s="87">
        <f>+SIM!D39</f>
        <v>0</v>
      </c>
      <c r="D20" s="87">
        <f>+SIM!G39</f>
        <v>0</v>
      </c>
      <c r="E20" s="87">
        <f>+SIM!J39</f>
        <v>0</v>
      </c>
      <c r="F20" s="10"/>
      <c r="R20" s="34"/>
      <c r="T20" s="34"/>
      <c r="V20" s="34"/>
      <c r="X20" s="34"/>
      <c r="Y20" s="35"/>
    </row>
    <row r="21" spans="1:25" x14ac:dyDescent="0.5500000000000000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55000000000000004">
      <c r="A22" s="85" t="s">
        <v>141</v>
      </c>
      <c r="B22" s="7"/>
      <c r="C22" s="90" t="str">
        <f>+IFERROR(C4/C16,"--")</f>
        <v>--</v>
      </c>
      <c r="D22" s="90">
        <f t="shared" ref="D22:E22" si="2">+IFERROR(D4/D16,"--")</f>
        <v>19000</v>
      </c>
      <c r="E22" s="90">
        <f t="shared" si="2"/>
        <v>13222.222222222223</v>
      </c>
      <c r="F22" s="90"/>
      <c r="R22" s="34"/>
      <c r="T22" s="34"/>
      <c r="V22" s="34"/>
      <c r="X22" s="34"/>
      <c r="Y22" s="35"/>
    </row>
    <row r="23" spans="1:25" x14ac:dyDescent="0.55000000000000004">
      <c r="A23" s="85" t="s">
        <v>142</v>
      </c>
      <c r="B23" s="7"/>
      <c r="C23" s="90" t="str">
        <f>+IFERROR(C5/C16,"--")</f>
        <v>--</v>
      </c>
      <c r="D23" s="90">
        <f t="shared" ref="D23" si="3">+IFERROR(D5/D16,"--")</f>
        <v>43000</v>
      </c>
      <c r="E23" s="90">
        <f t="shared" ref="E23" si="4">+IFERROR(E5/E16,"--")</f>
        <v>23888.888888888891</v>
      </c>
      <c r="F23" s="90"/>
      <c r="R23" s="34"/>
      <c r="T23" s="34"/>
      <c r="V23" s="34"/>
      <c r="X23" s="34"/>
      <c r="Y23" s="35"/>
    </row>
    <row r="24" spans="1:25" x14ac:dyDescent="0.55000000000000004">
      <c r="A24" s="85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55000000000000004">
      <c r="A25" s="85" t="s">
        <v>148</v>
      </c>
      <c r="B25" s="7"/>
      <c r="C25" s="10">
        <f>+SIM!E68+C29*C30</f>
        <v>5000</v>
      </c>
      <c r="D25" s="10">
        <f>+SIM!G68+D29*D30</f>
        <v>5000</v>
      </c>
      <c r="E25" s="10">
        <f>+SIM!J68+E29*E30</f>
        <v>5000</v>
      </c>
      <c r="F25" s="10"/>
      <c r="R25" s="34"/>
      <c r="T25" s="34"/>
      <c r="V25" s="34"/>
      <c r="X25" s="34"/>
      <c r="Y25" s="35"/>
    </row>
    <row r="26" spans="1:25" x14ac:dyDescent="0.55000000000000004">
      <c r="R26" s="34"/>
      <c r="T26" s="34"/>
      <c r="V26" s="34"/>
      <c r="X26" s="34"/>
      <c r="Y26" s="35"/>
    </row>
    <row r="27" spans="1:25" x14ac:dyDescent="0.55000000000000004">
      <c r="R27" s="34"/>
      <c r="T27" s="34"/>
      <c r="V27" s="34"/>
      <c r="X27" s="34"/>
      <c r="Y27" s="35"/>
    </row>
    <row r="28" spans="1:25" x14ac:dyDescent="0.55000000000000004">
      <c r="R28" s="34"/>
      <c r="T28" s="34"/>
      <c r="V28" s="34"/>
      <c r="X28" s="34"/>
      <c r="Y28" s="35"/>
    </row>
    <row r="29" spans="1:25" x14ac:dyDescent="0.55000000000000004">
      <c r="A29" s="29" t="s">
        <v>145</v>
      </c>
      <c r="C29" s="5">
        <f>+IF(C10&lt;=30000,0,C10-30000)</f>
        <v>0</v>
      </c>
      <c r="D29" s="91">
        <f>+IF(D10&lt;=30000,0,D10-30000)</f>
        <v>0</v>
      </c>
      <c r="E29" s="91">
        <f>+IF(E10&lt;=30000,0,E10-30000)</f>
        <v>0</v>
      </c>
      <c r="F29" s="91"/>
      <c r="R29" s="34"/>
      <c r="T29" s="34"/>
      <c r="V29" s="34"/>
      <c r="X29" s="34"/>
      <c r="Y29" s="35"/>
    </row>
    <row r="30" spans="1:25" x14ac:dyDescent="0.55000000000000004">
      <c r="A30" s="29" t="s">
        <v>143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>3</v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>3</v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>3</v>
      </c>
      <c r="R30" s="34"/>
      <c r="T30" s="34"/>
      <c r="V30" s="34"/>
      <c r="X30" s="34"/>
      <c r="Y30" s="35"/>
    </row>
    <row r="31" spans="1:25" x14ac:dyDescent="0.55000000000000004">
      <c r="R31" s="34"/>
      <c r="T31" s="34"/>
      <c r="V31" s="34"/>
      <c r="Y31" s="35"/>
    </row>
    <row r="35" spans="1:6" x14ac:dyDescent="0.55000000000000004">
      <c r="A35" s="92" t="s">
        <v>110</v>
      </c>
      <c r="B35" s="92"/>
      <c r="C35" s="93" t="s">
        <v>136</v>
      </c>
      <c r="D35" s="94" t="s">
        <v>137</v>
      </c>
      <c r="E35" s="94" t="s">
        <v>138</v>
      </c>
      <c r="F35" s="94" t="s">
        <v>138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14B7-1E76-4B86-9C33-BD8F21953694}">
  <dimension ref="A2:J42"/>
  <sheetViews>
    <sheetView workbookViewId="0">
      <selection activeCell="B4" sqref="B4"/>
    </sheetView>
  </sheetViews>
  <sheetFormatPr defaultRowHeight="18" x14ac:dyDescent="0.55000000000000004"/>
  <cols>
    <col min="1" max="1" width="14.25" customWidth="1"/>
    <col min="5" max="5" width="14.25" customWidth="1"/>
  </cols>
  <sheetData>
    <row r="2" spans="1:7" x14ac:dyDescent="0.55000000000000004">
      <c r="A2" s="59" t="s">
        <v>80</v>
      </c>
      <c r="B2" s="59"/>
      <c r="C2" s="59"/>
      <c r="D2" s="59"/>
      <c r="E2" s="59"/>
      <c r="F2" s="59"/>
      <c r="G2" s="59"/>
    </row>
    <row r="3" spans="1:7" x14ac:dyDescent="0.55000000000000004">
      <c r="A3" s="54" t="s">
        <v>87</v>
      </c>
    </row>
    <row r="4" spans="1:7" x14ac:dyDescent="0.55000000000000004">
      <c r="A4" t="s">
        <v>85</v>
      </c>
      <c r="B4" t="s">
        <v>86</v>
      </c>
      <c r="E4">
        <v>1000</v>
      </c>
    </row>
    <row r="5" spans="1:7" x14ac:dyDescent="0.55000000000000004">
      <c r="A5" t="s">
        <v>41</v>
      </c>
      <c r="B5" s="60">
        <v>8.5000000000000006E-2</v>
      </c>
    </row>
    <row r="6" spans="1:7" x14ac:dyDescent="0.55000000000000004">
      <c r="A6" t="s">
        <v>89</v>
      </c>
      <c r="B6" s="60">
        <v>0.08</v>
      </c>
    </row>
    <row r="7" spans="1:7" x14ac:dyDescent="0.55000000000000004">
      <c r="E7">
        <f>+E4*B5*B6</f>
        <v>6.8</v>
      </c>
    </row>
    <row r="8" spans="1:7" x14ac:dyDescent="0.55000000000000004">
      <c r="A8" s="54" t="s">
        <v>88</v>
      </c>
    </row>
    <row r="9" spans="1:7" x14ac:dyDescent="0.55000000000000004">
      <c r="A9" t="s">
        <v>85</v>
      </c>
      <c r="B9" t="s">
        <v>86</v>
      </c>
      <c r="E9">
        <v>1000</v>
      </c>
    </row>
    <row r="10" spans="1:7" x14ac:dyDescent="0.55000000000000004">
      <c r="A10" t="s">
        <v>41</v>
      </c>
      <c r="B10" s="60">
        <v>5.0000000000000001E-3</v>
      </c>
    </row>
    <row r="11" spans="1:7" x14ac:dyDescent="0.55000000000000004">
      <c r="A11" t="s">
        <v>89</v>
      </c>
      <c r="B11" s="60">
        <v>0.08</v>
      </c>
    </row>
    <row r="12" spans="1:7" x14ac:dyDescent="0.55000000000000004">
      <c r="E12">
        <f>+E9*B10*B11</f>
        <v>0.4</v>
      </c>
    </row>
    <row r="13" spans="1:7" x14ac:dyDescent="0.55000000000000004">
      <c r="A13" s="54" t="s">
        <v>90</v>
      </c>
      <c r="D13" t="s">
        <v>93</v>
      </c>
    </row>
    <row r="14" spans="1:7" x14ac:dyDescent="0.55000000000000004">
      <c r="A14" t="s">
        <v>91</v>
      </c>
      <c r="B14" t="s">
        <v>86</v>
      </c>
      <c r="E14">
        <v>1000</v>
      </c>
    </row>
    <row r="15" spans="1:7" x14ac:dyDescent="0.55000000000000004">
      <c r="A15" t="s">
        <v>41</v>
      </c>
      <c r="B15" s="60">
        <v>0.9</v>
      </c>
      <c r="C15" t="s">
        <v>92</v>
      </c>
    </row>
    <row r="16" spans="1:7" x14ac:dyDescent="0.55000000000000004">
      <c r="A16" t="s">
        <v>89</v>
      </c>
      <c r="B16" s="60">
        <v>0.35</v>
      </c>
    </row>
    <row r="17" spans="1:10" x14ac:dyDescent="0.55000000000000004">
      <c r="E17">
        <f>+E14*B15*B16</f>
        <v>315</v>
      </c>
    </row>
    <row r="18" spans="1:10" x14ac:dyDescent="0.55000000000000004">
      <c r="A18" s="54" t="s">
        <v>94</v>
      </c>
      <c r="D18" t="s">
        <v>93</v>
      </c>
    </row>
    <row r="19" spans="1:10" x14ac:dyDescent="0.55000000000000004">
      <c r="A19" t="s">
        <v>85</v>
      </c>
      <c r="B19" s="60">
        <v>0.7</v>
      </c>
      <c r="C19" t="s">
        <v>86</v>
      </c>
      <c r="E19">
        <v>1000</v>
      </c>
    </row>
    <row r="20" spans="1:10" x14ac:dyDescent="0.55000000000000004">
      <c r="A20" t="s">
        <v>41</v>
      </c>
      <c r="B20" s="60">
        <v>1</v>
      </c>
    </row>
    <row r="21" spans="1:10" x14ac:dyDescent="0.55000000000000004">
      <c r="A21" t="s">
        <v>89</v>
      </c>
      <c r="B21" s="60">
        <v>0.2</v>
      </c>
    </row>
    <row r="22" spans="1:10" x14ac:dyDescent="0.55000000000000004">
      <c r="E22">
        <f>+E19*B20*B21</f>
        <v>200</v>
      </c>
    </row>
    <row r="23" spans="1:10" x14ac:dyDescent="0.55000000000000004">
      <c r="A23" s="59" t="s">
        <v>81</v>
      </c>
      <c r="B23" s="59"/>
      <c r="C23" s="59" t="s">
        <v>84</v>
      </c>
      <c r="D23" s="59"/>
      <c r="E23" s="59"/>
      <c r="F23" s="59"/>
      <c r="G23" s="59"/>
      <c r="I23" s="67" t="s">
        <v>100</v>
      </c>
      <c r="J23" s="68"/>
    </row>
    <row r="24" spans="1:10" x14ac:dyDescent="0.55000000000000004">
      <c r="A24" s="54" t="s">
        <v>82</v>
      </c>
      <c r="I24" s="66">
        <v>1</v>
      </c>
      <c r="J24" t="s">
        <v>101</v>
      </c>
    </row>
    <row r="25" spans="1:10" x14ac:dyDescent="0.55000000000000004">
      <c r="A25" t="s">
        <v>40</v>
      </c>
      <c r="B25" s="61">
        <v>0.8</v>
      </c>
      <c r="I25" s="66">
        <v>2</v>
      </c>
      <c r="J25" t="s">
        <v>102</v>
      </c>
    </row>
    <row r="26" spans="1:10" x14ac:dyDescent="0.55000000000000004">
      <c r="A26" t="s">
        <v>41</v>
      </c>
      <c r="B26" s="61">
        <v>0.06</v>
      </c>
      <c r="I26" s="66">
        <v>3</v>
      </c>
      <c r="J26" t="s">
        <v>103</v>
      </c>
    </row>
    <row r="27" spans="1:10" x14ac:dyDescent="0.55000000000000004">
      <c r="A27" t="s">
        <v>83</v>
      </c>
      <c r="B27" s="61">
        <v>3.0000000000000001E-3</v>
      </c>
      <c r="I27" s="66">
        <v>4</v>
      </c>
      <c r="J27" t="s">
        <v>104</v>
      </c>
    </row>
    <row r="29" spans="1:10" x14ac:dyDescent="0.55000000000000004">
      <c r="A29" s="54" t="s">
        <v>99</v>
      </c>
      <c r="I29" s="67" t="s">
        <v>105</v>
      </c>
      <c r="J29" s="68"/>
    </row>
    <row r="30" spans="1:10" x14ac:dyDescent="0.55000000000000004">
      <c r="A30" t="s">
        <v>40</v>
      </c>
      <c r="B30" s="61">
        <v>0.75</v>
      </c>
      <c r="I30" s="66">
        <v>1</v>
      </c>
      <c r="J30" t="s">
        <v>106</v>
      </c>
    </row>
    <row r="31" spans="1:10" x14ac:dyDescent="0.55000000000000004">
      <c r="A31" t="s">
        <v>41</v>
      </c>
      <c r="B31" s="61">
        <v>0.08</v>
      </c>
      <c r="I31" s="66">
        <v>2</v>
      </c>
      <c r="J31" t="s">
        <v>107</v>
      </c>
    </row>
    <row r="32" spans="1:10" x14ac:dyDescent="0.55000000000000004">
      <c r="A32" t="s">
        <v>83</v>
      </c>
      <c r="B32" s="61">
        <v>6.0000000000000001E-3</v>
      </c>
      <c r="I32" s="66">
        <v>3</v>
      </c>
      <c r="J32" t="s">
        <v>108</v>
      </c>
    </row>
    <row r="33" spans="1:10" x14ac:dyDescent="0.55000000000000004">
      <c r="I33" s="66">
        <v>4</v>
      </c>
      <c r="J33" t="s">
        <v>109</v>
      </c>
    </row>
    <row r="34" spans="1:10" x14ac:dyDescent="0.55000000000000004">
      <c r="A34" s="54" t="s">
        <v>95</v>
      </c>
    </row>
    <row r="35" spans="1:10" x14ac:dyDescent="0.55000000000000004">
      <c r="A35" t="s">
        <v>40</v>
      </c>
      <c r="B35" s="62" t="s">
        <v>21</v>
      </c>
    </row>
    <row r="36" spans="1:10" x14ac:dyDescent="0.55000000000000004">
      <c r="A36" t="s">
        <v>41</v>
      </c>
      <c r="B36" s="61">
        <v>0.02</v>
      </c>
    </row>
    <row r="37" spans="1:10" x14ac:dyDescent="0.55000000000000004">
      <c r="A37" t="s">
        <v>83</v>
      </c>
      <c r="B37" s="61">
        <v>4.0000000000000001E-3</v>
      </c>
    </row>
    <row r="39" spans="1:10" x14ac:dyDescent="0.55000000000000004">
      <c r="A39" s="54" t="s">
        <v>96</v>
      </c>
      <c r="E39" s="54" t="s">
        <v>97</v>
      </c>
    </row>
    <row r="40" spans="1:10" x14ac:dyDescent="0.55000000000000004">
      <c r="A40" t="s">
        <v>40</v>
      </c>
      <c r="B40" s="62">
        <v>1</v>
      </c>
      <c r="E40" t="s">
        <v>40</v>
      </c>
      <c r="F40" s="62" t="s">
        <v>21</v>
      </c>
    </row>
    <row r="41" spans="1:10" x14ac:dyDescent="0.55000000000000004">
      <c r="A41" t="s">
        <v>41</v>
      </c>
      <c r="B41" s="61">
        <v>3.5000000000000003E-2</v>
      </c>
      <c r="E41" t="s">
        <v>98</v>
      </c>
      <c r="F41" s="61">
        <v>0.25</v>
      </c>
    </row>
    <row r="42" spans="1:10" x14ac:dyDescent="0.55000000000000004">
      <c r="A42" t="s">
        <v>83</v>
      </c>
      <c r="B42" s="61">
        <v>6.0000000000000001E-3</v>
      </c>
      <c r="F42" s="61"/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deb97c-193b-473b-ac92-dc976e68b6a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357D3FFD3874644B9B63D306D91E343" ma:contentTypeVersion="5" ma:contentTypeDescription="新しいドキュメントを作成します。" ma:contentTypeScope="" ma:versionID="bfcf90751a1be541a10eb2cf2bfdf12b">
  <xsd:schema xmlns:xsd="http://www.w3.org/2001/XMLSchema" xmlns:xs="http://www.w3.org/2001/XMLSchema" xmlns:p="http://schemas.microsoft.com/office/2006/metadata/properties" xmlns:ns3="79deb97c-193b-473b-ac92-dc976e68b6a4" targetNamespace="http://schemas.microsoft.com/office/2006/metadata/properties" ma:root="true" ma:fieldsID="9df8bde209fb52400f7491d2ba74e6ee" ns3:_="">
    <xsd:import namespace="79deb97c-193b-473b-ac92-dc976e68b6a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deb97c-193b-473b-ac92-dc976e68b6a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0C7DA8-EA1E-4EA4-BD5C-CCDDE9E9CCA3}">
  <ds:schemaRefs>
    <ds:schemaRef ds:uri="http://purl.org/dc/elements/1.1/"/>
    <ds:schemaRef ds:uri="79deb97c-193b-473b-ac92-dc976e68b6a4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CA9CD83-13A7-4B09-B9AB-AAF5EBC76B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19B170-E350-4E75-B7A7-F72CE5062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deb97c-193b-473b-ac92-dc976e68b6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SIM</vt:lpstr>
      <vt:lpstr>SIM_比較</vt:lpstr>
      <vt:lpstr>SIM考え方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佐村 徳人</dc:creator>
  <cp:lastModifiedBy>殿村 亮太</cp:lastModifiedBy>
  <dcterms:created xsi:type="dcterms:W3CDTF">2025-11-21T11:18:04Z</dcterms:created>
  <dcterms:modified xsi:type="dcterms:W3CDTF">2026-10-27T08:10:22Z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0x010100C357D3FFD3874644B9B63D306D91E343</vt:lpwstr>
  </property>
</Properties>
</file>
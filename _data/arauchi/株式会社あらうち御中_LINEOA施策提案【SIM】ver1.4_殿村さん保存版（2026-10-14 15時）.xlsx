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9A4C5E18-9F75-4F47-8EFE-EDF3B524E00F}" xr6:coauthVersionLast="47" xr6:coauthVersionMax="47" xr10:uidLastSave="{00000000-0000-0000-0000-000000000000}"/>
  <bookViews>
    <workbookView xWindow="15420" yWindow="-16350" windowWidth="29040" windowHeight="15720" xr2:uid="{02433765-3560-48F5-BC99-B30FC64129A4}"/>
  </bookViews>
  <sheets>
    <sheet name="SIM_離脱防止＋サイトのボタン" sheetId="1" r:id="rId1"/>
    <sheet name="SIM_比較" sheetId="2" r:id="rId2"/>
    <sheet name="SIM考え方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3" i="1"/>
  <c r="E26" i="1"/>
  <c r="F50" i="1"/>
  <c r="G50" i="1"/>
  <c r="H50" i="1"/>
  <c r="I50" i="1"/>
  <c r="J50" i="1"/>
  <c r="E50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7" i="2"/>
  <c r="C6" i="2"/>
  <c r="C5" i="2"/>
  <c r="C23" i="2" s="1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B36" i="1"/>
  <c r="Q35" i="1"/>
  <c r="Q34" i="1"/>
  <c r="Q33" i="1"/>
  <c r="Q32" i="1"/>
  <c r="P36" i="1" s="1"/>
  <c r="C8" i="2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D34" i="1" l="1"/>
  <c r="D31" i="1"/>
  <c r="D35" i="1" s="1"/>
  <c r="H27" i="1"/>
  <c r="I27" i="1" s="1"/>
  <c r="J27" i="1" s="1"/>
  <c r="E7" i="2" s="1"/>
  <c r="D7" i="2"/>
  <c r="C15" i="2"/>
  <c r="E16" i="1"/>
  <c r="F16" i="1" s="1"/>
  <c r="G16" i="1" s="1"/>
  <c r="F15" i="1"/>
  <c r="D75" i="1" l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G15" i="1"/>
  <c r="H15" i="1" s="1"/>
  <c r="I15" i="1" s="1"/>
  <c r="J15" i="1" s="1"/>
  <c r="F23" i="1"/>
  <c r="D76" i="1" l="1"/>
  <c r="D54" i="1" s="1"/>
  <c r="F28" i="1"/>
  <c r="E29" i="1"/>
  <c r="E46" i="1"/>
  <c r="E56" i="1"/>
  <c r="G23" i="1"/>
  <c r="F26" i="1"/>
  <c r="G28" i="1" l="1"/>
  <c r="F29" i="1"/>
  <c r="F46" i="1"/>
  <c r="F56" i="1"/>
  <c r="E31" i="1"/>
  <c r="E35" i="1" s="1"/>
  <c r="E34" i="1"/>
  <c r="H23" i="1"/>
  <c r="G26" i="1"/>
  <c r="F33" i="1"/>
  <c r="E48" i="1" l="1"/>
  <c r="H28" i="1"/>
  <c r="G29" i="1"/>
  <c r="G46" i="1"/>
  <c r="G56" i="1"/>
  <c r="D6" i="2"/>
  <c r="F31" i="1"/>
  <c r="F35" i="1" s="1"/>
  <c r="F34" i="1"/>
  <c r="E40" i="1"/>
  <c r="E41" i="1" s="1"/>
  <c r="E58" i="1"/>
  <c r="E68" i="1"/>
  <c r="E75" i="1"/>
  <c r="I23" i="1"/>
  <c r="H26" i="1"/>
  <c r="G33" i="1"/>
  <c r="F40" i="1"/>
  <c r="F48" i="1" l="1"/>
  <c r="F41" i="1"/>
  <c r="H29" i="1"/>
  <c r="H34" i="1" s="1"/>
  <c r="H46" i="1"/>
  <c r="H56" i="1"/>
  <c r="G31" i="1"/>
  <c r="G35" i="1" s="1"/>
  <c r="G34" i="1"/>
  <c r="D8" i="2"/>
  <c r="F58" i="1"/>
  <c r="F68" i="1"/>
  <c r="F45" i="1" s="1"/>
  <c r="F75" i="1"/>
  <c r="C25" i="2"/>
  <c r="E45" i="1"/>
  <c r="E76" i="1"/>
  <c r="I26" i="1"/>
  <c r="I28" i="1" s="1"/>
  <c r="J23" i="1"/>
  <c r="J26" i="1" s="1"/>
  <c r="H33" i="1"/>
  <c r="D17" i="2"/>
  <c r="E44" i="1" l="1"/>
  <c r="E51" i="1" s="1"/>
  <c r="E54" i="1"/>
  <c r="J28" i="1"/>
  <c r="I29" i="1"/>
  <c r="I46" i="1"/>
  <c r="I56" i="1"/>
  <c r="H31" i="1"/>
  <c r="H35" i="1" s="1"/>
  <c r="D11" i="2"/>
  <c r="G68" i="1"/>
  <c r="G75" i="1"/>
  <c r="D10" i="2"/>
  <c r="D29" i="2" s="1"/>
  <c r="D30" i="2" s="1"/>
  <c r="F76" i="1"/>
  <c r="I33" i="1"/>
  <c r="J33" i="1"/>
  <c r="K36" i="1"/>
  <c r="H40" i="1"/>
  <c r="E49" i="1" l="1"/>
  <c r="E47" i="1"/>
  <c r="E61" i="1"/>
  <c r="E57" i="1" s="1"/>
  <c r="E55" i="1"/>
  <c r="E59" i="1" s="1"/>
  <c r="E73" i="1"/>
  <c r="H48" i="1"/>
  <c r="H41" i="1"/>
  <c r="J29" i="1"/>
  <c r="J46" i="1"/>
  <c r="J56" i="1"/>
  <c r="E6" i="2"/>
  <c r="I31" i="1"/>
  <c r="I35" i="1" s="1"/>
  <c r="I34" i="1"/>
  <c r="H58" i="1"/>
  <c r="H68" i="1"/>
  <c r="H45" i="1" s="1"/>
  <c r="H75" i="1"/>
  <c r="G40" i="1"/>
  <c r="D18" i="2"/>
  <c r="D16" i="2" s="1"/>
  <c r="G58" i="1"/>
  <c r="D25" i="2"/>
  <c r="G45" i="1"/>
  <c r="G76" i="1"/>
  <c r="I40" i="1"/>
  <c r="E17" i="2"/>
  <c r="F44" i="1"/>
  <c r="F51" i="1" s="1"/>
  <c r="F54" i="1"/>
  <c r="G48" i="1" l="1"/>
  <c r="G41" i="1"/>
  <c r="G54" i="1"/>
  <c r="G55" i="1" s="1"/>
  <c r="G59" i="1" s="1"/>
  <c r="G44" i="1"/>
  <c r="G51" i="1" s="1"/>
  <c r="I48" i="1"/>
  <c r="I41" i="1"/>
  <c r="J31" i="1"/>
  <c r="J35" i="1" s="1"/>
  <c r="J34" i="1"/>
  <c r="E8" i="2"/>
  <c r="I58" i="1"/>
  <c r="I68" i="1"/>
  <c r="I45" i="1" s="1"/>
  <c r="I75" i="1"/>
  <c r="H76" i="1"/>
  <c r="F49" i="1"/>
  <c r="F47" i="1"/>
  <c r="F73" i="1"/>
  <c r="F55" i="1"/>
  <c r="F59" i="1" s="1"/>
  <c r="F61" i="1"/>
  <c r="F57" i="1" s="1"/>
  <c r="G73" i="1" l="1"/>
  <c r="G61" i="1"/>
  <c r="G47" i="1"/>
  <c r="D4" i="2"/>
  <c r="G49" i="1"/>
  <c r="H44" i="1"/>
  <c r="H51" i="1" s="1"/>
  <c r="H54" i="1"/>
  <c r="E11" i="2"/>
  <c r="J68" i="1"/>
  <c r="J75" i="1"/>
  <c r="E10" i="2"/>
  <c r="E29" i="2" s="1"/>
  <c r="E30" i="2" s="1"/>
  <c r="I76" i="1"/>
  <c r="G57" i="1" l="1"/>
  <c r="D5" i="2"/>
  <c r="D12" i="2"/>
  <c r="D22" i="2"/>
  <c r="I54" i="1"/>
  <c r="I44" i="1"/>
  <c r="I51" i="1" s="1"/>
  <c r="H47" i="1"/>
  <c r="H49" i="1"/>
  <c r="H61" i="1"/>
  <c r="H57" i="1" s="1"/>
  <c r="H55" i="1"/>
  <c r="H59" i="1" s="1"/>
  <c r="H73" i="1"/>
  <c r="K37" i="1"/>
  <c r="J40" i="1"/>
  <c r="J58" i="1"/>
  <c r="E18" i="2"/>
  <c r="E16" i="2" s="1"/>
  <c r="E25" i="2"/>
  <c r="J45" i="1"/>
  <c r="J76" i="1"/>
  <c r="K40" i="1" l="1"/>
  <c r="J41" i="1"/>
  <c r="J48" i="1"/>
  <c r="D23" i="2"/>
  <c r="D13" i="2"/>
  <c r="I61" i="1"/>
  <c r="I57" i="1" s="1"/>
  <c r="I73" i="1"/>
  <c r="I55" i="1"/>
  <c r="I59" i="1" s="1"/>
  <c r="I47" i="1"/>
  <c r="I49" i="1"/>
  <c r="J44" i="1"/>
  <c r="J51" i="1" s="1"/>
  <c r="J54" i="1"/>
  <c r="J49" i="1" l="1"/>
  <c r="J47" i="1"/>
  <c r="E4" i="2"/>
  <c r="J55" i="1"/>
  <c r="J59" i="1" s="1"/>
  <c r="J73" i="1"/>
  <c r="J61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<sst xmlns="http://schemas.openxmlformats.org/spreadsheetml/2006/main" count="283" uniqueCount="198">
  <si>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</si>
  <si>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</si>
  <si>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</si>
  <si>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</si>
  <si>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</si>
  <si>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</si>
  <si>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</si>
  <si>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</si>
  <si>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</si>
  <si>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</si>
  <si>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</si>
  <si>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</si>
  <si>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</si>
  <si>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</si>
  <si>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</si>
  <si>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</si>
  <si>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</si>
  <si>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</si>
  <si>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</si>
  <si>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</si>
  <si>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</si>
  <si>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</si>
  <si>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</si>
  <si>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</si>
  <si>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</si>
  <si>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</si>
  <si>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</si>
  <si>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</si>
  <si>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</si>
  <si>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</si>
  <si>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</si>
  <si>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</si>
  <si>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</si>
  <si>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</si>
  <si>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</si>
  <si>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</si>
  <si>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</si>
  <si>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</si>
  <si>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</si>
  <si>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</si>
  <si>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</si>
  <si>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</si>
  <si>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</si>
  <si>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</si>
  <si>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</si>
  <si>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</si>
  <si>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</si>
  <si>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</si>
  <si>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</si>
  <si>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</si>
  <si>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</si>
  <si>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</si>
  <si>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</si>
  <si>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</si>
  <si>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</si>
  <si>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</si>
  <si>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</si>
  <si>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</si>
  <si>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</si>
  <si>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</si>
  <si>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</si>
  <si>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</si>
  <si>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</si>
  <si>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</si>
  <si>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</si>
  <si>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</si>
  <si>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</si>
  <si>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</si>
  <si>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</si>
  <si>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</si>
  <si>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</si>
  <si>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</si>
  <si>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</si>
  <si>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</si>
  <si>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</si>
  <si>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</si>
  <si>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</si>
  <si>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</si>
  <si>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</si>
  <si>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</si>
  <si>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</si>
  <si>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</si>
  <si>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</si>
  <si>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</si>
  <si>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</si>
  <si>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</si>
  <si>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</si>
  <si>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</si>
  <si>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</si>
  <si>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</si>
  <si>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</si>
  <si>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</si>
  <si>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</si>
  <si>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</si>
  <si>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</si>
  <si>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</si>
  <si>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</si>
  <si>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</si>
  <si>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</si>
  <si>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</si>
  <si>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</si>
  <si>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</si>
  <si>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</si>
  <si>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</si>
  <si>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</si>
  <si>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</si>
  <si>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</si>
  <si>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</si>
  <si>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</si>
  <si>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</si>
  <si>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</si>
  <si>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</si>
  <si>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</si>
  <si>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</si>
  <si>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</si>
  <si>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</si>
  <si>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</si>
  <si>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</si>
  <si>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</si>
  <si>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</si>
  <si>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</si>
  <si>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</si>
  <si>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</si>
  <si>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</si>
  <si>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</si>
  <si>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</si>
  <si>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</si>
  <si>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</si>
  <si>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</si>
  <si>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</si>
  <si>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</si>
  <si>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</si>
  <si>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</si>
  <si>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</si>
  <si>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</si>
  <si>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</si>
  <si>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</si>
  <si>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</si>
  <si>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</si>
  <si>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</si>
  <si>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</si>
  <si>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</si>
  <si>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</si>
  <si>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</si>
  <si>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</si>
  <si>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</si>
  <si>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</si>
  <si>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</si>
  <si>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</si>
  <si>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</si>
  <si>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</si>
  <si>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</si>
  <si>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</si>
  <si>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</si>
  <si>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</si>
  <si>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</si>
  <si>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</si>
  <si>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</si>
  <si>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</si>
  <si>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</si>
  <si>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</si>
  <si>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</si>
  <si>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</si>
  <si>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</si>
  <si>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</si>
  <si>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</si>
  <si>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</si>
  <si>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UU 1,737/月・友だち1,241人（2026-10-09 殿村さん提供）。ターゲット＝都内在住の女性オフィスワーカー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</si>
  <si>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</si>
  <si>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</si>
  <si>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</si>
  <si>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</si>
  <si>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</si>
  <si>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</si>
  <si>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</si>
  <si>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</si>
  <si>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</si>
  <si>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</si>
  <si>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</si>
  <si>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</si>
  <si>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</si>
  <si>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</si>
  <si>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</si>
  <si>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</si>
  <si>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</si>
  <si>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</si>
  <si>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</si>
  <si>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</si>
  <si>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</si>
  <si>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</si>
  <si>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</si>
  <si>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</si>
  <si>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</si>
  <si>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</si>
  <si>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</si>
  <si>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</si>
  <si>
    <t>物件問い合わせ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</si>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</sst>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5" zoomScale="72" zoomScaleNormal="55" workbookViewId="0">
      <selection activeCell="N43" sqref="N4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196</v>
      </c>
      <c r="D8" s="33">
        <v>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167</v>
      </c>
      <c r="O8" s="35" t="s">
        <v>160</v>
      </c>
    </row>
    <row r="9" spans="1:25" ht="18" thickBot="1" x14ac:dyDescent="0.6">
      <c r="A9" s="148"/>
      <c r="B9" s="19" t="s">
        <v>8</v>
      </c>
      <c r="C9" s="19" t="s">
        <v>197</v>
      </c>
      <c r="D9" s="33">
        <v>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168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176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22.442039999999999</v>
      </c>
      <c r="F26" s="46">
        <f t="shared" ref="F26:J26" si="5">+SUM(F22:F25)+$H$9*$P$16+($H$8-$H$9)*$P$15</f>
        <v>22.442039999999999</v>
      </c>
      <c r="G26" s="46">
        <f>+SUM(G22:G25)+$H$9*$P$16+($H$8-$H$9)*$P$15</f>
        <v>22.5796104</v>
      </c>
      <c r="H26" s="46">
        <f t="shared" si="5"/>
        <v>22.718556503999999</v>
      </c>
      <c r="I26" s="46">
        <f t="shared" si="5"/>
        <v>22.858892069039999</v>
      </c>
      <c r="J26" s="46">
        <f t="shared" si="5"/>
        <v>23.0006309897304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0.30499999999999999</v>
      </c>
      <c r="E27" s="47">
        <v>0.313</v>
      </c>
      <c r="F27" s="47">
        <f>ROUND(E27*1.01,3)</f>
        <v>0.316</v>
      </c>
      <c r="G27" s="47">
        <f>ROUND(F27*1.01,3)</f>
        <v>0.31900000000000001</v>
      </c>
      <c r="H27" s="47">
        <f>ROUND(G27*1.01,3)</f>
        <v>0.32200000000000001</v>
      </c>
      <c r="I27" s="47">
        <f>ROUND(H27*1.01,3)</f>
        <v>0.32500000000000001</v>
      </c>
      <c r="J27" s="47">
        <f>ROUND(I27*1.01,3)</f>
        <v>0.32800000000000001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1241</v>
      </c>
      <c r="E28" s="49">
        <f>+D28+E26</f>
        <v>1263.4420399999999</v>
      </c>
      <c r="F28" s="49">
        <f t="shared" ref="F28:J28" si="6">+E28+F26</f>
        <v>1285.8840799999998</v>
      </c>
      <c r="G28" s="49">
        <f t="shared" si="6"/>
        <v>1308.4636903999999</v>
      </c>
      <c r="H28" s="49">
        <f t="shared" si="6"/>
        <v>1331.1822469039998</v>
      </c>
      <c r="I28" s="49">
        <f t="shared" si="6"/>
        <v>1354.0411389730398</v>
      </c>
      <c r="J28" s="49">
        <f t="shared" si="6"/>
        <v>1377.0417699627701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862.49500000000012</v>
      </c>
      <c r="E29" s="50">
        <f>+E28*(1-E27)</f>
        <v>867.98468147999995</v>
      </c>
      <c r="F29" s="50">
        <f t="shared" ref="F29:J29" si="7">+F28*(1-F27)</f>
        <v>879.54471071999978</v>
      </c>
      <c r="G29" s="50">
        <f t="shared" si="7"/>
        <v>891.06377316240003</v>
      </c>
      <c r="H29" s="50">
        <f t="shared" si="7"/>
        <v>902.54156340091185</v>
      </c>
      <c r="I29" s="50">
        <f t="shared" si="7"/>
        <v>913.97776880680192</v>
      </c>
      <c r="J29" s="50">
        <f t="shared" si="7"/>
        <v>925.37206941498141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0</v>
      </c>
      <c r="E31" s="63">
        <f>+E29*E30*$P$24*$P$22*$P$23*$P$36</f>
        <v>273.94179833214764</v>
      </c>
      <c r="F31" s="63">
        <f>+F29*F30*$P$24*$P$22*$P$23*$P$36</f>
        <v>277.59022124368812</v>
      </c>
      <c r="G31" s="63">
        <f>+G29*G30*$P$24*$P$22*$P$23*$P$36</f>
        <v>281.22571475860923</v>
      </c>
      <c r="H31" s="63">
        <f>+H29*H30*$P$24*$P$22*$P$23*$P$36*$Q$24</f>
        <v>227.87854599090716</v>
      </c>
      <c r="I31" s="63">
        <f>+I29*I30*$P$24*$P$22*$P$23*$P$36*$Q$24</f>
        <v>230.76602061282657</v>
      </c>
      <c r="J31" s="63">
        <f>+J29*J30*$P$24*$P$22*$P$23*$P$36*$Q$24</f>
        <v>233.64291488613978</v>
      </c>
      <c r="K31" s="11"/>
      <c r="L31" s="7"/>
      <c r="N31" t="s">
        <v>180</v>
      </c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181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8">+E26*E32*$P$26*$P$27*$P$36</f>
        <v>24.687848605860001</v>
      </c>
      <c r="F33" s="63">
        <f t="shared" si="8"/>
        <v>24.687848605860001</v>
      </c>
      <c r="G33" s="63">
        <f t="shared" si="8"/>
        <v>24.839185882143607</v>
      </c>
      <c r="H33" s="63">
        <f t="shared" si="8"/>
        <v>24.992036531190038</v>
      </c>
      <c r="I33" s="63">
        <f t="shared" si="8"/>
        <v>25.146415686726939</v>
      </c>
      <c r="J33" s="63">
        <f t="shared" si="8"/>
        <v>25.302338633819208</v>
      </c>
      <c r="K33" s="11"/>
      <c r="L33" s="7"/>
      <c r="N33" t="s">
        <v>182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0</v>
      </c>
      <c r="E34" s="46">
        <f>+E29*E30*$P$24+E26*E32</f>
        <v>3001.9713807359999</v>
      </c>
      <c r="F34" s="46">
        <f>+F29*F30*$P$24+F26*F32</f>
        <v>3038.9634743039996</v>
      </c>
      <c r="G34" s="46">
        <f>+G29*G30*$P$24+G26*G32</f>
        <v>3077.2001781196805</v>
      </c>
      <c r="H34" s="46">
        <f>+H29*H30*$P$24*$Q$24+H26*H32</f>
        <v>2537.6919673463344</v>
      </c>
      <c r="I34" s="46">
        <f>+I29*I30*$P$24*$Q$24+I26*I32</f>
        <v>2568.3720088358132</v>
      </c>
      <c r="J34" s="46">
        <f>+J29*J30*$P$24*$Q$24+J26*J32</f>
        <v>2598.9588075996567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0</v>
      </c>
      <c r="E35" s="50">
        <f>+E31+E33+1.05*(E31+E33)</f>
        <v>612.1907762229157</v>
      </c>
      <c r="F35" s="50">
        <f t="shared" ref="F35:J35" si="10">+F31+F33+1.05*(F31+F33)</f>
        <v>619.67004319157354</v>
      </c>
      <c r="G35" s="50">
        <f t="shared" si="10"/>
        <v>627.4330463135434</v>
      </c>
      <c r="H35" s="50">
        <f t="shared" si="10"/>
        <v>518.38469417029933</v>
      </c>
      <c r="I35" s="50">
        <f t="shared" si="10"/>
        <v>524.62049441408476</v>
      </c>
      <c r="J35" s="50">
        <f t="shared" si="10"/>
        <v>530.83776971591601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45" t="s">
        <v>6</v>
      </c>
      <c r="B36" s="6" t="str">
        <f>+C8</f>
        <v>物件問い合わせ</v>
      </c>
      <c r="C36" s="6"/>
      <c r="D36" s="11">
        <v>0</v>
      </c>
      <c r="E36" s="111">
        <v>6</v>
      </c>
      <c r="F36" s="111">
        <v>7</v>
      </c>
      <c r="G36" s="111">
        <v>9</v>
      </c>
      <c r="H36" s="111">
        <v>10</v>
      </c>
      <c r="I36" s="111">
        <v>11</v>
      </c>
      <c r="J36" s="111">
        <v>12</v>
      </c>
      <c r="K36" s="115">
        <f>SUM(E36:J36)</f>
        <v>55</v>
      </c>
      <c r="L36" s="7"/>
      <c r="N36" s="69" t="s">
        <v>183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184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1">+SUM(D36:D39)</f>
        <v>0</v>
      </c>
      <c r="E40" s="10">
        <f t="shared" si="11"/>
        <v>6</v>
      </c>
      <c r="F40" s="10">
        <f t="shared" si="11"/>
        <v>7</v>
      </c>
      <c r="G40" s="10">
        <f t="shared" si="11"/>
        <v>9</v>
      </c>
      <c r="H40" s="10">
        <f t="shared" si="11"/>
        <v>10</v>
      </c>
      <c r="I40" s="10">
        <f t="shared" si="11"/>
        <v>11</v>
      </c>
      <c r="J40" s="10">
        <f t="shared" si="11"/>
        <v>12</v>
      </c>
      <c r="K40" s="115">
        <f>SUM(E40:J40)</f>
        <v>55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+IFERROR(E$40/E35,0)</f>
        <v>9.8008663851793035E-3</v>
      </c>
      <c r="F41" s="18">
        <f t="shared" ref="F41:J41" si="13">+IFERROR(F$40/F35,0)</f>
        <v>1.1296334358761186E-2</v>
      </c>
      <c r="G41" s="18">
        <f t="shared" si="13"/>
        <v>1.4344159991060597E-2</v>
      </c>
      <c r="H41" s="18">
        <f t="shared" si="13"/>
        <v>1.9290693017095153E-2</v>
      </c>
      <c r="I41" s="18">
        <f t="shared" si="13"/>
        <v>2.0967537709873876E-2</v>
      </c>
      <c r="J41" s="18">
        <f>+IFERROR(J$40/J35,0)</f>
        <v>2.2605776537758304E-2</v>
      </c>
      <c r="N41" s="69" t="s">
        <v>185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37" t="s">
        <v>133</v>
      </c>
      <c r="B45" s="138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6">(SUM(E65:E67)+E71)/(E28-D28)</f>
        <v>1336.7768705518806</v>
      </c>
      <c r="F46" s="28">
        <f t="shared" si="16"/>
        <v>1336.7768705518806</v>
      </c>
      <c r="G46" s="28">
        <f t="shared" si="16"/>
        <v>1328.6323133369865</v>
      </c>
      <c r="H46" s="28">
        <f t="shared" si="16"/>
        <v>1320.5064324715377</v>
      </c>
      <c r="I46" s="28">
        <f t="shared" si="16"/>
        <v>1312.399564659215</v>
      </c>
      <c r="J46" s="28">
        <f t="shared" si="16"/>
        <v>1304.312043151984</v>
      </c>
      <c r="K46" s="11"/>
      <c r="L46" s="7"/>
      <c r="N46" t="s">
        <v>186</v>
      </c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7">+E51/E35</f>
        <v>220.51949366653434</v>
      </c>
      <c r="F47" s="28">
        <f t="shared" si="17"/>
        <v>217.85787691896573</v>
      </c>
      <c r="G47" s="28">
        <f t="shared" si="17"/>
        <v>215.16239986590895</v>
      </c>
      <c r="H47" s="28">
        <f t="shared" si="17"/>
        <v>260.42435573078455</v>
      </c>
      <c r="I47" s="28">
        <f t="shared" si="17"/>
        <v>257.32887189390669</v>
      </c>
      <c r="J47" s="28">
        <f>+J51/J35</f>
        <v>254.31498604978091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>+IFERROR(E$40/E35,0)</f>
        <v>9.8008663851793035E-3</v>
      </c>
      <c r="F48" s="32">
        <f t="shared" ref="F48:J48" si="18">+IFERROR(F$40/F35,0)</f>
        <v>1.1296334358761186E-2</v>
      </c>
      <c r="G48" s="32">
        <f t="shared" si="18"/>
        <v>1.4344159991060597E-2</v>
      </c>
      <c r="H48" s="32">
        <f t="shared" si="18"/>
        <v>1.9290693017095153E-2</v>
      </c>
      <c r="I48" s="32">
        <f t="shared" si="18"/>
        <v>2.0967537709873876E-2</v>
      </c>
      <c r="J48" s="32">
        <f t="shared" si="18"/>
        <v>2.2605776537758304E-2</v>
      </c>
      <c r="K48" s="11"/>
      <c r="L48" s="7"/>
    </row>
    <row r="49" spans="1:12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22500</v>
      </c>
      <c r="F49" s="28">
        <f t="shared" ref="F49:J49" si="19">+IFERROR(F51/SUM(F36:F39),0)</f>
        <v>19285.714285714286</v>
      </c>
      <c r="G49" s="28">
        <f t="shared" si="19"/>
        <v>15000</v>
      </c>
      <c r="H49" s="28">
        <f t="shared" si="19"/>
        <v>13500</v>
      </c>
      <c r="I49" s="28">
        <f t="shared" si="19"/>
        <v>12272.727272727272</v>
      </c>
      <c r="J49" s="28">
        <f t="shared" si="19"/>
        <v>11250</v>
      </c>
      <c r="K49" s="11"/>
      <c r="L49" s="7"/>
    </row>
    <row r="50" spans="1:12" x14ac:dyDescent="0.55000000000000004">
      <c r="A50" s="139" t="s">
        <v>119</v>
      </c>
      <c r="B50" s="140"/>
      <c r="C50" s="105"/>
      <c r="D50" s="64" t="s">
        <v>22</v>
      </c>
      <c r="E50" s="65">
        <f>+E36*$D$8+E37*$D$9+E38*$D$10</f>
        <v>0</v>
      </c>
      <c r="F50" s="65">
        <f t="shared" ref="F50:J50" si="20">+F36*$D$8+F37*$D$9+F38*$D$10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135000</v>
      </c>
      <c r="F51" s="40">
        <f t="shared" ref="F51:I51" si="21">SUM(F45,F50)+F44</f>
        <v>135000</v>
      </c>
      <c r="G51" s="40">
        <f t="shared" si="21"/>
        <v>135000</v>
      </c>
      <c r="H51" s="40">
        <f t="shared" si="21"/>
        <v>135000</v>
      </c>
      <c r="I51" s="40">
        <f t="shared" si="21"/>
        <v>135000</v>
      </c>
      <c r="J51" s="40">
        <f>SUM(J45,J50)+J44</f>
        <v>135000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7" t="s">
        <v>27</v>
      </c>
      <c r="B54" s="138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37" t="s">
        <v>133</v>
      </c>
      <c r="B55" s="138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37" t="s">
        <v>17</v>
      </c>
      <c r="B56" s="138"/>
      <c r="C56" s="96"/>
      <c r="D56" s="39" t="s">
        <v>22</v>
      </c>
      <c r="E56" s="28">
        <f t="shared" ref="E56:J56" si="24">(SUM(E65:E67)+E71)/(E28-D28)</f>
        <v>1336.7768705518806</v>
      </c>
      <c r="F56" s="28">
        <f t="shared" si="24"/>
        <v>1336.7768705518806</v>
      </c>
      <c r="G56" s="28">
        <f t="shared" si="24"/>
        <v>1328.6323133369865</v>
      </c>
      <c r="H56" s="28">
        <f t="shared" si="24"/>
        <v>1320.5064324715377</v>
      </c>
      <c r="I56" s="28">
        <f t="shared" si="24"/>
        <v>1312.399564659215</v>
      </c>
      <c r="J56" s="28">
        <f t="shared" si="24"/>
        <v>1304.312043151984</v>
      </c>
      <c r="K56" s="11"/>
      <c r="L56" s="7"/>
    </row>
    <row r="57" spans="1:12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220.51949366653434</v>
      </c>
      <c r="F57" s="28">
        <f t="shared" ref="F57:J57" si="25">+F61/F35</f>
        <v>217.85787691896573</v>
      </c>
      <c r="G57" s="28">
        <f t="shared" si="25"/>
        <v>215.16239986590895</v>
      </c>
      <c r="H57" s="28">
        <f t="shared" si="25"/>
        <v>260.42435573078455</v>
      </c>
      <c r="I57" s="28">
        <f t="shared" si="25"/>
        <v>257.32887189390669</v>
      </c>
      <c r="J57" s="28">
        <f t="shared" si="25"/>
        <v>254.31498604978091</v>
      </c>
      <c r="K57" s="11"/>
      <c r="L57" s="7"/>
    </row>
    <row r="58" spans="1:12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6">+IFERROR(E37/E35,0)</f>
        <v>0</v>
      </c>
      <c r="F58" s="32">
        <f t="shared" si="26"/>
        <v>0</v>
      </c>
      <c r="G58" s="32">
        <f t="shared" si="26"/>
        <v>0</v>
      </c>
      <c r="H58" s="32">
        <f t="shared" si="26"/>
        <v>0</v>
      </c>
      <c r="I58" s="32">
        <f t="shared" si="26"/>
        <v>0</v>
      </c>
      <c r="J58" s="32">
        <f t="shared" si="26"/>
        <v>0</v>
      </c>
      <c r="K58" s="11"/>
      <c r="L58" s="7"/>
    </row>
    <row r="59" spans="1:12" hidden="1" x14ac:dyDescent="0.55000000000000004">
      <c r="A59" s="139" t="s">
        <v>19</v>
      </c>
      <c r="B59" s="140"/>
      <c r="C59" s="97"/>
      <c r="D59" s="28"/>
      <c r="E59" s="28">
        <f>+IFERROR(E55/E40,0)</f>
        <v>22500</v>
      </c>
      <c r="F59" s="28">
        <f t="shared" ref="F59:J59" si="27">+IFERROR(F55/F40,0)</f>
        <v>19285.714285714286</v>
      </c>
      <c r="G59" s="28">
        <f t="shared" si="27"/>
        <v>15000</v>
      </c>
      <c r="H59" s="28">
        <f t="shared" si="27"/>
        <v>13500</v>
      </c>
      <c r="I59" s="28">
        <f t="shared" si="27"/>
        <v>12272.727272727272</v>
      </c>
      <c r="J59" s="28">
        <f t="shared" si="27"/>
        <v>11250</v>
      </c>
      <c r="K59" s="11"/>
      <c r="L59" s="7"/>
    </row>
    <row r="60" spans="1:12" hidden="1" x14ac:dyDescent="0.55000000000000004">
      <c r="A60" s="139" t="s">
        <v>119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187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188</v>
      </c>
    </row>
    <row r="67" spans="1:16" x14ac:dyDescent="0.55000000000000004">
      <c r="B67" s="6" t="s">
        <v>189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190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191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192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193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135000</v>
      </c>
      <c r="E4" s="28">
        <f>+'SIM_離脱防止＋サイトのボタン'!J51</f>
        <v>135000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1308.4636903999999</v>
      </c>
      <c r="E6" s="87">
        <f>+'SIM_離脱防止＋サイトのボタン'!J28</f>
        <v>1377.0417699627701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0.30499999999999999</v>
      </c>
      <c r="D7" s="89">
        <f>+'SIM_離脱防止＋サイトのボタン'!G27</f>
        <v>0.31900000000000001</v>
      </c>
      <c r="E7" s="89">
        <f>+'SIM_離脱防止＋サイトのボタン'!J27</f>
        <v>0.32800000000000001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862.49500000000012</v>
      </c>
      <c r="D8" s="10">
        <f>+'SIM_離脱防止＋サイトのボタン'!G29</f>
        <v>891.06377316240003</v>
      </c>
      <c r="E8" s="10">
        <f>+'SIM_離脱防止＋サイトのボタン'!J29</f>
        <v>925.37206941498141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3077.2001781196805</v>
      </c>
      <c r="E10" s="10">
        <f>+'SIM_離脱防止＋サイトのボタン'!J34</f>
        <v>2598.9588075996567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627.4330463135434</v>
      </c>
      <c r="E11" s="10">
        <f>+'SIM_離脱防止＋サイトのボタン'!J35</f>
        <v>530.83776971591601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215.16239986590895</v>
      </c>
      <c r="E12" s="28">
        <f t="shared" ref="E12" si="0">+E4/E11</f>
        <v>254.31498604978091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215.16239986590895</v>
      </c>
      <c r="E13" s="28">
        <f t="shared" ref="E13" si="1">+E5/E11</f>
        <v>254.31498604978091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9</v>
      </c>
      <c r="E16" s="87">
        <f>SUM(E17:E20)</f>
        <v>12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+'SIM_離脱防止＋サイトのボタン'!D36</f>
        <v>0</v>
      </c>
      <c r="D17" s="87">
        <f>+'SIM_離脱防止＋サイトのボタン'!G36</f>
        <v>9</v>
      </c>
      <c r="E17" s="87">
        <f>+'SIM_離脱防止＋サイトのボタン'!J36</f>
        <v>12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195</v>
      </c>
      <c r="B18" s="7"/>
      <c r="C18" s="87">
        <f>+'SIM_離脱防止＋サイトのボタン'!D37</f>
        <v>0</v>
      </c>
      <c r="D18" s="87">
        <f>+'SIM_離脱防止＋サイトのボタン'!G37</f>
        <v>0</v>
      </c>
      <c r="E18" s="87">
        <f>+'SIM_離脱防止＋サイトのボタン'!J37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15000</v>
      </c>
      <c r="E22" s="90">
        <f t="shared" si="2"/>
        <v>11250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15000</v>
      </c>
      <c r="E23" s="90">
        <f t="shared" ref="E23" si="4">+IFERROR(E5/E16,"--")</f>
        <v>11250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SIM_離脱防止＋サイトのボタン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2026-10-14T06:29:39Z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
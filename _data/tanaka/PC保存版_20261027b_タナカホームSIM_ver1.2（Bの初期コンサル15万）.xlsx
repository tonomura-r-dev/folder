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1BB21B46-FE3E-46E9-9CCF-3DD4F5FF060B}" xr6:coauthVersionLast="47" xr6:coauthVersionMax="47" xr10:uidLastSave="{00000000-0000-0000-0000-000000000000}"/>
  <bookViews>
    <workbookView xWindow="-13380" yWindow="-16320" windowWidth="29040" windowHeight="15720" activeTab="2" xr2:uid="{02433765-3560-48F5-BC99-B30FC64129A4}"/>
  </bookViews>
  <sheets>
    <sheet name="A_サンクス有" sheetId="1" r:id="rId1"/>
    <sheet name="A_比較" sheetId="2" r:id="rId2"/>
    <sheet name="B_サンクス無" sheetId="3" r:id="rId3"/>
    <sheet name="B_比較" sheetId="4" r:id="rId4"/>
    <sheet name="SIM考え方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5" l="1"/>
  <c r="E17" i="5"/>
  <c r="E12" i="5"/>
  <c r="E7" i="5"/>
  <c r="E20" i="4"/>
  <c r="D20" i="4"/>
  <c r="C20" i="4"/>
  <c r="E19" i="4"/>
  <c r="D19" i="4"/>
  <c r="C19" i="4"/>
  <c r="X18" i="4"/>
  <c r="E18" i="4"/>
  <c r="D18" i="4"/>
  <c r="C18" i="4"/>
  <c r="E17" i="4"/>
  <c r="E16" i="4" s="1"/>
  <c r="D17" i="4"/>
  <c r="C17" i="4"/>
  <c r="D16" i="4"/>
  <c r="C16" i="4"/>
  <c r="C15" i="4"/>
  <c r="C8" i="4"/>
  <c r="C7" i="4"/>
  <c r="C6" i="4"/>
  <c r="C5" i="4"/>
  <c r="C4" i="4"/>
  <c r="C22" i="4" s="1"/>
  <c r="D73" i="3"/>
  <c r="D55" i="3"/>
  <c r="D61" i="3" s="1"/>
  <c r="C51" i="3"/>
  <c r="J50" i="3"/>
  <c r="I50" i="3"/>
  <c r="H50" i="3"/>
  <c r="G50" i="3"/>
  <c r="F50" i="3"/>
  <c r="E50" i="3"/>
  <c r="D45" i="3"/>
  <c r="D51" i="3" s="1"/>
  <c r="C45" i="3"/>
  <c r="J40" i="3"/>
  <c r="I40" i="3"/>
  <c r="H40" i="3"/>
  <c r="G40" i="3"/>
  <c r="F40" i="3"/>
  <c r="E40" i="3"/>
  <c r="D40" i="3"/>
  <c r="K39" i="3"/>
  <c r="B39" i="3"/>
  <c r="K38" i="3"/>
  <c r="B38" i="3"/>
  <c r="K37" i="3"/>
  <c r="B37" i="3"/>
  <c r="K36" i="3"/>
  <c r="B36" i="3"/>
  <c r="Q35" i="3"/>
  <c r="Q34" i="3"/>
  <c r="Q33" i="3"/>
  <c r="Q32" i="3"/>
  <c r="P36" i="3" s="1"/>
  <c r="D29" i="3"/>
  <c r="F27" i="3"/>
  <c r="G27" i="3" s="1"/>
  <c r="J25" i="3"/>
  <c r="I25" i="3"/>
  <c r="H25" i="3"/>
  <c r="G25" i="3"/>
  <c r="F25" i="3"/>
  <c r="E25" i="3"/>
  <c r="E24" i="3"/>
  <c r="F24" i="3" s="1"/>
  <c r="G24" i="3" s="1"/>
  <c r="H24" i="3" s="1"/>
  <c r="I24" i="3" s="1"/>
  <c r="J24" i="3" s="1"/>
  <c r="Y19" i="3"/>
  <c r="D16" i="3"/>
  <c r="E16" i="3" s="1"/>
  <c r="F16" i="3" s="1"/>
  <c r="G16" i="3" s="1"/>
  <c r="D15" i="3"/>
  <c r="E15" i="3" s="1"/>
  <c r="D14" i="3"/>
  <c r="E14" i="3" s="1"/>
  <c r="F14" i="3" s="1"/>
  <c r="G14" i="3" s="1"/>
  <c r="H14" i="3" s="1"/>
  <c r="I14" i="3" s="1"/>
  <c r="J14" i="3" s="1"/>
  <c r="E20" i="2"/>
  <c r="D20" i="2"/>
  <c r="C20" i="2"/>
  <c r="E19" i="2"/>
  <c r="D19" i="2"/>
  <c r="C19" i="2"/>
  <c r="X18" i="2"/>
  <c r="E18" i="2"/>
  <c r="D18" i="2"/>
  <c r="C18" i="2"/>
  <c r="E17" i="2"/>
  <c r="D17" i="2"/>
  <c r="C17" i="2"/>
  <c r="E16" i="2"/>
  <c r="D16" i="2"/>
  <c r="C16" i="2"/>
  <c r="C7" i="2"/>
  <c r="C6" i="2"/>
  <c r="C5" i="2"/>
  <c r="C4" i="2"/>
  <c r="C22" i="2" s="1"/>
  <c r="D73" i="1"/>
  <c r="D55" i="1"/>
  <c r="D61" i="1" s="1"/>
  <c r="J50" i="1"/>
  <c r="I50" i="1"/>
  <c r="H50" i="1"/>
  <c r="G50" i="1"/>
  <c r="F50" i="1"/>
  <c r="E50" i="1"/>
  <c r="D45" i="1"/>
  <c r="D51" i="1" s="1"/>
  <c r="C45" i="1"/>
  <c r="C51" i="1" s="1"/>
  <c r="K40" i="1"/>
  <c r="J40" i="1"/>
  <c r="I40" i="1"/>
  <c r="H40" i="1"/>
  <c r="G40" i="1"/>
  <c r="F40" i="1"/>
  <c r="E40" i="1"/>
  <c r="D40" i="1"/>
  <c r="K39" i="1"/>
  <c r="B39" i="1"/>
  <c r="K38" i="1"/>
  <c r="B38" i="1"/>
  <c r="K37" i="1"/>
  <c r="B37" i="1"/>
  <c r="K36" i="1"/>
  <c r="B36" i="1"/>
  <c r="Q35" i="1"/>
  <c r="Q34" i="1"/>
  <c r="Q33" i="1"/>
  <c r="Q32" i="1"/>
  <c r="P36" i="1" s="1"/>
  <c r="D29" i="1"/>
  <c r="F27" i="1"/>
  <c r="G27" i="1" s="1"/>
  <c r="J25" i="1"/>
  <c r="I25" i="1"/>
  <c r="H25" i="1"/>
  <c r="G25" i="1"/>
  <c r="F25" i="1"/>
  <c r="E25" i="1"/>
  <c r="J24" i="1"/>
  <c r="I24" i="1"/>
  <c r="H24" i="1"/>
  <c r="G24" i="1"/>
  <c r="F24" i="1"/>
  <c r="E24" i="1"/>
  <c r="Y19" i="1"/>
  <c r="D16" i="1"/>
  <c r="D15" i="1"/>
  <c r="E15" i="1" s="1"/>
  <c r="E14" i="1"/>
  <c r="F14" i="1" s="1"/>
  <c r="G14" i="1" s="1"/>
  <c r="H14" i="1" s="1"/>
  <c r="I14" i="1" s="1"/>
  <c r="J14" i="1" s="1"/>
  <c r="D14" i="1"/>
  <c r="C23" i="4" l="1"/>
  <c r="K40" i="3"/>
  <c r="D34" i="3"/>
  <c r="D31" i="3"/>
  <c r="D35" i="3" s="1"/>
  <c r="H27" i="3"/>
  <c r="I27" i="3" s="1"/>
  <c r="J27" i="3" s="1"/>
  <c r="E7" i="4" s="1"/>
  <c r="D7" i="4"/>
  <c r="H16" i="3"/>
  <c r="I16" i="3" s="1"/>
  <c r="J16" i="3" s="1"/>
  <c r="E15" i="4" s="1"/>
  <c r="D15" i="4"/>
  <c r="E23" i="3"/>
  <c r="E26" i="3" s="1"/>
  <c r="F15" i="3"/>
  <c r="C23" i="2"/>
  <c r="D34" i="1"/>
  <c r="D31" i="1"/>
  <c r="D35" i="1" s="1"/>
  <c r="C8" i="2"/>
  <c r="D7" i="2"/>
  <c r="H27" i="1"/>
  <c r="I27" i="1" s="1"/>
  <c r="J27" i="1" s="1"/>
  <c r="E7" i="2" s="1"/>
  <c r="E16" i="1"/>
  <c r="F16" i="1" s="1"/>
  <c r="G16" i="1" s="1"/>
  <c r="C15" i="2"/>
  <c r="E23" i="1"/>
  <c r="E26" i="1" s="1"/>
  <c r="F15" i="1"/>
  <c r="D75" i="3" l="1"/>
  <c r="C10" i="4"/>
  <c r="C29" i="4" s="1"/>
  <c r="C30" i="4" s="1"/>
  <c r="D41" i="3"/>
  <c r="C11" i="4"/>
  <c r="C12" i="4" s="1"/>
  <c r="C13" i="4" s="1"/>
  <c r="E28" i="3"/>
  <c r="E33" i="3"/>
  <c r="G15" i="3"/>
  <c r="H15" i="3" s="1"/>
  <c r="I15" i="3" s="1"/>
  <c r="J15" i="3" s="1"/>
  <c r="F23" i="3"/>
  <c r="D75" i="1"/>
  <c r="C10" i="2"/>
  <c r="C29" i="2" s="1"/>
  <c r="C30" i="2" s="1"/>
  <c r="D41" i="1"/>
  <c r="C11" i="2"/>
  <c r="C12" i="2" s="1"/>
  <c r="C13" i="2" s="1"/>
  <c r="H16" i="1"/>
  <c r="I16" i="1" s="1"/>
  <c r="J16" i="1" s="1"/>
  <c r="E15" i="2" s="1"/>
  <c r="D15" i="2"/>
  <c r="E28" i="1"/>
  <c r="E33" i="1"/>
  <c r="F23" i="1"/>
  <c r="G15" i="1"/>
  <c r="H15" i="1" s="1"/>
  <c r="I15" i="1" s="1"/>
  <c r="J15" i="1" s="1"/>
  <c r="D76" i="3" l="1"/>
  <c r="D54" i="3"/>
  <c r="F28" i="3"/>
  <c r="E29" i="3"/>
  <c r="E46" i="3"/>
  <c r="E56" i="3"/>
  <c r="G23" i="3"/>
  <c r="F26" i="3"/>
  <c r="F33" i="3" s="1"/>
  <c r="D76" i="1"/>
  <c r="D54" i="1" s="1"/>
  <c r="F28" i="1"/>
  <c r="E46" i="1"/>
  <c r="E56" i="1"/>
  <c r="E29" i="1"/>
  <c r="G23" i="1"/>
  <c r="F26" i="1"/>
  <c r="F33" i="1" s="1"/>
  <c r="F29" i="3" l="1"/>
  <c r="F46" i="3"/>
  <c r="F56" i="3"/>
  <c r="E31" i="3"/>
  <c r="E35" i="3" s="1"/>
  <c r="E34" i="3"/>
  <c r="H23" i="3"/>
  <c r="G26" i="3"/>
  <c r="F29" i="1"/>
  <c r="F46" i="1"/>
  <c r="F56" i="1"/>
  <c r="E31" i="1"/>
  <c r="E35" i="1" s="1"/>
  <c r="E34" i="1"/>
  <c r="G26" i="1"/>
  <c r="H23" i="1"/>
  <c r="F31" i="3" l="1"/>
  <c r="F35" i="3" s="1"/>
  <c r="F34" i="3"/>
  <c r="E41" i="3"/>
  <c r="E48" i="3"/>
  <c r="E58" i="3"/>
  <c r="E68" i="3"/>
  <c r="E75" i="3"/>
  <c r="I23" i="3"/>
  <c r="H26" i="3"/>
  <c r="H33" i="3" s="1"/>
  <c r="F31" i="1"/>
  <c r="F35" i="1" s="1"/>
  <c r="F34" i="1"/>
  <c r="E41" i="1"/>
  <c r="E48" i="1"/>
  <c r="E58" i="1"/>
  <c r="E68" i="1"/>
  <c r="E75" i="1"/>
  <c r="I23" i="1"/>
  <c r="H26" i="1"/>
  <c r="H33" i="1" s="1"/>
  <c r="G33" i="3"/>
  <c r="G28" i="3"/>
  <c r="G33" i="1"/>
  <c r="G28" i="1"/>
  <c r="F41" i="3" l="1"/>
  <c r="F48" i="3"/>
  <c r="F58" i="3"/>
  <c r="F68" i="3"/>
  <c r="F45" i="3" s="1"/>
  <c r="F75" i="3"/>
  <c r="E45" i="3"/>
  <c r="C25" i="4"/>
  <c r="E76" i="3"/>
  <c r="E44" i="3"/>
  <c r="E51" i="3" s="1"/>
  <c r="E54" i="3"/>
  <c r="J23" i="3"/>
  <c r="J26" i="3" s="1"/>
  <c r="J33" i="3" s="1"/>
  <c r="I26" i="3"/>
  <c r="I33" i="3" s="1"/>
  <c r="F48" i="1"/>
  <c r="F41" i="1"/>
  <c r="F58" i="1"/>
  <c r="F75" i="1"/>
  <c r="F68" i="1"/>
  <c r="F45" i="1" s="1"/>
  <c r="C25" i="2"/>
  <c r="E45" i="1"/>
  <c r="E76" i="1"/>
  <c r="J23" i="1"/>
  <c r="J26" i="1" s="1"/>
  <c r="J33" i="1" s="1"/>
  <c r="I26" i="1"/>
  <c r="I33" i="1" s="1"/>
  <c r="D6" i="4"/>
  <c r="G56" i="3"/>
  <c r="G46" i="3"/>
  <c r="G29" i="3"/>
  <c r="H28" i="3"/>
  <c r="G56" i="1"/>
  <c r="G46" i="1"/>
  <c r="H28" i="1"/>
  <c r="D6" i="2"/>
  <c r="G29" i="1"/>
  <c r="F76" i="3" l="1"/>
  <c r="E47" i="3"/>
  <c r="E49" i="3"/>
  <c r="E55" i="3"/>
  <c r="E59" i="3" s="1"/>
  <c r="E61" i="3"/>
  <c r="E57" i="3" s="1"/>
  <c r="E73" i="3"/>
  <c r="F76" i="1"/>
  <c r="F44" i="1" s="1"/>
  <c r="F51" i="1" s="1"/>
  <c r="F54" i="1"/>
  <c r="G31" i="3"/>
  <c r="G35" i="3" s="1"/>
  <c r="G34" i="3"/>
  <c r="D8" i="4"/>
  <c r="I28" i="3"/>
  <c r="H29" i="3"/>
  <c r="H46" i="3"/>
  <c r="H56" i="3"/>
  <c r="H29" i="1"/>
  <c r="H56" i="1"/>
  <c r="H46" i="1"/>
  <c r="I28" i="1"/>
  <c r="G31" i="1"/>
  <c r="G35" i="1" s="1"/>
  <c r="G34" i="1"/>
  <c r="D8" i="2"/>
  <c r="E54" i="1"/>
  <c r="E44" i="1"/>
  <c r="E51" i="1" s="1"/>
  <c r="F47" i="1" l="1"/>
  <c r="F49" i="1"/>
  <c r="F55" i="1"/>
  <c r="F59" i="1" s="1"/>
  <c r="F73" i="1"/>
  <c r="F61" i="1"/>
  <c r="F57" i="1" s="1"/>
  <c r="G41" i="3"/>
  <c r="G48" i="3"/>
  <c r="G58" i="3"/>
  <c r="D11" i="4"/>
  <c r="G68" i="3"/>
  <c r="G75" i="3"/>
  <c r="D10" i="4"/>
  <c r="D29" i="4" s="1"/>
  <c r="D30" i="4" s="1"/>
  <c r="J28" i="3"/>
  <c r="I29" i="3"/>
  <c r="I46" i="3"/>
  <c r="I56" i="3"/>
  <c r="H31" i="3"/>
  <c r="H35" i="3" s="1"/>
  <c r="H34" i="3"/>
  <c r="H31" i="1"/>
  <c r="H35" i="1" s="1"/>
  <c r="H34" i="1"/>
  <c r="J28" i="1"/>
  <c r="I29" i="1"/>
  <c r="I46" i="1"/>
  <c r="I56" i="1"/>
  <c r="G41" i="1"/>
  <c r="G48" i="1"/>
  <c r="G58" i="1"/>
  <c r="D11" i="2"/>
  <c r="G75" i="1"/>
  <c r="D10" i="2"/>
  <c r="D29" i="2" s="1"/>
  <c r="D30" i="2" s="1"/>
  <c r="G68" i="1"/>
  <c r="E73" i="1"/>
  <c r="E61" i="1"/>
  <c r="E57" i="1" s="1"/>
  <c r="E55" i="1"/>
  <c r="E59" i="1" s="1"/>
  <c r="E49" i="1"/>
  <c r="E47" i="1"/>
  <c r="F44" i="3"/>
  <c r="F51" i="3" s="1"/>
  <c r="F54" i="3"/>
  <c r="D25" i="4" l="1"/>
  <c r="G45" i="3"/>
  <c r="G76" i="3"/>
  <c r="G54" i="3" s="1"/>
  <c r="G44" i="3"/>
  <c r="G51" i="3" s="1"/>
  <c r="J29" i="3"/>
  <c r="J46" i="3"/>
  <c r="J56" i="3"/>
  <c r="E6" i="4"/>
  <c r="I31" i="3"/>
  <c r="I35" i="3" s="1"/>
  <c r="I34" i="3"/>
  <c r="H41" i="3"/>
  <c r="H48" i="3"/>
  <c r="H58" i="3"/>
  <c r="H68" i="3"/>
  <c r="H45" i="3" s="1"/>
  <c r="H75" i="3"/>
  <c r="H48" i="1"/>
  <c r="H41" i="1"/>
  <c r="H58" i="1"/>
  <c r="H68" i="1"/>
  <c r="H45" i="1" s="1"/>
  <c r="H75" i="1"/>
  <c r="J29" i="1"/>
  <c r="J46" i="1"/>
  <c r="E6" i="2"/>
  <c r="J56" i="1"/>
  <c r="I31" i="1"/>
  <c r="I35" i="1" s="1"/>
  <c r="I34" i="1"/>
  <c r="G76" i="1"/>
  <c r="G54" i="1"/>
  <c r="G44" i="1"/>
  <c r="D25" i="2"/>
  <c r="G45" i="1"/>
  <c r="F49" i="3"/>
  <c r="F47" i="3"/>
  <c r="F73" i="3"/>
  <c r="F61" i="3"/>
  <c r="F57" i="3" s="1"/>
  <c r="F55" i="3"/>
  <c r="F59" i="3" s="1"/>
  <c r="D4" i="4" l="1"/>
  <c r="G47" i="3"/>
  <c r="G49" i="3"/>
  <c r="G55" i="3"/>
  <c r="G59" i="3" s="1"/>
  <c r="G61" i="3"/>
  <c r="G73" i="3"/>
  <c r="J31" i="3"/>
  <c r="J35" i="3" s="1"/>
  <c r="J34" i="3"/>
  <c r="E8" i="4"/>
  <c r="I41" i="3"/>
  <c r="I48" i="3"/>
  <c r="I58" i="3"/>
  <c r="I68" i="3"/>
  <c r="I45" i="3" s="1"/>
  <c r="I75" i="3"/>
  <c r="H76" i="3"/>
  <c r="H44" i="3"/>
  <c r="H51" i="3" s="1"/>
  <c r="H54" i="3"/>
  <c r="H76" i="1"/>
  <c r="H44" i="1" s="1"/>
  <c r="H51" i="1" s="1"/>
  <c r="H54" i="1"/>
  <c r="J34" i="1"/>
  <c r="E8" i="2"/>
  <c r="J31" i="1"/>
  <c r="J35" i="1" s="1"/>
  <c r="I48" i="1"/>
  <c r="I41" i="1"/>
  <c r="I58" i="1"/>
  <c r="I75" i="1"/>
  <c r="I68" i="1"/>
  <c r="I45" i="1" s="1"/>
  <c r="G55" i="1"/>
  <c r="G59" i="1" s="1"/>
  <c r="G61" i="1"/>
  <c r="G73" i="1"/>
  <c r="G51" i="1"/>
  <c r="D12" i="4" l="1"/>
  <c r="D22" i="4"/>
  <c r="D5" i="4"/>
  <c r="G57" i="3"/>
  <c r="J41" i="3"/>
  <c r="E11" i="4"/>
  <c r="J48" i="3"/>
  <c r="J58" i="3"/>
  <c r="J75" i="3"/>
  <c r="J68" i="3"/>
  <c r="E10" i="4"/>
  <c r="E29" i="4" s="1"/>
  <c r="E30" i="4" s="1"/>
  <c r="I76" i="3"/>
  <c r="H47" i="3"/>
  <c r="H49" i="3"/>
  <c r="H55" i="3"/>
  <c r="H59" i="3" s="1"/>
  <c r="H61" i="3"/>
  <c r="H57" i="3" s="1"/>
  <c r="H73" i="3"/>
  <c r="H49" i="1"/>
  <c r="H47" i="1"/>
  <c r="H61" i="1"/>
  <c r="H57" i="1" s="1"/>
  <c r="H73" i="1"/>
  <c r="H55" i="1"/>
  <c r="H59" i="1" s="1"/>
  <c r="J68" i="1"/>
  <c r="J75" i="1"/>
  <c r="E10" i="2"/>
  <c r="E29" i="2" s="1"/>
  <c r="E30" i="2" s="1"/>
  <c r="J41" i="1"/>
  <c r="J48" i="1"/>
  <c r="J58" i="1"/>
  <c r="E11" i="2"/>
  <c r="I76" i="1"/>
  <c r="I54" i="1"/>
  <c r="I44" i="1"/>
  <c r="I51" i="1" s="1"/>
  <c r="D5" i="2"/>
  <c r="G57" i="1"/>
  <c r="G47" i="1"/>
  <c r="D4" i="2"/>
  <c r="G49" i="1"/>
  <c r="D13" i="4" l="1"/>
  <c r="D23" i="4"/>
  <c r="J76" i="3"/>
  <c r="J54" i="3" s="1"/>
  <c r="J44" i="3"/>
  <c r="J45" i="3"/>
  <c r="E25" i="4"/>
  <c r="E25" i="2"/>
  <c r="J45" i="1"/>
  <c r="J76" i="1"/>
  <c r="I55" i="1"/>
  <c r="I59" i="1" s="1"/>
  <c r="I61" i="1"/>
  <c r="I57" i="1" s="1"/>
  <c r="I73" i="1"/>
  <c r="I47" i="1"/>
  <c r="I49" i="1"/>
  <c r="D23" i="2"/>
  <c r="D13" i="2"/>
  <c r="D12" i="2"/>
  <c r="D22" i="2"/>
  <c r="I54" i="3"/>
  <c r="I44" i="3"/>
  <c r="I51" i="3" s="1"/>
  <c r="J55" i="3" l="1"/>
  <c r="J59" i="3" s="1"/>
  <c r="J61" i="3"/>
  <c r="J73" i="3"/>
  <c r="I73" i="3"/>
  <c r="I61" i="3"/>
  <c r="I57" i="3" s="1"/>
  <c r="I55" i="3"/>
  <c r="I59" i="3" s="1"/>
  <c r="I49" i="3"/>
  <c r="I47" i="3"/>
  <c r="J51" i="3"/>
  <c r="J54" i="1"/>
  <c r="J44" i="1"/>
  <c r="J51" i="1" s="1"/>
  <c r="E5" i="4" l="1"/>
  <c r="J57" i="3"/>
  <c r="J49" i="3"/>
  <c r="J47" i="3"/>
  <c r="E4" i="4"/>
  <c r="J73" i="1"/>
  <c r="J61" i="1"/>
  <c r="J55" i="1"/>
  <c r="J59" i="1" s="1"/>
  <c r="E4" i="2"/>
  <c r="J49" i="1"/>
  <c r="J47" i="1"/>
  <c r="E13" i="4" l="1"/>
  <c r="E23" i="4"/>
  <c r="E22" i="4"/>
  <c r="E12" i="4"/>
  <c r="E5" i="2"/>
  <c r="J57" i="1"/>
  <c r="E22" i="2"/>
  <c r="E12" i="2"/>
  <c r="E13" i="2" l="1"/>
  <c r="E23" i="2"/>
</calcChain>
</file>

<file path=xl/sharedStrings.xml><?xml version="1.0" encoding="utf-8"?>
<sst xmlns="http://schemas.openxmlformats.org/spreadsheetml/2006/main" count="503" uniqueCount="199">
  <si>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</si>
  <si>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</si>
  <si>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</si>
  <si>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</si>
  <si>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</si>
  <si>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</si>
  <si>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</si>
  <si>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</si>
  <si>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</si>
  <si>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</si>
  <si>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</si>
  <si>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</si>
  <si>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</si>
  <si>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</si>
  <si>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</si>
  <si>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</si>
  <si>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</si>
  <si>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</si>
  <si>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</si>
  <si>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</si>
  <si>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</si>
  <si>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</si>
  <si>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</si>
  <si>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</si>
  <si>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</si>
  <si>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</si>
  <si>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</si>
  <si>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</si>
  <si>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</si>
  <si>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</si>
  <si>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</si>
  <si>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</si>
  <si>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</si>
  <si>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</si>
  <si>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</si>
  <si>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</si>
  <si>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</si>
  <si>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</si>
  <si>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</si>
  <si>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</si>
  <si>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</si>
  <si>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</si>
  <si>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</si>
  <si>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</si>
  <si>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</si>
  <si>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</si>
  <si>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</si>
  <si>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</si>
  <si>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</si>
  <si>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</si>
  <si>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</si>
  <si>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</si>
  <si>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</si>
  <si>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</si>
  <si>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</si>
  <si>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</si>
  <si>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</si>
  <si>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</si>
  <si>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</si>
  <si>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</si>
  <si>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</si>
  <si>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</si>
  <si>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</si>
  <si>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</si>
  <si>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</si>
  <si>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</si>
  <si>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</si>
  <si>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</si>
  <si>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</si>
  <si>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</si>
  <si>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</si>
  <si>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</si>
  <si>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</si>
  <si>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</si>
  <si>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</si>
  <si>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</si>
  <si>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</si>
  <si>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</si>
  <si>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</si>
  <si>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</si>
  <si>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</si>
  <si>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</si>
  <si>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</si>
  <si>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</si>
  <si>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</si>
  <si>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</si>
  <si>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</si>
  <si>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</si>
  <si>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</si>
  <si>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</si>
  <si>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</si>
  <si>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</si>
  <si>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</si>
  <si>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</si>
  <si>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</si>
  <si>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</si>
  <si>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</si>
  <si>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</si>
  <si>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</si>
  <si>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</si>
  <si>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</si>
  <si>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</si>
  <si>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</si>
  <si>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</si>
  <si>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</si>
  <si>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</si>
  <si>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</si>
  <si>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</si>
  <si>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</si>
  <si>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</si>
  <si>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</si>
  <si>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</si>
  <si>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</si>
  <si>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</si>
  <si>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</si>
  <si>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</si>
  <si>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</si>
  <si>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</si>
  <si>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</si>
  <si>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</si>
  <si>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</si>
  <si>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</si>
  <si>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</si>
  <si>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</si>
  <si>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</si>
  <si>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</si>
  <si>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</si>
  <si>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</si>
  <si>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</si>
  <si>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t>コスト想定(固定費)</t>
    <rPh sb="3" eb="5">
      <t>ソウテイ</t>
    </rPh>
    <rPh sb="6" eb="9">
      <t>コテイヒ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</si>
  <si>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</si>
  <si>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</si>
  <si>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</si>
  <si>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</si>
  <si>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</si>
  <si>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</si>
  <si>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</si>
  <si>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</si>
  <si>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</si>
  <si>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</si>
  <si>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</si>
  <si>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</si>
  <si>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</si>
  <si>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</si>
  <si>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</si>
  <si>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</si>
  <si>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</si>
  <si>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</si>
  <si>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</si>
  <si>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</si>
  <si>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</si>
  <si>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</si>
  <si>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</si>
  <si>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</si>
  <si>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</si>
  <si>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</si>
  <si>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</si>
  <si>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</si>
  <si>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</si>
  <si>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（サイト固定リンク）</t>
    <phoneticPr fontId="2"/>
  </si>
  <si>
    <t>Ver.</t>
    <phoneticPr fontId="2"/>
  </si>
  <si>
    <t>サイトUU 13,228／友だち417人（2026-10-15〜16 殿村さん）。CVは来場予約（資料の軸＝資料請求の時点から来場・契約まで追う）</t>
  </si>
  <si>
    <t>資料請求（LINE経由）は参考。合計CV・CVR・CPAには入れない</t>
  </si>
  <si>
    <t>来場予約（月）</t>
  </si>
  <si>
    <t>来場予約 月35件（議事録の現状35〜40件の下限）・資料請求 月8件（自社サイトは月一桁・仮に8件）＝サンクスLINEの母数</t>
  </si>
  <si>
    <t>資料請求（月）</t>
  </si>
  <si>
    <t>1か月目</t>
  </si>
  <si>
    <t>2か月目</t>
  </si>
  <si>
    <t>3か月目</t>
  </si>
  <si>
    <t>4か月目</t>
  </si>
  <si>
    <t>5か月目</t>
  </si>
  <si>
    <t>6か月目</t>
  </si>
  <si>
    <t>友だち追加広告（CPF）は入れていない。友だちを月500人規模にするなら、LINE広告で月300人強（1人200円で月6〜7万円）が別に要る</t>
  </si>
  <si>
    <t>離脱防止＝UU×表示55%×クリック12%×追加12%（FMTの式）＝月約105人。今の来場特典のポップアップに加えて、来場前の方向けに情報で追加してもらう案内に作り直す想定</t>
  </si>
  <si>
    <t>サイトのLINEボタン＝UU×0.5%（FMTのP15）＝月約66人。今はサイトにLINEの導線が無いので新しく置く</t>
  </si>
  <si>
    <t>ブロック率：28%（殿村さんの表）から前月の1.02倍ずつ上昇</t>
  </si>
  <si>
    <t>企画配信 月4本（有効な友だち×80%。4か月目からは反応しない方を外してさらに8割）</t>
  </si>
  <si>
    <t>ステップ配信5通（会社の特長→費用・住宅ローン→断熱性能・間取り→ルームツアー→見学会・来場予約）。対象＝その月の新しい友だち</t>
  </si>
  <si>
    <t>来場予約＝クリック×0.4〜0.8%（運用が育つ想定で月ごとに上げる）</t>
  </si>
  <si>
    <t>資料請求＝クリック×0.6〜1.0%（参考）</t>
  </si>
  <si>
    <t>従量課金は54行（新料金テーブル）で計算。65行の旧式は二重計上になるため0</t>
  </si>
  <si>
    <t>離脱防止：初期1.5万・月3万</t>
  </si>
  <si>
    <t>サンクスLINE誘導</t>
  </si>
  <si>
    <t>サンクスLINE誘導：初期15万・月3万〜。完了ページの件数が月40件ほどなので、1人あたりは約5,000円（目安の月100件を下回る）</t>
  </si>
  <si>
    <t>アカウント費：FMTの式。初期は0（アカウントは既にある）</t>
  </si>
  <si>
    <t>LINE運用コンサル</t>
  </si>
  <si>
    <t>LINE運用コンサル：初期10万円〜・月額20万円〜（費用目安）</t>
  </si>
  <si>
    <t>来場予約（もともと・月）</t>
  </si>
  <si>
    <t>来場予約（+LINEOA施策）</t>
  </si>
  <si>
    <t>CV①_来場予約（LINE経由）</t>
  </si>
  <si>
    <t>参考_資料請求（LINE経由）</t>
  </si>
  <si>
    <t>来場予約</t>
    <phoneticPr fontId="2"/>
  </si>
  <si>
    <t>資料請求</t>
    <rPh sb="0" eb="4">
      <t>シリョウセイキュウ</t>
    </rPh>
    <phoneticPr fontId="2"/>
  </si>
  <si>
    <t>タナカホーム株式会社御中_LINEOA施策提案【SIM】ver1.2　A_サンクス有（離脱防止＋サイトのボタン＋サンクスLINE誘導）</t>
  </si>
  <si>
    <t>サンクスLINE誘導＝（来場予約 月35件＋資料請求 月8件。全部フォームの想定）×遷移80%×追加40%＝月約14人。資料請求・来場予約の件数はBと同じ（来場予約した方のキャンセルを減らす効果は「来場」の数なのでSIMに出さない）</t>
  </si>
  <si>
    <t>タナカホーム株式会社御中_LINEOA施策提案【SIM】ver1.2　B_サンクス無（離脱防止＋サイトのボタン）</t>
  </si>
  <si>
    <t>B_サンクス無：サンクスLINE誘導は入れない（オプション。Aのシートを参照）</t>
  </si>
  <si>
    <t>CVの件数はAと同じ（サンクスLINEの効果＝来場予約した方のキャンセルを減らす＝「来場」の数なので、SIMには出さない）</t>
  </si>
  <si>
    <t>サンクスLINE誘導：入れない（オプション：初期15万・月3万〜）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</si>
</sst>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opLeftCell="A26" zoomScale="76" zoomScaleNormal="55" workbookViewId="0">
      <selection activeCell="U71" sqref="U71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160</v>
      </c>
      <c r="B2" s="134">
        <v>46311</v>
      </c>
    </row>
    <row r="4" spans="1:25" ht="45.75" customHeight="1" x14ac:dyDescent="0.55000000000000004">
      <c r="A4" s="56" t="s">
        <v>193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156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48" t="s">
        <v>6</v>
      </c>
      <c r="B8" s="19" t="s">
        <v>7</v>
      </c>
      <c r="C8" s="19" t="s">
        <v>192</v>
      </c>
      <c r="D8" s="33">
        <v>0</v>
      </c>
      <c r="G8" s="121" t="s">
        <v>66</v>
      </c>
      <c r="H8" s="122">
        <v>13228</v>
      </c>
      <c r="I8" s="123"/>
      <c r="J8" s="123" t="s">
        <v>71</v>
      </c>
      <c r="K8" s="129">
        <v>0</v>
      </c>
      <c r="N8" s="69" t="s">
        <v>161</v>
      </c>
      <c r="O8" s="35" t="s">
        <v>155</v>
      </c>
    </row>
    <row r="9" spans="1:25" ht="18" thickBot="1" x14ac:dyDescent="0.6">
      <c r="A9" s="149"/>
      <c r="B9" s="19" t="s">
        <v>8</v>
      </c>
      <c r="C9" s="38" t="s">
        <v>191</v>
      </c>
      <c r="D9" s="33">
        <v>0</v>
      </c>
      <c r="G9" s="124" t="s">
        <v>147</v>
      </c>
      <c r="H9" s="125">
        <v>0</v>
      </c>
      <c r="I9" s="22"/>
      <c r="J9" s="29"/>
      <c r="K9" s="118"/>
      <c r="N9" s="132" t="s">
        <v>162</v>
      </c>
      <c r="O9" s="130" t="s">
        <v>154</v>
      </c>
      <c r="P9" s="131" t="b">
        <v>0</v>
      </c>
    </row>
    <row r="10" spans="1:25" x14ac:dyDescent="0.55000000000000004">
      <c r="A10" s="148" t="s">
        <v>9</v>
      </c>
      <c r="B10" s="19" t="s">
        <v>10</v>
      </c>
      <c r="C10" s="19" t="s">
        <v>62</v>
      </c>
      <c r="D10" s="33">
        <v>0</v>
      </c>
      <c r="G10" s="124" t="s">
        <v>163</v>
      </c>
      <c r="H10" s="125">
        <v>35</v>
      </c>
      <c r="I10" s="22" t="s">
        <v>153</v>
      </c>
      <c r="J10" s="29"/>
      <c r="K10" s="118"/>
      <c r="N10" s="132" t="s">
        <v>164</v>
      </c>
    </row>
    <row r="11" spans="1:25" ht="18" thickBot="1" x14ac:dyDescent="0.6">
      <c r="A11" s="149"/>
      <c r="B11" s="19" t="s">
        <v>11</v>
      </c>
      <c r="C11" s="38" t="s">
        <v>62</v>
      </c>
      <c r="D11" s="33">
        <v>0</v>
      </c>
      <c r="G11" s="126" t="s">
        <v>165</v>
      </c>
      <c r="H11" s="127">
        <v>8</v>
      </c>
      <c r="I11" s="128" t="s">
        <v>152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50" t="s">
        <v>0</v>
      </c>
      <c r="B13" s="150"/>
      <c r="C13" s="95"/>
      <c r="D13" s="13" t="s">
        <v>29</v>
      </c>
      <c r="E13" s="36" t="s">
        <v>166</v>
      </c>
      <c r="F13" s="36" t="s">
        <v>167</v>
      </c>
      <c r="G13" s="36" t="s">
        <v>168</v>
      </c>
      <c r="H13" s="36" t="s">
        <v>169</v>
      </c>
      <c r="I13" s="36" t="s">
        <v>170</v>
      </c>
      <c r="J13" s="36" t="s">
        <v>171</v>
      </c>
      <c r="K13" s="3" t="s">
        <v>1</v>
      </c>
      <c r="L13" s="4" t="s">
        <v>2</v>
      </c>
      <c r="N13" s="71" t="s">
        <v>122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51" t="s">
        <v>32</v>
      </c>
      <c r="B14" s="20" t="s">
        <v>36</v>
      </c>
      <c r="C14" s="99"/>
      <c r="D14" s="42">
        <f>+H8</f>
        <v>13228</v>
      </c>
      <c r="E14" s="43">
        <f>+D14</f>
        <v>13228</v>
      </c>
      <c r="F14" s="43">
        <f t="shared" ref="F14:J14" si="0">+E14</f>
        <v>13228</v>
      </c>
      <c r="G14" s="43">
        <f t="shared" si="0"/>
        <v>13228</v>
      </c>
      <c r="H14" s="43">
        <f t="shared" si="0"/>
        <v>13228</v>
      </c>
      <c r="I14" s="43">
        <f t="shared" si="0"/>
        <v>13228</v>
      </c>
      <c r="J14" s="43">
        <f t="shared" si="0"/>
        <v>13228</v>
      </c>
      <c r="K14" s="11"/>
      <c r="L14" s="7"/>
    </row>
    <row r="15" spans="1:25" ht="19" x14ac:dyDescent="0.55000000000000004">
      <c r="A15" s="152"/>
      <c r="B15" s="20" t="s">
        <v>35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159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53"/>
      <c r="B16" s="20" t="s">
        <v>150</v>
      </c>
      <c r="C16" s="99"/>
      <c r="D16" s="42">
        <f>H10</f>
        <v>35</v>
      </c>
      <c r="E16" s="43">
        <f t="shared" si="2"/>
        <v>35</v>
      </c>
      <c r="F16" s="43">
        <f t="shared" si="2"/>
        <v>35</v>
      </c>
      <c r="G16" s="43">
        <f t="shared" si="2"/>
        <v>35</v>
      </c>
      <c r="H16" s="43">
        <f t="shared" si="2"/>
        <v>35</v>
      </c>
      <c r="I16" s="43">
        <f t="shared" si="2"/>
        <v>35</v>
      </c>
      <c r="J16" s="43">
        <f t="shared" si="2"/>
        <v>35</v>
      </c>
      <c r="K16" s="11"/>
      <c r="L16" s="7"/>
      <c r="N16" s="69" t="s">
        <v>158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51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52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157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52"/>
      <c r="B19" s="8" t="s">
        <v>115</v>
      </c>
      <c r="C19" s="100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/>
      <c r="L19" s="9"/>
      <c r="N19" s="69" t="s">
        <v>157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  <v>37500000</v>
      </c>
      <c r="Z19" s="35">
        <v>2.5</v>
      </c>
    </row>
    <row r="20" spans="1:26" x14ac:dyDescent="0.55000000000000004">
      <c r="A20" s="152"/>
      <c r="B20" s="8" t="s">
        <v>113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53"/>
      <c r="B21" s="8" t="s">
        <v>114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54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172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52"/>
      <c r="B23" s="6" t="s">
        <v>5</v>
      </c>
      <c r="C23" s="17"/>
      <c r="D23" s="44" t="s">
        <v>21</v>
      </c>
      <c r="E23" s="46">
        <f>IF(E18=FALSE,0,E15*$P$18*0.08*0.08+(E14-E15)*$P$19*0.12*0.12)</f>
        <v>104.76576</v>
      </c>
      <c r="F23" s="46">
        <f>IF(F18=FALSE,0,F15*$P$18*0.08*0.08+(F14-F15)*$P$19*0.12*0.12)</f>
        <v>104.76576</v>
      </c>
      <c r="G23" s="63">
        <f t="shared" ref="G23:J23" si="3">F23*1.01</f>
        <v>105.81341760000001</v>
      </c>
      <c r="H23" s="63">
        <f t="shared" si="3"/>
        <v>106.871551776</v>
      </c>
      <c r="I23" s="63">
        <f t="shared" si="3"/>
        <v>107.94026729376</v>
      </c>
      <c r="J23" s="63">
        <f t="shared" si="3"/>
        <v>109.01966996669761</v>
      </c>
      <c r="K23" s="11"/>
      <c r="L23" s="7"/>
      <c r="N23" s="69" t="s">
        <v>173</v>
      </c>
      <c r="O23" s="17" t="s">
        <v>42</v>
      </c>
      <c r="P23" s="24">
        <v>0.1</v>
      </c>
      <c r="Q23" s="5" t="s">
        <v>119</v>
      </c>
      <c r="S23" s="34"/>
      <c r="U23" s="34"/>
      <c r="W23" s="34"/>
      <c r="Y23" s="34"/>
      <c r="Z23" s="35"/>
    </row>
    <row r="24" spans="1:26" ht="19" x14ac:dyDescent="0.55000000000000004">
      <c r="A24" s="152"/>
      <c r="B24" s="6" t="s">
        <v>115</v>
      </c>
      <c r="C24" s="17"/>
      <c r="D24" s="44" t="s">
        <v>21</v>
      </c>
      <c r="E24" s="46">
        <f t="shared" ref="E24:J24" si="4">IF(E19=FALSE,0,SUM($H$10:$H$11)*0.8*0.4)</f>
        <v>13.76</v>
      </c>
      <c r="F24" s="63">
        <f t="shared" si="4"/>
        <v>13.76</v>
      </c>
      <c r="G24" s="63">
        <f t="shared" si="4"/>
        <v>13.76</v>
      </c>
      <c r="H24" s="63">
        <f t="shared" si="4"/>
        <v>13.76</v>
      </c>
      <c r="I24" s="63">
        <f t="shared" si="4"/>
        <v>13.76</v>
      </c>
      <c r="J24" s="63">
        <f t="shared" si="4"/>
        <v>13.76</v>
      </c>
      <c r="K24" s="11"/>
      <c r="L24" s="7"/>
      <c r="N24" s="69" t="s">
        <v>194</v>
      </c>
      <c r="O24" s="22" t="s">
        <v>44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53"/>
      <c r="B25" s="6" t="s">
        <v>69</v>
      </c>
      <c r="C25" s="17"/>
      <c r="D25" s="44" t="s">
        <v>21</v>
      </c>
      <c r="E25" s="46">
        <f>+IF(E20=FALSE,0,SUM($H$10:$H$11)*0.7*0.3)+IF($E$21=FALSE,0,$K$8*0.15*0.15)</f>
        <v>0</v>
      </c>
      <c r="F25" s="46">
        <f t="shared" ref="F25:J25" si="5">+IF(F20=FALSE,0,SUM($H$10:$H$11)*0.7*0.3)+IF($E$21=FALSE,0,$K$8*0.15*0.15)</f>
        <v>0</v>
      </c>
      <c r="G25" s="46">
        <f t="shared" si="5"/>
        <v>0</v>
      </c>
      <c r="H25" s="46">
        <f t="shared" si="5"/>
        <v>0</v>
      </c>
      <c r="I25" s="46">
        <f t="shared" si="5"/>
        <v>0</v>
      </c>
      <c r="J25" s="46">
        <f t="shared" si="5"/>
        <v>0</v>
      </c>
      <c r="K25" s="11"/>
      <c r="L25" s="7"/>
      <c r="N25" s="69" t="s">
        <v>121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38" t="s">
        <v>16</v>
      </c>
      <c r="B26" s="139"/>
      <c r="C26" s="23"/>
      <c r="D26" s="44" t="s">
        <v>21</v>
      </c>
      <c r="E26" s="46">
        <f>+SUM(E22:E25)+$H$9*$P$16+($H$8-$H$9)*$P$15+IF(P9=FALSE,0,$K$8*0.15*0.08)</f>
        <v>184.66576000000001</v>
      </c>
      <c r="F26" s="46">
        <f t="shared" ref="F26:J26" si="6">+SUM(F22:F25)+$H$9*$P$16+($H$8-$H$9)*$P$15</f>
        <v>184.66576000000001</v>
      </c>
      <c r="G26" s="46">
        <f>+SUM(G22:G25)+$H$9*$P$16+($H$8-$H$9)*$P$15</f>
        <v>185.71341760000001</v>
      </c>
      <c r="H26" s="46">
        <f t="shared" si="6"/>
        <v>186.77155177600002</v>
      </c>
      <c r="I26" s="46">
        <f t="shared" si="6"/>
        <v>187.84026729376001</v>
      </c>
      <c r="J26" s="46">
        <f t="shared" si="6"/>
        <v>188.9196699666976</v>
      </c>
      <c r="K26" s="11"/>
      <c r="L26" s="7"/>
      <c r="N26" s="72" t="s">
        <v>174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38" t="s">
        <v>15</v>
      </c>
      <c r="B27" s="139"/>
      <c r="C27" s="23"/>
      <c r="D27" s="107">
        <v>0.28000000000000003</v>
      </c>
      <c r="E27" s="47">
        <v>0.28000000000000003</v>
      </c>
      <c r="F27" s="47">
        <f>ROUND(E27*1.02,3)</f>
        <v>0.28599999999999998</v>
      </c>
      <c r="G27" s="47">
        <f>ROUND(F27*1.02,3)</f>
        <v>0.29199999999999998</v>
      </c>
      <c r="H27" s="47">
        <f>ROUND(G27*1.02,3)</f>
        <v>0.29799999999999999</v>
      </c>
      <c r="I27" s="47">
        <f>ROUND(H27*1.02,3)</f>
        <v>0.30399999999999999</v>
      </c>
      <c r="J27" s="47">
        <f>ROUND(I27*1.02,3)</f>
        <v>0.31</v>
      </c>
      <c r="K27" s="11"/>
      <c r="L27" s="7"/>
      <c r="N27" t="s">
        <v>175</v>
      </c>
      <c r="O27" s="17" t="s">
        <v>42</v>
      </c>
      <c r="P27" s="24">
        <v>0.12</v>
      </c>
      <c r="Q27" s="5" t="s">
        <v>119</v>
      </c>
      <c r="S27" s="34"/>
      <c r="U27" s="34"/>
      <c r="W27" s="34"/>
      <c r="Y27" s="34"/>
      <c r="Z27" s="35"/>
    </row>
    <row r="28" spans="1:26" ht="19" x14ac:dyDescent="0.55000000000000004">
      <c r="A28" s="155" t="s">
        <v>13</v>
      </c>
      <c r="B28" s="156"/>
      <c r="C28" s="101"/>
      <c r="D28" s="106">
        <v>417</v>
      </c>
      <c r="E28" s="49">
        <f>+D28+E26</f>
        <v>601.66575999999998</v>
      </c>
      <c r="F28" s="49">
        <f t="shared" ref="F28:J28" si="7">+E28+F26</f>
        <v>786.33151999999995</v>
      </c>
      <c r="G28" s="49">
        <f t="shared" si="7"/>
        <v>972.04493759999991</v>
      </c>
      <c r="H28" s="49">
        <f t="shared" si="7"/>
        <v>1158.8164893759999</v>
      </c>
      <c r="I28" s="49">
        <f t="shared" si="7"/>
        <v>1346.6567566697599</v>
      </c>
      <c r="J28" s="49">
        <f t="shared" si="7"/>
        <v>1535.5764266364577</v>
      </c>
      <c r="K28" s="12"/>
      <c r="L28" s="7"/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4" t="s">
        <v>14</v>
      </c>
      <c r="B29" s="145"/>
      <c r="C29" s="102"/>
      <c r="D29" s="108">
        <f>+D28*(1-D27)</f>
        <v>300.24</v>
      </c>
      <c r="E29" s="50">
        <f>+E28*(1-E27)</f>
        <v>433.19934719999998</v>
      </c>
      <c r="F29" s="50">
        <f t="shared" ref="F29:J29" si="8">+F28*(1-F27)</f>
        <v>561.44070527999997</v>
      </c>
      <c r="G29" s="50">
        <f t="shared" si="8"/>
        <v>688.20781582079985</v>
      </c>
      <c r="H29" s="50">
        <f t="shared" si="8"/>
        <v>813.48917554195191</v>
      </c>
      <c r="I29" s="50">
        <f t="shared" si="8"/>
        <v>937.27310264215282</v>
      </c>
      <c r="J29" s="50">
        <f t="shared" si="8"/>
        <v>1059.5477343791556</v>
      </c>
      <c r="K29" s="12"/>
      <c r="L29" s="7"/>
      <c r="N29" s="69" t="s">
        <v>130</v>
      </c>
      <c r="S29" s="34"/>
      <c r="U29" s="34"/>
      <c r="W29" s="34"/>
      <c r="Y29" s="34"/>
      <c r="Z29" s="35"/>
    </row>
    <row r="30" spans="1:26" ht="19" x14ac:dyDescent="0.55000000000000004">
      <c r="A30" s="142" t="s">
        <v>23</v>
      </c>
      <c r="B30" s="143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176</v>
      </c>
      <c r="O30" s="17" t="s">
        <v>120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38" t="s">
        <v>24</v>
      </c>
      <c r="B31" s="139"/>
      <c r="C31" s="23"/>
      <c r="D31" s="108">
        <f>+D30*D29*0.41*0.07</f>
        <v>0</v>
      </c>
      <c r="E31" s="63">
        <f>+E29*E30*$P$24*$P$22*$P$23*$P$36</f>
        <v>136.72062507593324</v>
      </c>
      <c r="F31" s="63">
        <f>+F29*F30*$P$24*$P$22*$P$23*$P$36</f>
        <v>177.19445946790751</v>
      </c>
      <c r="G31" s="63">
        <f>+G29*G30*$P$24*$P$22*$P$23*$P$36</f>
        <v>217.20301142956683</v>
      </c>
      <c r="H31" s="63">
        <f>+H29*H30*$P$24*$P$22*$P$23*$P$36*$Q$24</f>
        <v>205.39412035863981</v>
      </c>
      <c r="I31" s="63">
        <f>+I29*I30*$P$24*$P$22*$P$23*$P$36*$Q$24</f>
        <v>236.64775173529065</v>
      </c>
      <c r="J31" s="63">
        <f>+J29*J30*$P$24*$P$22*$P$23*$P$36*$Q$24</f>
        <v>267.52030810466937</v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42" t="s">
        <v>30</v>
      </c>
      <c r="B32" s="143"/>
      <c r="C32" s="30"/>
      <c r="D32" s="48">
        <v>0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11"/>
      <c r="L32" s="7"/>
      <c r="N32" s="69" t="s">
        <v>177</v>
      </c>
      <c r="O32" s="17" t="s">
        <v>123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38" t="s">
        <v>31</v>
      </c>
      <c r="B33" s="139"/>
      <c r="C33" s="23"/>
      <c r="D33" s="44">
        <v>0</v>
      </c>
      <c r="E33" s="63">
        <f t="shared" ref="E33:J33" si="9">+E26*E32*$P$26*$P$27*$P$36</f>
        <v>101.57276980092001</v>
      </c>
      <c r="F33" s="63">
        <f t="shared" si="9"/>
        <v>101.57276980092001</v>
      </c>
      <c r="G33" s="63">
        <f t="shared" si="9"/>
        <v>102.14901893467922</v>
      </c>
      <c r="H33" s="63">
        <f t="shared" si="9"/>
        <v>102.73103055977603</v>
      </c>
      <c r="I33" s="63">
        <f t="shared" si="9"/>
        <v>103.31886230112377</v>
      </c>
      <c r="J33" s="63">
        <f t="shared" si="9"/>
        <v>103.912572359885</v>
      </c>
      <c r="K33" s="11"/>
      <c r="L33" s="7"/>
      <c r="O33" s="17" t="s">
        <v>131</v>
      </c>
      <c r="P33" s="75" t="b">
        <v>1</v>
      </c>
      <c r="Q33" s="73">
        <f t="shared" ref="Q33:Q35" si="10">+IF(P33=TRUE,1.1,0.95)</f>
        <v>1.1000000000000001</v>
      </c>
    </row>
    <row r="34" spans="1:17" ht="19" x14ac:dyDescent="0.55000000000000004">
      <c r="A34" s="144" t="s">
        <v>26</v>
      </c>
      <c r="B34" s="145"/>
      <c r="C34" s="102"/>
      <c r="D34" s="108">
        <f>+D29*D30</f>
        <v>0</v>
      </c>
      <c r="E34" s="46">
        <f>+E29*E30*$P$24+E26*E32</f>
        <v>2309.56671104</v>
      </c>
      <c r="F34" s="46">
        <f>+F29*F30*$P$24+F26*F32</f>
        <v>2719.9390568959998</v>
      </c>
      <c r="G34" s="46">
        <f>+G29*G30*$P$24+G26*G32</f>
        <v>3130.8320986265599</v>
      </c>
      <c r="H34" s="46">
        <f>+H29*H30*$P$24*$Q$24+H26*H32</f>
        <v>3016.3900482673971</v>
      </c>
      <c r="I34" s="46">
        <f>+I29*I30*$P$24*$Q$24+I26*I32</f>
        <v>3338.6204792327117</v>
      </c>
      <c r="J34" s="46">
        <f>+J29*J30*$P$24*$Q$24+J26*J32</f>
        <v>3657.0405498441269</v>
      </c>
      <c r="K34" s="11"/>
      <c r="L34" s="7"/>
      <c r="O34" s="17" t="s">
        <v>132</v>
      </c>
      <c r="P34" s="75" t="b">
        <v>1</v>
      </c>
      <c r="Q34" s="73">
        <f t="shared" si="10"/>
        <v>1.1000000000000001</v>
      </c>
    </row>
    <row r="35" spans="1:17" ht="19" x14ac:dyDescent="0.55000000000000004">
      <c r="A35" s="144" t="s">
        <v>25</v>
      </c>
      <c r="B35" s="145"/>
      <c r="C35" s="102"/>
      <c r="D35" s="109">
        <f>+D31*1.02</f>
        <v>0</v>
      </c>
      <c r="E35" s="50">
        <f>+E31+E33+1.05*(E31+E33)</f>
        <v>488.50145949754915</v>
      </c>
      <c r="F35" s="50">
        <f t="shared" ref="F35:J35" si="11">+F31+F33+1.05*(F31+F33)</f>
        <v>571.47282000109635</v>
      </c>
      <c r="G35" s="50">
        <f t="shared" si="11"/>
        <v>654.67166224670439</v>
      </c>
      <c r="H35" s="50">
        <f t="shared" si="11"/>
        <v>631.65655938275245</v>
      </c>
      <c r="I35" s="50">
        <f t="shared" si="11"/>
        <v>696.9315587746496</v>
      </c>
      <c r="J35" s="50">
        <f t="shared" si="11"/>
        <v>761.43740495233646</v>
      </c>
      <c r="K35" s="11"/>
      <c r="L35" s="7"/>
      <c r="O35" s="17" t="s">
        <v>133</v>
      </c>
      <c r="P35" s="75" t="b">
        <v>0</v>
      </c>
      <c r="Q35" s="73">
        <f t="shared" si="10"/>
        <v>0.95</v>
      </c>
    </row>
    <row r="36" spans="1:17" ht="18" x14ac:dyDescent="0.55000000000000004">
      <c r="A36" s="146" t="s">
        <v>6</v>
      </c>
      <c r="B36" s="6" t="str">
        <f>+C8</f>
        <v>資料請求</v>
      </c>
      <c r="C36" s="6"/>
      <c r="D36" s="11">
        <v>0</v>
      </c>
      <c r="E36" s="135">
        <v>4</v>
      </c>
      <c r="F36" s="135">
        <v>6</v>
      </c>
      <c r="G36" s="135">
        <v>6</v>
      </c>
      <c r="H36" s="135">
        <v>8</v>
      </c>
      <c r="I36" s="135">
        <v>9</v>
      </c>
      <c r="J36" s="135">
        <v>11</v>
      </c>
      <c r="K36" s="115">
        <f>SUM(E36:J36)</f>
        <v>44</v>
      </c>
      <c r="L36" s="7"/>
      <c r="N36" s="69" t="s">
        <v>178</v>
      </c>
      <c r="O36" s="17" t="s">
        <v>124</v>
      </c>
      <c r="P36" s="74">
        <f>1*(Q32*Q33*Q34*Q35)</f>
        <v>1.2644500000000003</v>
      </c>
      <c r="Q36" s="73"/>
    </row>
    <row r="37" spans="1:17" ht="18" x14ac:dyDescent="0.55000000000000004">
      <c r="A37" s="147"/>
      <c r="B37" s="6" t="str">
        <f>+C9</f>
        <v>来場予約</v>
      </c>
      <c r="C37" s="6"/>
      <c r="D37" s="11">
        <v>0</v>
      </c>
      <c r="E37" s="135">
        <v>2</v>
      </c>
      <c r="F37" s="135">
        <v>3</v>
      </c>
      <c r="G37" s="135">
        <v>4</v>
      </c>
      <c r="H37" s="135">
        <v>6</v>
      </c>
      <c r="I37" s="135">
        <v>7</v>
      </c>
      <c r="J37" s="135">
        <v>8</v>
      </c>
      <c r="K37" s="115">
        <f>SUM(E37:J37)</f>
        <v>30</v>
      </c>
      <c r="L37" s="7"/>
      <c r="N37" s="69" t="s">
        <v>179</v>
      </c>
    </row>
    <row r="38" spans="1:17" x14ac:dyDescent="0.55000000000000004">
      <c r="A38" s="146" t="s">
        <v>9</v>
      </c>
      <c r="B38" s="6" t="str">
        <f>+C10</f>
        <v>-</v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  <v>0</v>
      </c>
      <c r="L38" s="7"/>
      <c r="N38" s="69" t="s">
        <v>118</v>
      </c>
      <c r="O38" s="21" t="s">
        <v>37</v>
      </c>
    </row>
    <row r="39" spans="1:17" x14ac:dyDescent="0.55000000000000004">
      <c r="A39" s="147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118</v>
      </c>
      <c r="O39" s="21" t="s">
        <v>38</v>
      </c>
    </row>
    <row r="40" spans="1:17" x14ac:dyDescent="0.55000000000000004">
      <c r="A40" s="140" t="s">
        <v>53</v>
      </c>
      <c r="B40" s="141"/>
      <c r="C40" s="97"/>
      <c r="D40" s="11">
        <f>SUM(D36:D39)</f>
        <v>0</v>
      </c>
      <c r="E40" s="10">
        <f>SUM(E36:E39)</f>
        <v>6</v>
      </c>
      <c r="F40" s="10">
        <f t="shared" ref="F40:J40" si="12">SUM(F36:F39)</f>
        <v>9</v>
      </c>
      <c r="G40" s="10">
        <f t="shared" si="12"/>
        <v>10</v>
      </c>
      <c r="H40" s="10">
        <f t="shared" si="12"/>
        <v>14</v>
      </c>
      <c r="I40" s="10">
        <f t="shared" si="12"/>
        <v>16</v>
      </c>
      <c r="J40" s="10">
        <f t="shared" si="12"/>
        <v>19</v>
      </c>
      <c r="K40" s="115">
        <f>SUM(E40:J40)</f>
        <v>74</v>
      </c>
      <c r="L40" s="7"/>
      <c r="O40" s="17"/>
    </row>
    <row r="41" spans="1:17" x14ac:dyDescent="0.55000000000000004">
      <c r="B41" s="5" t="s">
        <v>67</v>
      </c>
      <c r="D41" s="18">
        <f t="shared" ref="D41" si="13">+IFERROR(D40/D35,0)</f>
        <v>0</v>
      </c>
      <c r="E41" s="18">
        <f>IFERROR(E40/E35,0)</f>
        <v>1.2282460744685047E-2</v>
      </c>
      <c r="F41" s="18">
        <f t="shared" ref="F41:J41" si="14">IFERROR(F40/F35,0)</f>
        <v>1.5748780493152297E-2</v>
      </c>
      <c r="G41" s="18">
        <f t="shared" si="14"/>
        <v>1.5274832525486084E-2</v>
      </c>
      <c r="H41" s="18">
        <f t="shared" si="14"/>
        <v>2.2163943035247886E-2</v>
      </c>
      <c r="I41" s="18">
        <f t="shared" si="14"/>
        <v>2.2957777989177763E-2</v>
      </c>
      <c r="J41" s="18">
        <f t="shared" si="14"/>
        <v>2.4952806201042014E-2</v>
      </c>
      <c r="N41" s="69" t="s">
        <v>117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148</v>
      </c>
      <c r="D43" s="5" t="s">
        <v>149</v>
      </c>
    </row>
    <row r="44" spans="1:17" x14ac:dyDescent="0.55000000000000004">
      <c r="A44" s="138" t="s">
        <v>27</v>
      </c>
      <c r="B44" s="139"/>
      <c r="C44" s="103"/>
      <c r="D44" s="16" t="s">
        <v>22</v>
      </c>
      <c r="E44" s="31">
        <f>+E75*E76</f>
        <v>0</v>
      </c>
      <c r="F44" s="31">
        <f t="shared" ref="F44:J44" si="15">+F75*F76</f>
        <v>0</v>
      </c>
      <c r="G44" s="31">
        <f t="shared" si="15"/>
        <v>0</v>
      </c>
      <c r="H44" s="31">
        <f t="shared" si="15"/>
        <v>0</v>
      </c>
      <c r="I44" s="31">
        <f t="shared" si="15"/>
        <v>0</v>
      </c>
      <c r="J44" s="31">
        <f t="shared" si="15"/>
        <v>0</v>
      </c>
      <c r="K44" s="11"/>
      <c r="L44" s="7"/>
    </row>
    <row r="45" spans="1:17" x14ac:dyDescent="0.55000000000000004">
      <c r="A45" s="138" t="s">
        <v>129</v>
      </c>
      <c r="B45" s="139"/>
      <c r="C45" s="104">
        <f>+SUM(C65:C72)</f>
        <v>0</v>
      </c>
      <c r="D45" s="80">
        <f>+SUM(D65:D72)</f>
        <v>265000</v>
      </c>
      <c r="E45" s="27">
        <f>SUM(E65:E69)+SUM(E71:E72)</f>
        <v>265000</v>
      </c>
      <c r="F45" s="27">
        <f t="shared" ref="F45:J45" si="16">SUM(F65:F69)+SUM(F71:F72)</f>
        <v>265000</v>
      </c>
      <c r="G45" s="27">
        <f t="shared" si="16"/>
        <v>265000</v>
      </c>
      <c r="H45" s="27">
        <f t="shared" si="16"/>
        <v>265000</v>
      </c>
      <c r="I45" s="27">
        <f t="shared" si="16"/>
        <v>265000</v>
      </c>
      <c r="J45" s="27">
        <f t="shared" si="16"/>
        <v>265000</v>
      </c>
      <c r="K45" s="11"/>
      <c r="L45" s="7"/>
    </row>
    <row r="46" spans="1:17" x14ac:dyDescent="0.55000000000000004">
      <c r="A46" s="138" t="s">
        <v>17</v>
      </c>
      <c r="B46" s="139"/>
      <c r="C46" s="103"/>
      <c r="D46" s="16" t="s">
        <v>22</v>
      </c>
      <c r="E46" s="28">
        <f t="shared" ref="E46:J46" si="17">SUM(E65:E67)/(E28-D28)</f>
        <v>324.91134252500308</v>
      </c>
      <c r="F46" s="28">
        <f t="shared" si="17"/>
        <v>324.91134252500308</v>
      </c>
      <c r="G46" s="28">
        <f t="shared" si="17"/>
        <v>323.0784332946335</v>
      </c>
      <c r="H46" s="28">
        <f t="shared" si="17"/>
        <v>321.24806711441556</v>
      </c>
      <c r="I46" s="28">
        <f t="shared" si="17"/>
        <v>319.42032911488081</v>
      </c>
      <c r="J46" s="28">
        <f t="shared" si="17"/>
        <v>317.59530392243778</v>
      </c>
      <c r="K46" s="11"/>
      <c r="L46" s="7"/>
    </row>
    <row r="47" spans="1:17" x14ac:dyDescent="0.55000000000000004">
      <c r="A47" s="138" t="s">
        <v>18</v>
      </c>
      <c r="B47" s="139"/>
      <c r="C47" s="103"/>
      <c r="D47" s="16" t="s">
        <v>22</v>
      </c>
      <c r="E47" s="28">
        <f t="shared" ref="E47:I47" si="18">+E51/E35</f>
        <v>542.47534955692288</v>
      </c>
      <c r="F47" s="28">
        <f t="shared" si="18"/>
        <v>463.7140922983732</v>
      </c>
      <c r="G47" s="28">
        <f t="shared" si="18"/>
        <v>404.78306192538122</v>
      </c>
      <c r="H47" s="28">
        <f t="shared" si="18"/>
        <v>419.53177888147786</v>
      </c>
      <c r="I47" s="28">
        <f t="shared" si="18"/>
        <v>380.23819794575672</v>
      </c>
      <c r="J47" s="28">
        <f>+J51/J35</f>
        <v>348.02598122505964</v>
      </c>
      <c r="K47" s="11"/>
      <c r="L47" s="7"/>
    </row>
    <row r="48" spans="1:17" x14ac:dyDescent="0.55000000000000004">
      <c r="A48" s="138" t="s">
        <v>20</v>
      </c>
      <c r="B48" s="139"/>
      <c r="C48" s="103"/>
      <c r="D48" s="16" t="s">
        <v>22</v>
      </c>
      <c r="E48" s="32">
        <f>IFERROR(E40/E35,0)</f>
        <v>1.2282460744685047E-2</v>
      </c>
      <c r="F48" s="32">
        <f t="shared" ref="F48:J48" si="19">IFERROR(F40/F35,0)</f>
        <v>1.5748780493152297E-2</v>
      </c>
      <c r="G48" s="32">
        <f t="shared" si="19"/>
        <v>1.5274832525486084E-2</v>
      </c>
      <c r="H48" s="32">
        <f t="shared" si="19"/>
        <v>2.2163943035247886E-2</v>
      </c>
      <c r="I48" s="32">
        <f t="shared" si="19"/>
        <v>2.2957777989177763E-2</v>
      </c>
      <c r="J48" s="32">
        <f t="shared" si="19"/>
        <v>2.4952806201042014E-2</v>
      </c>
      <c r="K48" s="11"/>
      <c r="L48" s="7"/>
    </row>
    <row r="49" spans="1:12" x14ac:dyDescent="0.55000000000000004">
      <c r="A49" s="140" t="s">
        <v>19</v>
      </c>
      <c r="B49" s="141"/>
      <c r="C49" s="105"/>
      <c r="D49" s="16" t="s">
        <v>22</v>
      </c>
      <c r="E49" s="28">
        <f>IFERROR(E51/E40,0)</f>
        <v>44166.666666666664</v>
      </c>
      <c r="F49" s="28">
        <f t="shared" ref="F49:J49" si="20">IFERROR(F51/F40,0)</f>
        <v>29444.444444444445</v>
      </c>
      <c r="G49" s="28">
        <f t="shared" si="20"/>
        <v>26500</v>
      </c>
      <c r="H49" s="28">
        <f t="shared" si="20"/>
        <v>18928.571428571428</v>
      </c>
      <c r="I49" s="28">
        <f t="shared" si="20"/>
        <v>16562.5</v>
      </c>
      <c r="J49" s="28">
        <f t="shared" si="20"/>
        <v>13947.368421052632</v>
      </c>
      <c r="K49" s="11"/>
      <c r="L49" s="7"/>
    </row>
    <row r="50" spans="1:12" x14ac:dyDescent="0.55000000000000004">
      <c r="A50" s="140" t="s">
        <v>116</v>
      </c>
      <c r="B50" s="141"/>
      <c r="C50" s="105"/>
      <c r="D50" s="64" t="s">
        <v>22</v>
      </c>
      <c r="E50" s="65">
        <f>+E36*$D$8+E38*$D$10</f>
        <v>0</v>
      </c>
      <c r="F50" s="65">
        <f t="shared" ref="F50:J50" si="21">+F36*$D$8+F38*$D$10</f>
        <v>0</v>
      </c>
      <c r="G50" s="65">
        <f t="shared" si="21"/>
        <v>0</v>
      </c>
      <c r="H50" s="65">
        <f t="shared" si="21"/>
        <v>0</v>
      </c>
      <c r="I50" s="65">
        <f t="shared" si="21"/>
        <v>0</v>
      </c>
      <c r="J50" s="65">
        <f t="shared" si="21"/>
        <v>0</v>
      </c>
      <c r="K50" s="11"/>
      <c r="L50" s="7"/>
    </row>
    <row r="51" spans="1:12" x14ac:dyDescent="0.55000000000000004">
      <c r="A51" s="136" t="s">
        <v>70</v>
      </c>
      <c r="B51" s="137"/>
      <c r="C51" s="110">
        <f>+C45</f>
        <v>0</v>
      </c>
      <c r="D51" s="40">
        <f>+D45</f>
        <v>265000</v>
      </c>
      <c r="E51" s="40">
        <f>SUM(E45,E50)+E44</f>
        <v>265000</v>
      </c>
      <c r="F51" s="40">
        <f t="shared" ref="F51:I51" si="22">SUM(F45,F50)+F44</f>
        <v>265000</v>
      </c>
      <c r="G51" s="40">
        <f t="shared" si="22"/>
        <v>265000</v>
      </c>
      <c r="H51" s="40">
        <f t="shared" si="22"/>
        <v>265000</v>
      </c>
      <c r="I51" s="40">
        <f t="shared" si="22"/>
        <v>265000</v>
      </c>
      <c r="J51" s="40">
        <f>SUM(J45,J50)+J44</f>
        <v>265000</v>
      </c>
      <c r="K51" s="11"/>
      <c r="L51" s="7"/>
    </row>
    <row r="52" spans="1:12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68</v>
      </c>
    </row>
    <row r="54" spans="1:12" hidden="1" x14ac:dyDescent="0.55000000000000004">
      <c r="A54" s="138" t="s">
        <v>27</v>
      </c>
      <c r="B54" s="139"/>
      <c r="C54" s="96"/>
      <c r="D54" s="28">
        <f>+D75*D76</f>
        <v>0</v>
      </c>
      <c r="E54" s="28">
        <f t="shared" ref="E54:J54" si="23">+E75*E76</f>
        <v>0</v>
      </c>
      <c r="F54" s="28">
        <f t="shared" si="23"/>
        <v>0</v>
      </c>
      <c r="G54" s="28">
        <f t="shared" si="23"/>
        <v>0</v>
      </c>
      <c r="H54" s="28">
        <f t="shared" si="23"/>
        <v>0</v>
      </c>
      <c r="I54" s="28">
        <f t="shared" si="23"/>
        <v>0</v>
      </c>
      <c r="J54" s="28">
        <f t="shared" si="23"/>
        <v>0</v>
      </c>
      <c r="K54" s="11"/>
      <c r="L54" s="7"/>
    </row>
    <row r="55" spans="1:12" hidden="1" x14ac:dyDescent="0.55000000000000004">
      <c r="A55" s="138" t="s">
        <v>129</v>
      </c>
      <c r="B55" s="139"/>
      <c r="C55" s="96"/>
      <c r="D55" s="27">
        <f>+SUM(D65:D72)</f>
        <v>265000</v>
      </c>
      <c r="E55" s="27">
        <f>SUM(E65:E72)+E54</f>
        <v>265000</v>
      </c>
      <c r="F55" s="27">
        <f t="shared" ref="F55:J55" si="24">SUM(F65:F72)+F54</f>
        <v>265000</v>
      </c>
      <c r="G55" s="27">
        <f t="shared" si="24"/>
        <v>265000</v>
      </c>
      <c r="H55" s="27">
        <f t="shared" si="24"/>
        <v>265000</v>
      </c>
      <c r="I55" s="27">
        <f t="shared" si="24"/>
        <v>265000</v>
      </c>
      <c r="J55" s="27">
        <f t="shared" si="24"/>
        <v>265000</v>
      </c>
      <c r="K55" s="11"/>
      <c r="L55" s="7"/>
    </row>
    <row r="56" spans="1:12" hidden="1" x14ac:dyDescent="0.55000000000000004">
      <c r="A56" s="138" t="s">
        <v>17</v>
      </c>
      <c r="B56" s="139"/>
      <c r="C56" s="96"/>
      <c r="D56" s="39" t="s">
        <v>22</v>
      </c>
      <c r="E56" s="28">
        <f t="shared" ref="E56:J56" si="25">SUM(E65:E67)/(E28-D28)</f>
        <v>324.91134252500308</v>
      </c>
      <c r="F56" s="28">
        <f t="shared" si="25"/>
        <v>324.91134252500308</v>
      </c>
      <c r="G56" s="28">
        <f t="shared" si="25"/>
        <v>323.0784332946335</v>
      </c>
      <c r="H56" s="28">
        <f t="shared" si="25"/>
        <v>321.24806711441556</v>
      </c>
      <c r="I56" s="28">
        <f t="shared" si="25"/>
        <v>319.42032911488081</v>
      </c>
      <c r="J56" s="28">
        <f t="shared" si="25"/>
        <v>317.59530392243778</v>
      </c>
      <c r="K56" s="11"/>
      <c r="L56" s="7"/>
    </row>
    <row r="57" spans="1:12" hidden="1" x14ac:dyDescent="0.55000000000000004">
      <c r="A57" s="138" t="s">
        <v>18</v>
      </c>
      <c r="B57" s="139"/>
      <c r="C57" s="96"/>
      <c r="D57" s="39" t="s">
        <v>22</v>
      </c>
      <c r="E57" s="28">
        <f>+E61/E35</f>
        <v>542.47534955692288</v>
      </c>
      <c r="F57" s="28">
        <f t="shared" ref="F57:J57" si="26">+F61/F35</f>
        <v>463.7140922983732</v>
      </c>
      <c r="G57" s="28">
        <f t="shared" si="26"/>
        <v>404.78306192538122</v>
      </c>
      <c r="H57" s="28">
        <f t="shared" si="26"/>
        <v>419.53177888147786</v>
      </c>
      <c r="I57" s="28">
        <f t="shared" si="26"/>
        <v>380.23819794575672</v>
      </c>
      <c r="J57" s="28">
        <f t="shared" si="26"/>
        <v>348.02598122505964</v>
      </c>
      <c r="K57" s="11"/>
      <c r="L57" s="7"/>
    </row>
    <row r="58" spans="1:12" hidden="1" x14ac:dyDescent="0.55000000000000004">
      <c r="A58" s="138" t="s">
        <v>20</v>
      </c>
      <c r="B58" s="139"/>
      <c r="C58" s="96"/>
      <c r="D58" s="39" t="s">
        <v>22</v>
      </c>
      <c r="E58" s="32">
        <f t="shared" ref="E58:J58" si="27">+IFERROR(E36/E35,0)</f>
        <v>8.1883071631233643E-3</v>
      </c>
      <c r="F58" s="32">
        <f t="shared" si="27"/>
        <v>1.0499186995434865E-2</v>
      </c>
      <c r="G58" s="32">
        <f t="shared" si="27"/>
        <v>9.1648995152916503E-3</v>
      </c>
      <c r="H58" s="32">
        <f t="shared" si="27"/>
        <v>1.2665110305855936E-2</v>
      </c>
      <c r="I58" s="32">
        <f t="shared" si="27"/>
        <v>1.2913750118912493E-2</v>
      </c>
      <c r="J58" s="32">
        <f t="shared" si="27"/>
        <v>1.4446361484813798E-2</v>
      </c>
      <c r="K58" s="11"/>
      <c r="L58" s="7"/>
    </row>
    <row r="59" spans="1:12" hidden="1" x14ac:dyDescent="0.55000000000000004">
      <c r="A59" s="140" t="s">
        <v>19</v>
      </c>
      <c r="B59" s="141"/>
      <c r="C59" s="97"/>
      <c r="D59" s="28"/>
      <c r="E59" s="28">
        <f t="shared" ref="E59:J59" si="28">+IFERROR(E55/E36,0)</f>
        <v>66250</v>
      </c>
      <c r="F59" s="28">
        <f t="shared" si="28"/>
        <v>44166.666666666664</v>
      </c>
      <c r="G59" s="28">
        <f t="shared" si="28"/>
        <v>44166.666666666664</v>
      </c>
      <c r="H59" s="28">
        <f t="shared" si="28"/>
        <v>33125</v>
      </c>
      <c r="I59" s="28">
        <f t="shared" si="28"/>
        <v>29444.444444444445</v>
      </c>
      <c r="J59" s="28">
        <f t="shared" si="28"/>
        <v>24090.909090909092</v>
      </c>
      <c r="K59" s="11"/>
      <c r="L59" s="7"/>
    </row>
    <row r="60" spans="1:12" hidden="1" x14ac:dyDescent="0.55000000000000004">
      <c r="A60" s="140" t="s">
        <v>116</v>
      </c>
      <c r="B60" s="141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55000000000000004">
      <c r="A61" s="136" t="s">
        <v>70</v>
      </c>
      <c r="B61" s="137"/>
      <c r="C61" s="98"/>
      <c r="D61" s="40">
        <f>+D55</f>
        <v>265000</v>
      </c>
      <c r="E61" s="40">
        <f>+SUM(E65:E72)+E54</f>
        <v>265000</v>
      </c>
      <c r="F61" s="40">
        <f t="shared" ref="F61:J61" si="29">+SUM(F65:F72)+F54</f>
        <v>265000</v>
      </c>
      <c r="G61" s="40">
        <f t="shared" si="29"/>
        <v>265000</v>
      </c>
      <c r="H61" s="40">
        <f t="shared" si="29"/>
        <v>265000</v>
      </c>
      <c r="I61" s="40">
        <f t="shared" si="29"/>
        <v>265000</v>
      </c>
      <c r="J61" s="40">
        <f t="shared" si="29"/>
        <v>265000</v>
      </c>
      <c r="K61" s="11"/>
      <c r="L61" s="7"/>
    </row>
    <row r="62" spans="1:12" hidden="1" x14ac:dyDescent="0.55000000000000004"/>
    <row r="64" spans="1:12" x14ac:dyDescent="0.55000000000000004">
      <c r="C64" s="5" t="s">
        <v>148</v>
      </c>
      <c r="D64" s="5" t="s">
        <v>149</v>
      </c>
    </row>
    <row r="65" spans="1:16" ht="18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N65" t="s">
        <v>180</v>
      </c>
    </row>
    <row r="66" spans="1:16" x14ac:dyDescent="0.55000000000000004">
      <c r="A66" s="53" t="s">
        <v>50</v>
      </c>
      <c r="B66" s="6" t="s">
        <v>5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181</v>
      </c>
    </row>
    <row r="67" spans="1:16" x14ac:dyDescent="0.55000000000000004">
      <c r="B67" s="6" t="s">
        <v>182</v>
      </c>
      <c r="C67" s="90">
        <v>0</v>
      </c>
      <c r="D67" s="51">
        <v>150000</v>
      </c>
      <c r="E67" s="28">
        <v>30000</v>
      </c>
      <c r="F67" s="28">
        <v>30000</v>
      </c>
      <c r="G67" s="28">
        <v>30000</v>
      </c>
      <c r="H67" s="28">
        <v>30000</v>
      </c>
      <c r="I67" s="28">
        <v>30000</v>
      </c>
      <c r="J67" s="28">
        <v>30000</v>
      </c>
      <c r="N67" s="69" t="s">
        <v>183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30">IF(E34&lt;5000,5000,15000)</f>
        <v>5000</v>
      </c>
      <c r="F68" s="28">
        <f t="shared" si="30"/>
        <v>5000</v>
      </c>
      <c r="G68" s="28">
        <f t="shared" si="30"/>
        <v>5000</v>
      </c>
      <c r="H68" s="28">
        <f t="shared" si="30"/>
        <v>5000</v>
      </c>
      <c r="I68" s="28">
        <f t="shared" si="30"/>
        <v>5000</v>
      </c>
      <c r="J68" s="28">
        <f t="shared" si="30"/>
        <v>5000</v>
      </c>
      <c r="N68" s="69" t="s">
        <v>184</v>
      </c>
      <c r="O68" s="17" t="s">
        <v>128</v>
      </c>
      <c r="P68" s="75">
        <v>5000</v>
      </c>
    </row>
    <row r="69" spans="1:16" x14ac:dyDescent="0.55000000000000004">
      <c r="A69" s="15"/>
      <c r="B69" s="6" t="s">
        <v>185</v>
      </c>
      <c r="C69" s="90">
        <v>0</v>
      </c>
      <c r="D69" s="51">
        <v>100000</v>
      </c>
      <c r="E69" s="28">
        <v>200000</v>
      </c>
      <c r="F69" s="28">
        <v>200000</v>
      </c>
      <c r="G69" s="28">
        <v>200000</v>
      </c>
      <c r="H69" s="28">
        <v>200000</v>
      </c>
      <c r="I69" s="28">
        <v>200000</v>
      </c>
      <c r="J69" s="28">
        <v>200000</v>
      </c>
      <c r="N69" s="69" t="s">
        <v>186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127</v>
      </c>
    </row>
    <row r="71" spans="1:16" x14ac:dyDescent="0.55000000000000004">
      <c r="A71" s="15"/>
      <c r="B71" s="6" t="s">
        <v>125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126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151</v>
      </c>
      <c r="C73" s="113">
        <v>0</v>
      </c>
      <c r="D73" s="114">
        <f>SUM(D65:D72)</f>
        <v>265000</v>
      </c>
      <c r="E73" s="114">
        <f t="shared" ref="E73:J73" si="31">SUM(E65:E72)+E54</f>
        <v>265000</v>
      </c>
      <c r="F73" s="114">
        <f t="shared" si="31"/>
        <v>265000</v>
      </c>
      <c r="G73" s="114">
        <f t="shared" si="31"/>
        <v>265000</v>
      </c>
      <c r="H73" s="114">
        <f t="shared" si="31"/>
        <v>265000</v>
      </c>
      <c r="I73" s="114">
        <f t="shared" si="31"/>
        <v>265000</v>
      </c>
      <c r="J73" s="114">
        <f t="shared" si="31"/>
        <v>265000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2">+IF(D34&lt;30001,0,D34-30000)</f>
        <v>0</v>
      </c>
      <c r="E75" s="41">
        <f t="shared" si="32"/>
        <v>0</v>
      </c>
      <c r="F75" s="41">
        <f t="shared" si="32"/>
        <v>0</v>
      </c>
      <c r="G75" s="41">
        <f t="shared" si="32"/>
        <v>0</v>
      </c>
      <c r="H75" s="41">
        <f t="shared" si="32"/>
        <v>0</v>
      </c>
      <c r="I75" s="41">
        <f t="shared" si="32"/>
        <v>0</v>
      </c>
      <c r="J75" s="41">
        <f t="shared" si="32"/>
        <v>0</v>
      </c>
    </row>
    <row r="76" spans="1:16" x14ac:dyDescent="0.55000000000000004">
      <c r="B76" s="5" t="s">
        <v>65</v>
      </c>
      <c r="D76" s="5">
        <f t="shared" ref="D76:J76" si="33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3"/>
        <v>3</v>
      </c>
      <c r="F76" s="5">
        <f t="shared" si="33"/>
        <v>3</v>
      </c>
      <c r="G76" s="5">
        <f t="shared" si="33"/>
        <v>3</v>
      </c>
      <c r="H76" s="5">
        <f t="shared" si="33"/>
        <v>3</v>
      </c>
      <c r="I76" s="5">
        <f t="shared" si="33"/>
        <v>3</v>
      </c>
      <c r="J76" s="5">
        <f t="shared" si="33"/>
        <v>3</v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142</v>
      </c>
      <c r="F1" s="81">
        <v>0.6</v>
      </c>
    </row>
    <row r="3" spans="1:25" x14ac:dyDescent="0.55000000000000004">
      <c r="A3" s="82" t="s">
        <v>79</v>
      </c>
      <c r="B3" s="82"/>
      <c r="C3" s="83" t="s">
        <v>73</v>
      </c>
      <c r="D3" s="84" t="s">
        <v>74</v>
      </c>
      <c r="E3" s="84" t="s">
        <v>75</v>
      </c>
      <c r="F3" s="84"/>
    </row>
    <row r="4" spans="1:25" x14ac:dyDescent="0.55000000000000004">
      <c r="A4" s="85" t="s">
        <v>137</v>
      </c>
      <c r="B4" s="7"/>
      <c r="C4" s="86" t="str">
        <f>+A_サンクス有!D24</f>
        <v>--</v>
      </c>
      <c r="D4" s="28">
        <f>+A_サンクス有!G51</f>
        <v>265000</v>
      </c>
      <c r="E4" s="28">
        <f>+A_サンクス有!J51</f>
        <v>265000</v>
      </c>
      <c r="F4" s="28"/>
    </row>
    <row r="5" spans="1:25" x14ac:dyDescent="0.55000000000000004">
      <c r="A5" s="85" t="s">
        <v>138</v>
      </c>
      <c r="B5" s="7"/>
      <c r="C5" s="86" t="str">
        <f>+A_サンクス有!D25</f>
        <v>--</v>
      </c>
      <c r="D5" s="28">
        <f>+A_サンクス有!G61</f>
        <v>265000</v>
      </c>
      <c r="E5" s="28">
        <f>+A_サンクス有!J61</f>
        <v>265000</v>
      </c>
      <c r="F5" s="27"/>
    </row>
    <row r="6" spans="1:25" x14ac:dyDescent="0.55000000000000004">
      <c r="A6" s="85" t="s">
        <v>76</v>
      </c>
      <c r="B6" s="7"/>
      <c r="C6" s="117">
        <f>+A_サンクス有!D28</f>
        <v>417</v>
      </c>
      <c r="D6" s="87">
        <f>+A_サンクス有!G28</f>
        <v>972.04493759999991</v>
      </c>
      <c r="E6" s="87">
        <f>+A_サンクス有!J28</f>
        <v>1535.5764266364577</v>
      </c>
      <c r="F6" s="10"/>
    </row>
    <row r="7" spans="1:25" x14ac:dyDescent="0.55000000000000004">
      <c r="A7" s="85" t="s">
        <v>77</v>
      </c>
      <c r="B7" s="7"/>
      <c r="C7" s="88">
        <f>+A_サンクス有!D27</f>
        <v>0.28000000000000003</v>
      </c>
      <c r="D7" s="89">
        <f>+A_サンクス有!G27</f>
        <v>0.29199999999999998</v>
      </c>
      <c r="E7" s="89">
        <f>+A_サンクス有!J27</f>
        <v>0.31</v>
      </c>
      <c r="F7" s="89"/>
    </row>
    <row r="8" spans="1:25" x14ac:dyDescent="0.55000000000000004">
      <c r="A8" s="85" t="s">
        <v>78</v>
      </c>
      <c r="B8" s="7"/>
      <c r="C8" s="117">
        <f>+A_サンクス有!D29</f>
        <v>300.24</v>
      </c>
      <c r="D8" s="10">
        <f>+A_サンクス有!G29</f>
        <v>688.20781582079985</v>
      </c>
      <c r="E8" s="10">
        <f>+A_サンクス有!J29</f>
        <v>1059.5477343791556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80</v>
      </c>
      <c r="B10" s="7"/>
      <c r="C10" s="117">
        <f>+A_サンクス有!D34</f>
        <v>0</v>
      </c>
      <c r="D10" s="10">
        <f>+A_サンクス有!G34</f>
        <v>3130.8320986265599</v>
      </c>
      <c r="E10" s="10">
        <f>+A_サンクス有!J34</f>
        <v>3657.0405498441269</v>
      </c>
      <c r="F10" s="10"/>
    </row>
    <row r="11" spans="1:25" x14ac:dyDescent="0.55000000000000004">
      <c r="A11" s="85" t="s">
        <v>81</v>
      </c>
      <c r="B11" s="7"/>
      <c r="C11" s="117">
        <f>+A_サンクス有!D35</f>
        <v>0</v>
      </c>
      <c r="D11" s="10">
        <f>+A_サンクス有!G35</f>
        <v>654.67166224670439</v>
      </c>
      <c r="E11" s="10">
        <f>+A_サンクス有!J35</f>
        <v>761.43740495233646</v>
      </c>
      <c r="F11" s="10"/>
    </row>
    <row r="12" spans="1:25" x14ac:dyDescent="0.55000000000000004">
      <c r="A12" s="85" t="s">
        <v>144</v>
      </c>
      <c r="B12" s="7"/>
      <c r="C12" s="28">
        <f>+IFERROR(C5/C11,0)</f>
        <v>0</v>
      </c>
      <c r="D12" s="28">
        <f>+D4/D11</f>
        <v>404.78306192538122</v>
      </c>
      <c r="E12" s="28">
        <f t="shared" ref="E12" si="0">+E4/E11</f>
        <v>348.02598122505964</v>
      </c>
      <c r="F12" s="28"/>
    </row>
    <row r="13" spans="1:25" x14ac:dyDescent="0.55000000000000004">
      <c r="A13" s="85" t="s">
        <v>145</v>
      </c>
      <c r="B13" s="7"/>
      <c r="C13" s="28">
        <f>+IFERROR(C6/C12,0)</f>
        <v>0</v>
      </c>
      <c r="D13" s="28">
        <f>+D5/D11</f>
        <v>404.78306192538122</v>
      </c>
      <c r="E13" s="28">
        <f t="shared" ref="E13" si="1">+E5/E11</f>
        <v>348.02598122505964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47</v>
      </c>
    </row>
    <row r="15" spans="1:25" x14ac:dyDescent="0.55000000000000004">
      <c r="A15" s="85" t="s">
        <v>187</v>
      </c>
      <c r="B15" s="7"/>
      <c r="C15" s="87">
        <f>+A_サンクス有!D16</f>
        <v>35</v>
      </c>
      <c r="D15" s="87">
        <f>+A_サンクス有!G16</f>
        <v>35</v>
      </c>
      <c r="E15" s="87">
        <f>+A_サンクス有!J16</f>
        <v>35</v>
      </c>
      <c r="F15" s="87"/>
      <c r="R15" s="5" t="s">
        <v>58</v>
      </c>
    </row>
    <row r="16" spans="1:25" x14ac:dyDescent="0.55000000000000004">
      <c r="A16" s="85" t="s">
        <v>188</v>
      </c>
      <c r="B16" s="7"/>
      <c r="C16" s="87">
        <f>+C17</f>
        <v>0</v>
      </c>
      <c r="D16" s="87">
        <f>+D17</f>
        <v>6</v>
      </c>
      <c r="E16" s="87">
        <f>+E17</f>
        <v>11</v>
      </c>
      <c r="F16" s="87"/>
      <c r="R16" s="5" t="s">
        <v>59</v>
      </c>
      <c r="V16" s="5" t="s">
        <v>60</v>
      </c>
      <c r="Y16" s="35" t="s">
        <v>61</v>
      </c>
    </row>
    <row r="17" spans="1:25" x14ac:dyDescent="0.55000000000000004">
      <c r="A17" s="85" t="s">
        <v>189</v>
      </c>
      <c r="B17" s="7"/>
      <c r="C17" s="87">
        <f>+A_サンクス有!D36</f>
        <v>0</v>
      </c>
      <c r="D17" s="87">
        <f>+A_サンクス有!G36</f>
        <v>6</v>
      </c>
      <c r="E17" s="87">
        <f>+A_サンクス有!J36</f>
        <v>11</v>
      </c>
      <c r="F17" s="10"/>
      <c r="R17" s="5">
        <v>0</v>
      </c>
      <c r="S17" s="5" t="s">
        <v>62</v>
      </c>
      <c r="T17" s="34">
        <v>200000</v>
      </c>
      <c r="V17" s="5">
        <v>0</v>
      </c>
      <c r="W17" s="5" t="s">
        <v>62</v>
      </c>
      <c r="X17" s="34">
        <v>600000</v>
      </c>
      <c r="Y17" s="35">
        <v>3</v>
      </c>
    </row>
    <row r="18" spans="1:25" x14ac:dyDescent="0.55000000000000004">
      <c r="A18" s="85" t="s">
        <v>190</v>
      </c>
      <c r="B18" s="7"/>
      <c r="C18" s="87">
        <f>+A_サンクス有!D37</f>
        <v>0</v>
      </c>
      <c r="D18" s="87">
        <f>+A_サンクス有!G37</f>
        <v>4</v>
      </c>
      <c r="E18" s="87">
        <f>+A_サンクス有!J37</f>
        <v>8</v>
      </c>
      <c r="F18" s="10"/>
      <c r="R18" s="34">
        <v>200000</v>
      </c>
      <c r="S18" s="5" t="s">
        <v>62</v>
      </c>
      <c r="T18" s="34">
        <v>15000000</v>
      </c>
      <c r="V18" s="34">
        <v>600000</v>
      </c>
      <c r="W18" s="5" t="s">
        <v>62</v>
      </c>
      <c r="X18" s="34">
        <f>+T18*2.5</f>
        <v>37500000</v>
      </c>
      <c r="Y18" s="35">
        <v>2.5</v>
      </c>
    </row>
    <row r="19" spans="1:25" x14ac:dyDescent="0.55000000000000004">
      <c r="A19" s="85" t="s">
        <v>62</v>
      </c>
      <c r="B19" s="7"/>
      <c r="C19" s="87">
        <f>+A_サンクス有!D38</f>
        <v>0</v>
      </c>
      <c r="D19" s="87">
        <f>+A_サンクス有!G38</f>
        <v>0</v>
      </c>
      <c r="E19" s="87">
        <f>+A_サンクス有!J38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62</v>
      </c>
      <c r="B20" s="7"/>
      <c r="C20" s="87">
        <f>+A_サンクス有!D39</f>
        <v>0</v>
      </c>
      <c r="D20" s="87">
        <f>+A_サンクス有!G39</f>
        <v>0</v>
      </c>
      <c r="E20" s="87">
        <f>+A_サンクス有!J39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139</v>
      </c>
      <c r="B22" s="7"/>
      <c r="C22" s="90" t="str">
        <f>+IFERROR(C4/C16,"--")</f>
        <v>--</v>
      </c>
      <c r="D22" s="90">
        <f t="shared" ref="D22:E22" si="2">+IFERROR(D4/D16,"--")</f>
        <v>44166.666666666664</v>
      </c>
      <c r="E22" s="90">
        <f t="shared" si="2"/>
        <v>24090.909090909092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140</v>
      </c>
      <c r="B23" s="7"/>
      <c r="C23" s="90" t="str">
        <f>+IFERROR(C5/C16,"--")</f>
        <v>--</v>
      </c>
      <c r="D23" s="90">
        <f t="shared" ref="D23" si="3">+IFERROR(D5/D16,"--")</f>
        <v>44166.666666666664</v>
      </c>
      <c r="E23" s="90">
        <f t="shared" ref="E23" si="4">+IFERROR(E5/E16,"--")</f>
        <v>24090.909090909092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146</v>
      </c>
      <c r="B25" s="7"/>
      <c r="C25" s="10">
        <f>+A_サンクス有!E68+C29*C30</f>
        <v>5000</v>
      </c>
      <c r="D25" s="10">
        <f>+A_サンクス有!G68+D29*D30</f>
        <v>5000</v>
      </c>
      <c r="E25" s="10">
        <f>+A_サンクス有!J68+E29*E30</f>
        <v>5000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143</v>
      </c>
      <c r="C29" s="5">
        <f>+IF(C10&lt;=30000,0,C10-30000)</f>
        <v>0</v>
      </c>
      <c r="D29" s="91">
        <f>+IF(D10&lt;=30000,0,D10-30000)</f>
        <v>0</v>
      </c>
      <c r="E29" s="91">
        <f>+IF(E10&lt;=30000,0,E10-30000)</f>
        <v>0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141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112</v>
      </c>
      <c r="B35" s="92"/>
      <c r="C35" s="93" t="s">
        <v>134</v>
      </c>
      <c r="D35" s="94" t="s">
        <v>135</v>
      </c>
      <c r="E35" s="94" t="s">
        <v>136</v>
      </c>
      <c r="F35" s="94" t="s">
        <v>136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5D6B4-55E6-58DE-A1CF-69AB6EDE5A4B}">
  <dimension ref="A2:Z76"/>
  <sheetViews>
    <sheetView tabSelected="1" topLeftCell="A42" zoomScale="104" zoomScaleNormal="55" workbookViewId="0">
      <selection activeCell="E75" sqref="E75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160</v>
      </c>
      <c r="B2" s="134">
        <v>46311</v>
      </c>
    </row>
    <row r="4" spans="1:25" ht="45.75" customHeight="1" x14ac:dyDescent="0.55000000000000004">
      <c r="A4" s="56" t="s">
        <v>195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156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48" t="s">
        <v>6</v>
      </c>
      <c r="B8" s="19" t="s">
        <v>7</v>
      </c>
      <c r="C8" s="19" t="s">
        <v>192</v>
      </c>
      <c r="D8" s="33">
        <v>0</v>
      </c>
      <c r="G8" s="121" t="s">
        <v>66</v>
      </c>
      <c r="H8" s="122">
        <v>13228</v>
      </c>
      <c r="I8" s="123"/>
      <c r="J8" s="123" t="s">
        <v>71</v>
      </c>
      <c r="K8" s="129">
        <v>0</v>
      </c>
      <c r="N8" s="69" t="s">
        <v>161</v>
      </c>
      <c r="O8" s="35" t="s">
        <v>155</v>
      </c>
    </row>
    <row r="9" spans="1:25" ht="18" thickBot="1" x14ac:dyDescent="0.6">
      <c r="A9" s="149"/>
      <c r="B9" s="19" t="s">
        <v>8</v>
      </c>
      <c r="C9" s="38" t="s">
        <v>191</v>
      </c>
      <c r="D9" s="33">
        <v>0</v>
      </c>
      <c r="G9" s="124" t="s">
        <v>147</v>
      </c>
      <c r="H9" s="125">
        <v>0</v>
      </c>
      <c r="I9" s="22"/>
      <c r="J9" s="29"/>
      <c r="K9" s="118"/>
      <c r="N9" s="132" t="s">
        <v>162</v>
      </c>
      <c r="O9" s="130" t="s">
        <v>154</v>
      </c>
      <c r="P9" s="131" t="b">
        <v>0</v>
      </c>
    </row>
    <row r="10" spans="1:25" x14ac:dyDescent="0.55000000000000004">
      <c r="A10" s="148" t="s">
        <v>9</v>
      </c>
      <c r="B10" s="19" t="s">
        <v>10</v>
      </c>
      <c r="C10" s="19" t="s">
        <v>62</v>
      </c>
      <c r="D10" s="33">
        <v>0</v>
      </c>
      <c r="G10" s="124" t="s">
        <v>163</v>
      </c>
      <c r="H10" s="125">
        <v>35</v>
      </c>
      <c r="I10" s="22" t="s">
        <v>153</v>
      </c>
      <c r="J10" s="29"/>
      <c r="K10" s="118"/>
      <c r="N10" s="132" t="s">
        <v>164</v>
      </c>
    </row>
    <row r="11" spans="1:25" ht="18" thickBot="1" x14ac:dyDescent="0.6">
      <c r="A11" s="149"/>
      <c r="B11" s="19" t="s">
        <v>11</v>
      </c>
      <c r="C11" s="38" t="s">
        <v>62</v>
      </c>
      <c r="D11" s="33">
        <v>0</v>
      </c>
      <c r="G11" s="126" t="s">
        <v>165</v>
      </c>
      <c r="H11" s="127">
        <v>8</v>
      </c>
      <c r="I11" s="128" t="s">
        <v>152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50" t="s">
        <v>0</v>
      </c>
      <c r="B13" s="150"/>
      <c r="C13" s="95"/>
      <c r="D13" s="13" t="s">
        <v>29</v>
      </c>
      <c r="E13" s="36" t="s">
        <v>166</v>
      </c>
      <c r="F13" s="36" t="s">
        <v>167</v>
      </c>
      <c r="G13" s="36" t="s">
        <v>168</v>
      </c>
      <c r="H13" s="36" t="s">
        <v>169</v>
      </c>
      <c r="I13" s="36" t="s">
        <v>170</v>
      </c>
      <c r="J13" s="36" t="s">
        <v>171</v>
      </c>
      <c r="K13" s="3" t="s">
        <v>1</v>
      </c>
      <c r="L13" s="4" t="s">
        <v>2</v>
      </c>
      <c r="N13" s="71" t="s">
        <v>122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51" t="s">
        <v>32</v>
      </c>
      <c r="B14" s="20" t="s">
        <v>36</v>
      </c>
      <c r="C14" s="99"/>
      <c r="D14" s="42">
        <f>+H8</f>
        <v>13228</v>
      </c>
      <c r="E14" s="43">
        <f>+D14</f>
        <v>13228</v>
      </c>
      <c r="F14" s="43">
        <f t="shared" ref="F14:J14" si="0">+E14</f>
        <v>13228</v>
      </c>
      <c r="G14" s="43">
        <f t="shared" si="0"/>
        <v>13228</v>
      </c>
      <c r="H14" s="43">
        <f t="shared" si="0"/>
        <v>13228</v>
      </c>
      <c r="I14" s="43">
        <f t="shared" si="0"/>
        <v>13228</v>
      </c>
      <c r="J14" s="43">
        <f t="shared" si="0"/>
        <v>13228</v>
      </c>
      <c r="K14" s="11"/>
      <c r="L14" s="7"/>
    </row>
    <row r="15" spans="1:25" ht="19" x14ac:dyDescent="0.55000000000000004">
      <c r="A15" s="152"/>
      <c r="B15" s="20" t="s">
        <v>35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159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53"/>
      <c r="B16" s="20" t="s">
        <v>150</v>
      </c>
      <c r="C16" s="99"/>
      <c r="D16" s="42">
        <f>H10</f>
        <v>35</v>
      </c>
      <c r="E16" s="43">
        <f t="shared" si="2"/>
        <v>35</v>
      </c>
      <c r="F16" s="43">
        <f t="shared" si="2"/>
        <v>35</v>
      </c>
      <c r="G16" s="43">
        <f t="shared" si="2"/>
        <v>35</v>
      </c>
      <c r="H16" s="43">
        <f t="shared" si="2"/>
        <v>35</v>
      </c>
      <c r="I16" s="43">
        <f t="shared" si="2"/>
        <v>35</v>
      </c>
      <c r="J16" s="43">
        <f t="shared" si="2"/>
        <v>35</v>
      </c>
      <c r="K16" s="11"/>
      <c r="L16" s="7"/>
      <c r="N16" s="69" t="s">
        <v>158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51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52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157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52"/>
      <c r="B19" s="8" t="s">
        <v>115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157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  <v>37500000</v>
      </c>
      <c r="Z19" s="35">
        <v>2.5</v>
      </c>
    </row>
    <row r="20" spans="1:26" x14ac:dyDescent="0.55000000000000004">
      <c r="A20" s="152"/>
      <c r="B20" s="8" t="s">
        <v>113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53"/>
      <c r="B21" s="8" t="s">
        <v>114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54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172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52"/>
      <c r="B23" s="6" t="s">
        <v>5</v>
      </c>
      <c r="C23" s="17"/>
      <c r="D23" s="44" t="s">
        <v>21</v>
      </c>
      <c r="E23" s="46">
        <f>IF(E18=FALSE,0,E15*$P$18*0.08*0.08+(E14-E15)*$P$19*0.12*0.12)</f>
        <v>104.76576</v>
      </c>
      <c r="F23" s="46">
        <f>IF(F18=FALSE,0,F15*$P$18*0.08*0.08+(F14-F15)*$P$19*0.12*0.12)</f>
        <v>104.76576</v>
      </c>
      <c r="G23" s="63">
        <f t="shared" ref="G23:J24" si="3">F23*1.01</f>
        <v>105.81341760000001</v>
      </c>
      <c r="H23" s="63">
        <f t="shared" si="3"/>
        <v>106.871551776</v>
      </c>
      <c r="I23" s="63">
        <f t="shared" si="3"/>
        <v>107.94026729376</v>
      </c>
      <c r="J23" s="63">
        <f t="shared" si="3"/>
        <v>109.01966996669761</v>
      </c>
      <c r="K23" s="11"/>
      <c r="L23" s="7"/>
      <c r="N23" s="69" t="s">
        <v>173</v>
      </c>
      <c r="O23" s="17" t="s">
        <v>42</v>
      </c>
      <c r="P23" s="24">
        <v>0.1</v>
      </c>
      <c r="Q23" s="5" t="s">
        <v>119</v>
      </c>
      <c r="S23" s="34"/>
      <c r="U23" s="34"/>
      <c r="W23" s="34"/>
      <c r="Y23" s="34"/>
      <c r="Z23" s="35"/>
    </row>
    <row r="24" spans="1:26" ht="19" x14ac:dyDescent="0.55000000000000004">
      <c r="A24" s="152"/>
      <c r="B24" s="6" t="s">
        <v>115</v>
      </c>
      <c r="C24" s="17"/>
      <c r="D24" s="44" t="s">
        <v>21</v>
      </c>
      <c r="E24" s="46">
        <f>+IF(E19=FALSE,0,SUM(H10:H11)*0.15)</f>
        <v>0</v>
      </c>
      <c r="F24" s="63">
        <f>E24*1.01</f>
        <v>0</v>
      </c>
      <c r="G24" s="63">
        <f t="shared" si="3"/>
        <v>0</v>
      </c>
      <c r="H24" s="63">
        <f t="shared" si="3"/>
        <v>0</v>
      </c>
      <c r="I24" s="63">
        <f t="shared" si="3"/>
        <v>0</v>
      </c>
      <c r="J24" s="63">
        <f t="shared" si="3"/>
        <v>0</v>
      </c>
      <c r="K24" s="11"/>
      <c r="L24" s="7"/>
      <c r="N24" s="69" t="s">
        <v>196</v>
      </c>
      <c r="O24" s="22" t="s">
        <v>44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53"/>
      <c r="B25" s="6" t="s">
        <v>69</v>
      </c>
      <c r="C25" s="17"/>
      <c r="D25" s="44" t="s">
        <v>21</v>
      </c>
      <c r="E25" s="46">
        <f>+IF(E20=FALSE,0,SUM($H$10:$H$11)*0.7*0.3)+IF($E$21=FALSE,0,$K$8*0.15*0.15)</f>
        <v>0</v>
      </c>
      <c r="F25" s="46">
        <f t="shared" ref="F25:J25" si="4">+IF(F20=FALSE,0,SUM($H$10:$H$11)*0.7*0.3)+IF($E$21=FALSE,0,$K$8*0.15*0.15)</f>
        <v>0</v>
      </c>
      <c r="G25" s="46">
        <f t="shared" si="4"/>
        <v>0</v>
      </c>
      <c r="H25" s="46">
        <f t="shared" si="4"/>
        <v>0</v>
      </c>
      <c r="I25" s="46">
        <f t="shared" si="4"/>
        <v>0</v>
      </c>
      <c r="J25" s="46">
        <f t="shared" si="4"/>
        <v>0</v>
      </c>
      <c r="K25" s="11"/>
      <c r="L25" s="7"/>
      <c r="N25" s="69" t="s">
        <v>121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38" t="s">
        <v>16</v>
      </c>
      <c r="B26" s="139"/>
      <c r="C26" s="23"/>
      <c r="D26" s="44" t="s">
        <v>21</v>
      </c>
      <c r="E26" s="46">
        <f>+SUM(E22:E25)+$H$9*$P$16+($H$8-$H$9)*$P$15+IF(P9=FALSE,0,$K$8*0.15*0.08)</f>
        <v>170.90575999999999</v>
      </c>
      <c r="F26" s="46">
        <f t="shared" ref="F26:J26" si="5">+SUM(F22:F25)+$H$9*$P$16+($H$8-$H$9)*$P$15</f>
        <v>170.90575999999999</v>
      </c>
      <c r="G26" s="46">
        <f>+SUM(G22:G25)+$H$9*$P$16+($H$8-$H$9)*$P$15</f>
        <v>171.95341760000002</v>
      </c>
      <c r="H26" s="46">
        <f t="shared" si="5"/>
        <v>173.011551776</v>
      </c>
      <c r="I26" s="46">
        <f t="shared" si="5"/>
        <v>174.08026729376002</v>
      </c>
      <c r="J26" s="46">
        <f t="shared" si="5"/>
        <v>175.15966996669761</v>
      </c>
      <c r="K26" s="11"/>
      <c r="L26" s="7"/>
      <c r="N26" s="72" t="s">
        <v>174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38" t="s">
        <v>15</v>
      </c>
      <c r="B27" s="139"/>
      <c r="C27" s="23"/>
      <c r="D27" s="107">
        <v>0.28000000000000003</v>
      </c>
      <c r="E27" s="47">
        <v>0.28000000000000003</v>
      </c>
      <c r="F27" s="47">
        <f>ROUND(E27*1.02,3)</f>
        <v>0.28599999999999998</v>
      </c>
      <c r="G27" s="47">
        <f>ROUND(F27*1.02,3)</f>
        <v>0.29199999999999998</v>
      </c>
      <c r="H27" s="47">
        <f>ROUND(G27*1.02,3)</f>
        <v>0.29799999999999999</v>
      </c>
      <c r="I27" s="47">
        <f>ROUND(H27*1.02,3)</f>
        <v>0.30399999999999999</v>
      </c>
      <c r="J27" s="47">
        <f>ROUND(I27*1.02,3)</f>
        <v>0.31</v>
      </c>
      <c r="K27" s="11"/>
      <c r="L27" s="7"/>
      <c r="N27" t="s">
        <v>175</v>
      </c>
      <c r="O27" s="17" t="s">
        <v>42</v>
      </c>
      <c r="P27" s="24">
        <v>0.12</v>
      </c>
      <c r="Q27" s="5" t="s">
        <v>119</v>
      </c>
      <c r="S27" s="34"/>
      <c r="U27" s="34"/>
      <c r="W27" s="34"/>
      <c r="Y27" s="34"/>
      <c r="Z27" s="35"/>
    </row>
    <row r="28" spans="1:26" ht="19" x14ac:dyDescent="0.55000000000000004">
      <c r="A28" s="155" t="s">
        <v>13</v>
      </c>
      <c r="B28" s="156"/>
      <c r="C28" s="101"/>
      <c r="D28" s="106">
        <v>417</v>
      </c>
      <c r="E28" s="49">
        <f>+D28+E26</f>
        <v>587.90575999999999</v>
      </c>
      <c r="F28" s="49">
        <f t="shared" ref="F28:J28" si="6">+E28+F26</f>
        <v>758.81151999999997</v>
      </c>
      <c r="G28" s="49">
        <f t="shared" si="6"/>
        <v>930.76493759999994</v>
      </c>
      <c r="H28" s="49">
        <f t="shared" si="6"/>
        <v>1103.776489376</v>
      </c>
      <c r="I28" s="49">
        <f t="shared" si="6"/>
        <v>1277.85675666976</v>
      </c>
      <c r="J28" s="49">
        <f t="shared" si="6"/>
        <v>1453.0164266364577</v>
      </c>
      <c r="K28" s="12"/>
      <c r="L28" s="7"/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4" t="s">
        <v>14</v>
      </c>
      <c r="B29" s="145"/>
      <c r="C29" s="102"/>
      <c r="D29" s="108">
        <f>+D28*(1-D27)</f>
        <v>300.24</v>
      </c>
      <c r="E29" s="50">
        <f>+E28*(1-E27)</f>
        <v>423.29214719999999</v>
      </c>
      <c r="F29" s="50">
        <f t="shared" ref="F29:J29" si="7">+F28*(1-F27)</f>
        <v>541.79142528</v>
      </c>
      <c r="G29" s="50">
        <f t="shared" si="7"/>
        <v>658.98157582079989</v>
      </c>
      <c r="H29" s="50">
        <f t="shared" si="7"/>
        <v>774.85109554195196</v>
      </c>
      <c r="I29" s="50">
        <f t="shared" si="7"/>
        <v>889.38830264215289</v>
      </c>
      <c r="J29" s="50">
        <f t="shared" si="7"/>
        <v>1002.5813343791557</v>
      </c>
      <c r="K29" s="12"/>
      <c r="L29" s="7"/>
      <c r="N29" s="69" t="s">
        <v>130</v>
      </c>
      <c r="S29" s="34"/>
      <c r="U29" s="34"/>
      <c r="W29" s="34"/>
      <c r="Y29" s="34"/>
      <c r="Z29" s="35"/>
    </row>
    <row r="30" spans="1:26" ht="19" x14ac:dyDescent="0.55000000000000004">
      <c r="A30" s="142" t="s">
        <v>23</v>
      </c>
      <c r="B30" s="143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176</v>
      </c>
      <c r="O30" s="17" t="s">
        <v>120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38" t="s">
        <v>24</v>
      </c>
      <c r="B31" s="139"/>
      <c r="C31" s="23"/>
      <c r="D31" s="108">
        <f>+D30*D29*0.41*0.07</f>
        <v>0</v>
      </c>
      <c r="E31" s="63">
        <f>+E29*E30*$P$24*$P$22*$P$23*$P$36</f>
        <v>133.59384617954925</v>
      </c>
      <c r="F31" s="63">
        <f>+F29*F30*$P$24*$P$22*$P$23*$P$36</f>
        <v>170.99301465674591</v>
      </c>
      <c r="G31" s="63">
        <f>+G29*G30*$P$24*$P$22*$P$23*$P$36</f>
        <v>207.97901368523404</v>
      </c>
      <c r="H31" s="63">
        <f>+H29*H30*$P$24*$P$22*$P$23*$P$36*$Q$24</f>
        <v>195.63857020192177</v>
      </c>
      <c r="I31" s="63">
        <f>+I29*I30*$P$24*$P$22*$P$23*$P$36*$Q$24</f>
        <v>224.55754000260586</v>
      </c>
      <c r="J31" s="63">
        <f>+J29*J30*$P$24*$P$22*$P$23*$P$36*$Q$24</f>
        <v>253.13712518130293</v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42" t="s">
        <v>30</v>
      </c>
      <c r="B32" s="143"/>
      <c r="C32" s="30"/>
      <c r="D32" s="48">
        <v>0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11"/>
      <c r="L32" s="7"/>
      <c r="N32" s="69" t="s">
        <v>177</v>
      </c>
      <c r="O32" s="17" t="s">
        <v>123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38" t="s">
        <v>31</v>
      </c>
      <c r="B33" s="139"/>
      <c r="C33" s="23"/>
      <c r="D33" s="44">
        <v>0</v>
      </c>
      <c r="E33" s="63">
        <f t="shared" ref="E33:J33" si="8">+E26*E32*$P$26*$P$27*$P$36</f>
        <v>94.004277880920014</v>
      </c>
      <c r="F33" s="63">
        <f t="shared" si="8"/>
        <v>94.004277880920014</v>
      </c>
      <c r="G33" s="63">
        <f t="shared" si="8"/>
        <v>94.580527014679234</v>
      </c>
      <c r="H33" s="63">
        <f t="shared" si="8"/>
        <v>95.162538639776017</v>
      </c>
      <c r="I33" s="63">
        <f t="shared" si="8"/>
        <v>95.750370381123787</v>
      </c>
      <c r="J33" s="63">
        <f t="shared" si="8"/>
        <v>96.344080439885019</v>
      </c>
      <c r="K33" s="11"/>
      <c r="L33" s="7"/>
      <c r="O33" s="17" t="s">
        <v>131</v>
      </c>
      <c r="P33" s="75" t="b">
        <v>1</v>
      </c>
      <c r="Q33" s="73">
        <f t="shared" ref="Q33:Q35" si="9">+IF(P33=TRUE,1.1,0.95)</f>
        <v>1.1000000000000001</v>
      </c>
    </row>
    <row r="34" spans="1:17" ht="19" x14ac:dyDescent="0.55000000000000004">
      <c r="A34" s="144" t="s">
        <v>26</v>
      </c>
      <c r="B34" s="145"/>
      <c r="C34" s="102"/>
      <c r="D34" s="108">
        <f>+D29*D30</f>
        <v>0</v>
      </c>
      <c r="E34" s="46">
        <f>+E29*E30*$P$24+E26*E32</f>
        <v>2209.0636710399999</v>
      </c>
      <c r="F34" s="46">
        <f>+F29*F30*$P$24+F26*F32</f>
        <v>2588.261360896</v>
      </c>
      <c r="G34" s="46">
        <f>+G29*G30*$P$24+G26*G32</f>
        <v>2968.5081306265597</v>
      </c>
      <c r="H34" s="46">
        <f>+H29*H30*$P$24*$Q$24+H26*H32</f>
        <v>2848.6765634673975</v>
      </c>
      <c r="I34" s="46">
        <f>+I29*I30*$P$24*$Q$24+I26*I32</f>
        <v>3147.2353912327117</v>
      </c>
      <c r="J34" s="46">
        <f>+J29*J30*$P$24*$Q$24+J26*J32</f>
        <v>3442.4065658441268</v>
      </c>
      <c r="K34" s="11"/>
      <c r="L34" s="7"/>
      <c r="O34" s="17" t="s">
        <v>132</v>
      </c>
      <c r="P34" s="75" t="b">
        <v>1</v>
      </c>
      <c r="Q34" s="73">
        <f t="shared" si="9"/>
        <v>1.1000000000000001</v>
      </c>
    </row>
    <row r="35" spans="1:17" ht="19" x14ac:dyDescent="0.55000000000000004">
      <c r="A35" s="144" t="s">
        <v>25</v>
      </c>
      <c r="B35" s="145"/>
      <c r="C35" s="102"/>
      <c r="D35" s="109">
        <f>+D31*1.02</f>
        <v>0</v>
      </c>
      <c r="E35" s="50">
        <f>+E31+E33+1.05*(E31+E33)</f>
        <v>466.57615432396199</v>
      </c>
      <c r="F35" s="50">
        <f t="shared" ref="F35:J35" si="10">+F31+F33+1.05*(F31+F33)</f>
        <v>543.24444970221521</v>
      </c>
      <c r="G35" s="50">
        <f t="shared" si="10"/>
        <v>620.24705843482229</v>
      </c>
      <c r="H35" s="50">
        <f t="shared" si="10"/>
        <v>596.14227312548041</v>
      </c>
      <c r="I35" s="50">
        <f t="shared" si="10"/>
        <v>656.63121628664589</v>
      </c>
      <c r="J35" s="50">
        <f t="shared" si="10"/>
        <v>716.43647152343533</v>
      </c>
      <c r="K35" s="11"/>
      <c r="L35" s="7"/>
      <c r="O35" s="17" t="s">
        <v>133</v>
      </c>
      <c r="P35" s="75" t="b">
        <v>0</v>
      </c>
      <c r="Q35" s="73">
        <f t="shared" si="9"/>
        <v>0.95</v>
      </c>
    </row>
    <row r="36" spans="1:17" ht="18" x14ac:dyDescent="0.55000000000000004">
      <c r="A36" s="146" t="s">
        <v>6</v>
      </c>
      <c r="B36" s="6" t="str">
        <f>+C8</f>
        <v>資料請求</v>
      </c>
      <c r="C36" s="6"/>
      <c r="D36" s="11">
        <v>0</v>
      </c>
      <c r="E36" s="135">
        <v>4</v>
      </c>
      <c r="F36" s="135">
        <v>6</v>
      </c>
      <c r="G36" s="135">
        <v>6</v>
      </c>
      <c r="H36" s="135">
        <v>8</v>
      </c>
      <c r="I36" s="135">
        <v>9</v>
      </c>
      <c r="J36" s="135">
        <v>11</v>
      </c>
      <c r="K36" s="115">
        <f>SUM(E36:J36)</f>
        <v>44</v>
      </c>
      <c r="L36" s="7"/>
      <c r="N36" s="69" t="s">
        <v>197</v>
      </c>
      <c r="O36" s="17" t="s">
        <v>124</v>
      </c>
      <c r="P36" s="74">
        <f>1*(Q32*Q33*Q34*Q35)</f>
        <v>1.2644500000000003</v>
      </c>
      <c r="Q36" s="73"/>
    </row>
    <row r="37" spans="1:17" ht="18" x14ac:dyDescent="0.55000000000000004">
      <c r="A37" s="147"/>
      <c r="B37" s="6" t="str">
        <f>+C9</f>
        <v>来場予約</v>
      </c>
      <c r="C37" s="6"/>
      <c r="D37" s="11">
        <v>0</v>
      </c>
      <c r="E37" s="135">
        <v>2</v>
      </c>
      <c r="F37" s="135">
        <v>3</v>
      </c>
      <c r="G37" s="135">
        <v>4</v>
      </c>
      <c r="H37" s="135">
        <v>6</v>
      </c>
      <c r="I37" s="135">
        <v>7</v>
      </c>
      <c r="J37" s="135">
        <v>8</v>
      </c>
      <c r="K37" s="115">
        <f>SUM(E37:J37)</f>
        <v>30</v>
      </c>
      <c r="L37" s="7"/>
      <c r="N37" s="69" t="s">
        <v>179</v>
      </c>
    </row>
    <row r="38" spans="1:17" x14ac:dyDescent="0.55000000000000004">
      <c r="A38" s="146" t="s">
        <v>9</v>
      </c>
      <c r="B38" s="6" t="str">
        <f>+C10</f>
        <v>-</v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  <v>0</v>
      </c>
      <c r="L38" s="7"/>
      <c r="N38" s="69" t="s">
        <v>118</v>
      </c>
      <c r="O38" s="21" t="s">
        <v>37</v>
      </c>
    </row>
    <row r="39" spans="1:17" x14ac:dyDescent="0.55000000000000004">
      <c r="A39" s="147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118</v>
      </c>
      <c r="O39" s="21" t="s">
        <v>38</v>
      </c>
    </row>
    <row r="40" spans="1:17" x14ac:dyDescent="0.55000000000000004">
      <c r="A40" s="140" t="s">
        <v>53</v>
      </c>
      <c r="B40" s="141"/>
      <c r="C40" s="97"/>
      <c r="D40" s="11">
        <f>SUM(D36:D39)</f>
        <v>0</v>
      </c>
      <c r="E40" s="10">
        <f>SUM(E36:E39)</f>
        <v>6</v>
      </c>
      <c r="F40" s="10">
        <f t="shared" ref="F40:J40" si="11">SUM(F36:F39)</f>
        <v>9</v>
      </c>
      <c r="G40" s="10">
        <f t="shared" si="11"/>
        <v>10</v>
      </c>
      <c r="H40" s="10">
        <f t="shared" si="11"/>
        <v>14</v>
      </c>
      <c r="I40" s="10">
        <f t="shared" si="11"/>
        <v>16</v>
      </c>
      <c r="J40" s="10">
        <f t="shared" si="11"/>
        <v>19</v>
      </c>
      <c r="K40" s="115">
        <f>SUM(E40:J40)</f>
        <v>74</v>
      </c>
      <c r="L40" s="7"/>
      <c r="O40" s="17"/>
    </row>
    <row r="41" spans="1:17" x14ac:dyDescent="0.55000000000000004">
      <c r="B41" s="5" t="s">
        <v>67</v>
      </c>
      <c r="D41" s="18">
        <f t="shared" ref="D41" si="12">+IFERROR(D40/D35,0)</f>
        <v>0</v>
      </c>
      <c r="E41" s="18">
        <f>IFERROR(E40/E35,0)</f>
        <v>1.2859637048304801E-2</v>
      </c>
      <c r="F41" s="18">
        <f t="shared" ref="F41:J41" si="13">IFERROR(F40/F35,0)</f>
        <v>1.6567127386084551E-2</v>
      </c>
      <c r="G41" s="18">
        <f t="shared" si="13"/>
        <v>1.6122607699639472E-2</v>
      </c>
      <c r="H41" s="18">
        <f t="shared" si="13"/>
        <v>2.3484326864793861E-2</v>
      </c>
      <c r="I41" s="18">
        <f t="shared" si="13"/>
        <v>2.4366797683610823E-2</v>
      </c>
      <c r="J41" s="18">
        <f t="shared" si="13"/>
        <v>2.6520146244925626E-2</v>
      </c>
      <c r="N41" s="69" t="s">
        <v>117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148</v>
      </c>
      <c r="D43" s="5" t="s">
        <v>149</v>
      </c>
    </row>
    <row r="44" spans="1:17" x14ac:dyDescent="0.55000000000000004">
      <c r="A44" s="138" t="s">
        <v>27</v>
      </c>
      <c r="B44" s="139"/>
      <c r="C44" s="103"/>
      <c r="D44" s="16" t="s">
        <v>22</v>
      </c>
      <c r="E44" s="31">
        <f>+E75*E76</f>
        <v>0</v>
      </c>
      <c r="F44" s="31">
        <f t="shared" ref="F44:J44" si="14">+F75*F76</f>
        <v>0</v>
      </c>
      <c r="G44" s="31">
        <f t="shared" si="14"/>
        <v>0</v>
      </c>
      <c r="H44" s="31">
        <f t="shared" si="14"/>
        <v>0</v>
      </c>
      <c r="I44" s="31">
        <f t="shared" si="14"/>
        <v>0</v>
      </c>
      <c r="J44" s="31">
        <f t="shared" si="14"/>
        <v>0</v>
      </c>
      <c r="K44" s="11"/>
      <c r="L44" s="7"/>
    </row>
    <row r="45" spans="1:17" x14ac:dyDescent="0.55000000000000004">
      <c r="A45" s="138" t="s">
        <v>129</v>
      </c>
      <c r="B45" s="139"/>
      <c r="C45" s="104">
        <f>+SUM(C65:C72)</f>
        <v>0</v>
      </c>
      <c r="D45" s="80">
        <f>+SUM(D65:D72)</f>
        <v>165000</v>
      </c>
      <c r="E45" s="27">
        <f>SUM(E65:E69)+SUM(E71:E72)</f>
        <v>235000</v>
      </c>
      <c r="F45" s="27">
        <f t="shared" ref="F45:J45" si="15">SUM(F65:F69)+SUM(F71:F72)</f>
        <v>235000</v>
      </c>
      <c r="G45" s="27">
        <f t="shared" si="15"/>
        <v>235000</v>
      </c>
      <c r="H45" s="27">
        <f t="shared" si="15"/>
        <v>235000</v>
      </c>
      <c r="I45" s="27">
        <f t="shared" si="15"/>
        <v>235000</v>
      </c>
      <c r="J45" s="27">
        <f t="shared" si="15"/>
        <v>235000</v>
      </c>
      <c r="K45" s="11"/>
      <c r="L45" s="7"/>
    </row>
    <row r="46" spans="1:17" x14ac:dyDescent="0.55000000000000004">
      <c r="A46" s="138" t="s">
        <v>17</v>
      </c>
      <c r="B46" s="139"/>
      <c r="C46" s="103"/>
      <c r="D46" s="16" t="s">
        <v>22</v>
      </c>
      <c r="E46" s="28">
        <f t="shared" ref="E46:J46" si="16">SUM(E65:E67)/(E28-D28)</f>
        <v>175.53533596527117</v>
      </c>
      <c r="F46" s="28">
        <f t="shared" si="16"/>
        <v>175.53533596527117</v>
      </c>
      <c r="G46" s="28">
        <f t="shared" si="16"/>
        <v>174.46585487347713</v>
      </c>
      <c r="H46" s="28">
        <f t="shared" si="16"/>
        <v>173.39882621734606</v>
      </c>
      <c r="I46" s="28">
        <f t="shared" si="16"/>
        <v>172.33429421023968</v>
      </c>
      <c r="J46" s="28">
        <f t="shared" si="16"/>
        <v>171.27230261226092</v>
      </c>
      <c r="K46" s="11"/>
      <c r="L46" s="7"/>
    </row>
    <row r="47" spans="1:17" x14ac:dyDescent="0.55000000000000004">
      <c r="A47" s="138" t="s">
        <v>18</v>
      </c>
      <c r="B47" s="139"/>
      <c r="C47" s="103"/>
      <c r="D47" s="16" t="s">
        <v>22</v>
      </c>
      <c r="E47" s="28">
        <f t="shared" ref="E47:I47" si="17">+E51/E35</f>
        <v>503.66911772527141</v>
      </c>
      <c r="F47" s="28">
        <f t="shared" si="17"/>
        <v>432.58610396998546</v>
      </c>
      <c r="G47" s="28">
        <f t="shared" si="17"/>
        <v>378.88128094152762</v>
      </c>
      <c r="H47" s="28">
        <f t="shared" si="17"/>
        <v>394.20120094475413</v>
      </c>
      <c r="I47" s="28">
        <f t="shared" si="17"/>
        <v>357.88734097803393</v>
      </c>
      <c r="J47" s="28">
        <f>+J51/J35</f>
        <v>328.01233513460647</v>
      </c>
      <c r="K47" s="11"/>
      <c r="L47" s="7"/>
    </row>
    <row r="48" spans="1:17" x14ac:dyDescent="0.55000000000000004">
      <c r="A48" s="138" t="s">
        <v>20</v>
      </c>
      <c r="B48" s="139"/>
      <c r="C48" s="103"/>
      <c r="D48" s="16" t="s">
        <v>22</v>
      </c>
      <c r="E48" s="32">
        <f>IFERROR(E40/E35,0)</f>
        <v>1.2859637048304801E-2</v>
      </c>
      <c r="F48" s="32">
        <f t="shared" ref="F48:J48" si="18">IFERROR(F40/F35,0)</f>
        <v>1.6567127386084551E-2</v>
      </c>
      <c r="G48" s="32">
        <f t="shared" si="18"/>
        <v>1.6122607699639472E-2</v>
      </c>
      <c r="H48" s="32">
        <f t="shared" si="18"/>
        <v>2.3484326864793861E-2</v>
      </c>
      <c r="I48" s="32">
        <f t="shared" si="18"/>
        <v>2.4366797683610823E-2</v>
      </c>
      <c r="J48" s="32">
        <f t="shared" si="18"/>
        <v>2.6520146244925626E-2</v>
      </c>
      <c r="K48" s="11"/>
      <c r="L48" s="7"/>
    </row>
    <row r="49" spans="1:12" x14ac:dyDescent="0.55000000000000004">
      <c r="A49" s="140" t="s">
        <v>19</v>
      </c>
      <c r="B49" s="141"/>
      <c r="C49" s="105"/>
      <c r="D49" s="16" t="s">
        <v>22</v>
      </c>
      <c r="E49" s="28">
        <f>IFERROR(E51/E40,0)</f>
        <v>39166.666666666664</v>
      </c>
      <c r="F49" s="28">
        <f t="shared" ref="F49:J49" si="19">IFERROR(F51/F40,0)</f>
        <v>26111.111111111109</v>
      </c>
      <c r="G49" s="28">
        <f t="shared" si="19"/>
        <v>23500</v>
      </c>
      <c r="H49" s="28">
        <f t="shared" si="19"/>
        <v>16785.714285714286</v>
      </c>
      <c r="I49" s="28">
        <f t="shared" si="19"/>
        <v>14687.5</v>
      </c>
      <c r="J49" s="28">
        <f t="shared" si="19"/>
        <v>12368.421052631578</v>
      </c>
      <c r="K49" s="11"/>
      <c r="L49" s="7"/>
    </row>
    <row r="50" spans="1:12" x14ac:dyDescent="0.55000000000000004">
      <c r="A50" s="140" t="s">
        <v>116</v>
      </c>
      <c r="B50" s="141"/>
      <c r="C50" s="105"/>
      <c r="D50" s="64" t="s">
        <v>22</v>
      </c>
      <c r="E50" s="65">
        <f>+E36*$D$8+E38*$D$10</f>
        <v>0</v>
      </c>
      <c r="F50" s="65">
        <f t="shared" ref="F50:J50" si="20">+F36*$D$8+F38*$D$10</f>
        <v>0</v>
      </c>
      <c r="G50" s="65">
        <f t="shared" si="20"/>
        <v>0</v>
      </c>
      <c r="H50" s="65">
        <f t="shared" si="20"/>
        <v>0</v>
      </c>
      <c r="I50" s="65">
        <f t="shared" si="20"/>
        <v>0</v>
      </c>
      <c r="J50" s="65">
        <f t="shared" si="20"/>
        <v>0</v>
      </c>
      <c r="K50" s="11"/>
      <c r="L50" s="7"/>
    </row>
    <row r="51" spans="1:12" x14ac:dyDescent="0.55000000000000004">
      <c r="A51" s="136" t="s">
        <v>70</v>
      </c>
      <c r="B51" s="137"/>
      <c r="C51" s="110">
        <f>+C45</f>
        <v>0</v>
      </c>
      <c r="D51" s="40">
        <f>+D45</f>
        <v>165000</v>
      </c>
      <c r="E51" s="40">
        <f>SUM(E45,E50)+E44</f>
        <v>235000</v>
      </c>
      <c r="F51" s="40">
        <f t="shared" ref="F51:I51" si="21">SUM(F45,F50)+F44</f>
        <v>235000</v>
      </c>
      <c r="G51" s="40">
        <f t="shared" si="21"/>
        <v>235000</v>
      </c>
      <c r="H51" s="40">
        <f t="shared" si="21"/>
        <v>235000</v>
      </c>
      <c r="I51" s="40">
        <f t="shared" si="21"/>
        <v>235000</v>
      </c>
      <c r="J51" s="40">
        <f>SUM(J45,J50)+J44</f>
        <v>235000</v>
      </c>
      <c r="K51" s="11"/>
      <c r="L51" s="7"/>
    </row>
    <row r="52" spans="1:12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68</v>
      </c>
    </row>
    <row r="54" spans="1:12" hidden="1" x14ac:dyDescent="0.55000000000000004">
      <c r="A54" s="138" t="s">
        <v>27</v>
      </c>
      <c r="B54" s="139"/>
      <c r="C54" s="96"/>
      <c r="D54" s="28">
        <f>+D75*D76</f>
        <v>0</v>
      </c>
      <c r="E54" s="28">
        <f t="shared" ref="E54:J54" si="22">+E75*E76</f>
        <v>0</v>
      </c>
      <c r="F54" s="28">
        <f t="shared" si="22"/>
        <v>0</v>
      </c>
      <c r="G54" s="28">
        <f t="shared" si="22"/>
        <v>0</v>
      </c>
      <c r="H54" s="28">
        <f t="shared" si="22"/>
        <v>0</v>
      </c>
      <c r="I54" s="28">
        <f t="shared" si="22"/>
        <v>0</v>
      </c>
      <c r="J54" s="28">
        <f t="shared" si="22"/>
        <v>0</v>
      </c>
      <c r="K54" s="11"/>
      <c r="L54" s="7"/>
    </row>
    <row r="55" spans="1:12" hidden="1" x14ac:dyDescent="0.55000000000000004">
      <c r="A55" s="138" t="s">
        <v>129</v>
      </c>
      <c r="B55" s="139"/>
      <c r="C55" s="96"/>
      <c r="D55" s="27">
        <f>+SUM(D65:D72)</f>
        <v>165000</v>
      </c>
      <c r="E55" s="27">
        <f>SUM(E65:E72)+E54</f>
        <v>235000</v>
      </c>
      <c r="F55" s="27">
        <f t="shared" ref="F55:J55" si="23">SUM(F65:F72)+F54</f>
        <v>235000</v>
      </c>
      <c r="G55" s="27">
        <f t="shared" si="23"/>
        <v>235000</v>
      </c>
      <c r="H55" s="27">
        <f t="shared" si="23"/>
        <v>235000</v>
      </c>
      <c r="I55" s="27">
        <f t="shared" si="23"/>
        <v>235000</v>
      </c>
      <c r="J55" s="27">
        <f t="shared" si="23"/>
        <v>235000</v>
      </c>
      <c r="K55" s="11"/>
      <c r="L55" s="7"/>
    </row>
    <row r="56" spans="1:12" hidden="1" x14ac:dyDescent="0.55000000000000004">
      <c r="A56" s="138" t="s">
        <v>17</v>
      </c>
      <c r="B56" s="139"/>
      <c r="C56" s="96"/>
      <c r="D56" s="39" t="s">
        <v>22</v>
      </c>
      <c r="E56" s="28">
        <f t="shared" ref="E56:J56" si="24">SUM(E65:E67)/(E28-D28)</f>
        <v>175.53533596527117</v>
      </c>
      <c r="F56" s="28">
        <f t="shared" si="24"/>
        <v>175.53533596527117</v>
      </c>
      <c r="G56" s="28">
        <f t="shared" si="24"/>
        <v>174.46585487347713</v>
      </c>
      <c r="H56" s="28">
        <f t="shared" si="24"/>
        <v>173.39882621734606</v>
      </c>
      <c r="I56" s="28">
        <f t="shared" si="24"/>
        <v>172.33429421023968</v>
      </c>
      <c r="J56" s="28">
        <f t="shared" si="24"/>
        <v>171.27230261226092</v>
      </c>
      <c r="K56" s="11"/>
      <c r="L56" s="7"/>
    </row>
    <row r="57" spans="1:12" hidden="1" x14ac:dyDescent="0.55000000000000004">
      <c r="A57" s="138" t="s">
        <v>18</v>
      </c>
      <c r="B57" s="139"/>
      <c r="C57" s="96"/>
      <c r="D57" s="39" t="s">
        <v>22</v>
      </c>
      <c r="E57" s="28">
        <f>+E61/E35</f>
        <v>503.66911772527141</v>
      </c>
      <c r="F57" s="28">
        <f t="shared" ref="F57:J57" si="25">+F61/F35</f>
        <v>432.58610396998546</v>
      </c>
      <c r="G57" s="28">
        <f t="shared" si="25"/>
        <v>378.88128094152762</v>
      </c>
      <c r="H57" s="28">
        <f t="shared" si="25"/>
        <v>394.20120094475413</v>
      </c>
      <c r="I57" s="28">
        <f t="shared" si="25"/>
        <v>357.88734097803393</v>
      </c>
      <c r="J57" s="28">
        <f t="shared" si="25"/>
        <v>328.01233513460647</v>
      </c>
      <c r="K57" s="11"/>
      <c r="L57" s="7"/>
    </row>
    <row r="58" spans="1:12" hidden="1" x14ac:dyDescent="0.55000000000000004">
      <c r="A58" s="138" t="s">
        <v>20</v>
      </c>
      <c r="B58" s="139"/>
      <c r="C58" s="96"/>
      <c r="D58" s="39" t="s">
        <v>22</v>
      </c>
      <c r="E58" s="32">
        <f t="shared" ref="E58:J58" si="26">+IFERROR(E36/E35,0)</f>
        <v>8.5730913655365348E-3</v>
      </c>
      <c r="F58" s="32">
        <f t="shared" si="26"/>
        <v>1.1044751590723033E-2</v>
      </c>
      <c r="G58" s="32">
        <f t="shared" si="26"/>
        <v>9.6735646197836835E-3</v>
      </c>
      <c r="H58" s="32">
        <f t="shared" si="26"/>
        <v>1.3419615351310778E-2</v>
      </c>
      <c r="I58" s="32">
        <f t="shared" si="26"/>
        <v>1.3706323697031087E-2</v>
      </c>
      <c r="J58" s="32">
        <f t="shared" si="26"/>
        <v>1.5353768878641153E-2</v>
      </c>
      <c r="K58" s="11"/>
      <c r="L58" s="7"/>
    </row>
    <row r="59" spans="1:12" hidden="1" x14ac:dyDescent="0.55000000000000004">
      <c r="A59" s="140" t="s">
        <v>19</v>
      </c>
      <c r="B59" s="141"/>
      <c r="C59" s="97"/>
      <c r="D59" s="28"/>
      <c r="E59" s="28">
        <f t="shared" ref="E59:J59" si="27">+IFERROR(E55/E36,0)</f>
        <v>58750</v>
      </c>
      <c r="F59" s="28">
        <f t="shared" si="27"/>
        <v>39166.666666666664</v>
      </c>
      <c r="G59" s="28">
        <f t="shared" si="27"/>
        <v>39166.666666666664</v>
      </c>
      <c r="H59" s="28">
        <f t="shared" si="27"/>
        <v>29375</v>
      </c>
      <c r="I59" s="28">
        <f t="shared" si="27"/>
        <v>26111.111111111109</v>
      </c>
      <c r="J59" s="28">
        <f t="shared" si="27"/>
        <v>21363.636363636364</v>
      </c>
      <c r="K59" s="11"/>
      <c r="L59" s="7"/>
    </row>
    <row r="60" spans="1:12" hidden="1" x14ac:dyDescent="0.55000000000000004">
      <c r="A60" s="140" t="s">
        <v>116</v>
      </c>
      <c r="B60" s="141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55000000000000004">
      <c r="A61" s="136" t="s">
        <v>70</v>
      </c>
      <c r="B61" s="137"/>
      <c r="C61" s="98"/>
      <c r="D61" s="40">
        <f>+D55</f>
        <v>165000</v>
      </c>
      <c r="E61" s="40">
        <f>+SUM(E65:E72)+E54</f>
        <v>235000</v>
      </c>
      <c r="F61" s="40">
        <f t="shared" ref="F61:J61" si="28">+SUM(F65:F72)+F54</f>
        <v>235000</v>
      </c>
      <c r="G61" s="40">
        <f t="shared" si="28"/>
        <v>235000</v>
      </c>
      <c r="H61" s="40">
        <f t="shared" si="28"/>
        <v>235000</v>
      </c>
      <c r="I61" s="40">
        <f t="shared" si="28"/>
        <v>235000</v>
      </c>
      <c r="J61" s="40">
        <f t="shared" si="28"/>
        <v>235000</v>
      </c>
      <c r="K61" s="11"/>
      <c r="L61" s="7"/>
    </row>
    <row r="62" spans="1:12" hidden="1" x14ac:dyDescent="0.55000000000000004"/>
    <row r="64" spans="1:12" x14ac:dyDescent="0.55000000000000004">
      <c r="C64" s="5" t="s">
        <v>148</v>
      </c>
      <c r="D64" s="5" t="s">
        <v>149</v>
      </c>
    </row>
    <row r="65" spans="1:16" ht="18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N65" t="s">
        <v>180</v>
      </c>
    </row>
    <row r="66" spans="1:16" x14ac:dyDescent="0.55000000000000004">
      <c r="A66" s="53" t="s">
        <v>50</v>
      </c>
      <c r="B66" s="6" t="s">
        <v>5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181</v>
      </c>
    </row>
    <row r="67" spans="1:16" x14ac:dyDescent="0.55000000000000004">
      <c r="B67" s="6" t="s">
        <v>182</v>
      </c>
      <c r="C67" s="90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9" t="s">
        <v>198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29">IF(E34&lt;5000,5000,15000)</f>
        <v>5000</v>
      </c>
      <c r="F68" s="28">
        <f t="shared" si="29"/>
        <v>5000</v>
      </c>
      <c r="G68" s="28">
        <f t="shared" si="29"/>
        <v>5000</v>
      </c>
      <c r="H68" s="28">
        <f t="shared" si="29"/>
        <v>5000</v>
      </c>
      <c r="I68" s="28">
        <f t="shared" si="29"/>
        <v>5000</v>
      </c>
      <c r="J68" s="28">
        <f t="shared" si="29"/>
        <v>5000</v>
      </c>
      <c r="N68" s="69" t="s">
        <v>184</v>
      </c>
      <c r="O68" s="17" t="s">
        <v>128</v>
      </c>
      <c r="P68" s="75">
        <v>5000</v>
      </c>
    </row>
    <row r="69" spans="1:16" x14ac:dyDescent="0.55000000000000004">
      <c r="A69" s="15"/>
      <c r="B69" s="6" t="s">
        <v>185</v>
      </c>
      <c r="C69" s="90">
        <v>0</v>
      </c>
      <c r="D69" s="51">
        <v>150000</v>
      </c>
      <c r="E69" s="28">
        <v>200000</v>
      </c>
      <c r="F69" s="28">
        <v>200000</v>
      </c>
      <c r="G69" s="28">
        <v>200000</v>
      </c>
      <c r="H69" s="28">
        <v>200000</v>
      </c>
      <c r="I69" s="28">
        <v>200000</v>
      </c>
      <c r="J69" s="28">
        <v>200000</v>
      </c>
      <c r="N69" s="69" t="s">
        <v>186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127</v>
      </c>
    </row>
    <row r="71" spans="1:16" x14ac:dyDescent="0.55000000000000004">
      <c r="A71" s="15"/>
      <c r="B71" s="6" t="s">
        <v>125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126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151</v>
      </c>
      <c r="C73" s="113">
        <v>0</v>
      </c>
      <c r="D73" s="114">
        <f>SUM(D65:D72)</f>
        <v>165000</v>
      </c>
      <c r="E73" s="114">
        <f t="shared" ref="E73:J73" si="30">SUM(E65:E72)+E54</f>
        <v>235000</v>
      </c>
      <c r="F73" s="114">
        <f t="shared" si="30"/>
        <v>235000</v>
      </c>
      <c r="G73" s="114">
        <f t="shared" si="30"/>
        <v>235000</v>
      </c>
      <c r="H73" s="114">
        <f t="shared" si="30"/>
        <v>235000</v>
      </c>
      <c r="I73" s="114">
        <f t="shared" si="30"/>
        <v>235000</v>
      </c>
      <c r="J73" s="114">
        <f t="shared" si="30"/>
        <v>235000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1">+IF(D34&lt;30001,0,D34-30000)</f>
        <v>0</v>
      </c>
      <c r="E75" s="41">
        <f t="shared" si="31"/>
        <v>0</v>
      </c>
      <c r="F75" s="41">
        <f t="shared" si="31"/>
        <v>0</v>
      </c>
      <c r="G75" s="41">
        <f t="shared" si="31"/>
        <v>0</v>
      </c>
      <c r="H75" s="41">
        <f t="shared" si="31"/>
        <v>0</v>
      </c>
      <c r="I75" s="41">
        <f t="shared" si="31"/>
        <v>0</v>
      </c>
      <c r="J75" s="41">
        <f t="shared" si="31"/>
        <v>0</v>
      </c>
    </row>
    <row r="76" spans="1:16" x14ac:dyDescent="0.55000000000000004">
      <c r="B76" s="5" t="s">
        <v>65</v>
      </c>
      <c r="D76" s="5">
        <f t="shared" ref="D76:J76" si="32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2"/>
        <v>3</v>
      </c>
      <c r="F76" s="5">
        <f t="shared" si="32"/>
        <v>3</v>
      </c>
      <c r="G76" s="5">
        <f t="shared" si="32"/>
        <v>3</v>
      </c>
      <c r="H76" s="5">
        <f t="shared" si="32"/>
        <v>3</v>
      </c>
      <c r="I76" s="5">
        <f t="shared" si="32"/>
        <v>3</v>
      </c>
      <c r="J76" s="5">
        <f t="shared" si="32"/>
        <v>3</v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322F6-2076-57E9-875D-3D967EDA726D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142</v>
      </c>
      <c r="F1" s="81">
        <v>0.6</v>
      </c>
    </row>
    <row r="3" spans="1:25" x14ac:dyDescent="0.55000000000000004">
      <c r="A3" s="82" t="s">
        <v>79</v>
      </c>
      <c r="B3" s="82"/>
      <c r="C3" s="83" t="s">
        <v>73</v>
      </c>
      <c r="D3" s="84" t="s">
        <v>74</v>
      </c>
      <c r="E3" s="84" t="s">
        <v>75</v>
      </c>
      <c r="F3" s="84"/>
    </row>
    <row r="4" spans="1:25" x14ac:dyDescent="0.55000000000000004">
      <c r="A4" s="85" t="s">
        <v>137</v>
      </c>
      <c r="B4" s="7"/>
      <c r="C4" s="86" t="str">
        <f>+B_サンクス無!D24</f>
        <v>--</v>
      </c>
      <c r="D4" s="28">
        <f>+B_サンクス無!G51</f>
        <v>235000</v>
      </c>
      <c r="E4" s="28">
        <f>+B_サンクス無!J51</f>
        <v>235000</v>
      </c>
      <c r="F4" s="28"/>
    </row>
    <row r="5" spans="1:25" x14ac:dyDescent="0.55000000000000004">
      <c r="A5" s="85" t="s">
        <v>138</v>
      </c>
      <c r="B5" s="7"/>
      <c r="C5" s="86" t="str">
        <f>+B_サンクス無!D25</f>
        <v>--</v>
      </c>
      <c r="D5" s="28">
        <f>+B_サンクス無!G61</f>
        <v>235000</v>
      </c>
      <c r="E5" s="28">
        <f>+B_サンクス無!J61</f>
        <v>235000</v>
      </c>
      <c r="F5" s="27"/>
    </row>
    <row r="6" spans="1:25" x14ac:dyDescent="0.55000000000000004">
      <c r="A6" s="85" t="s">
        <v>76</v>
      </c>
      <c r="B6" s="7"/>
      <c r="C6" s="117">
        <f>+B_サンクス無!D28</f>
        <v>417</v>
      </c>
      <c r="D6" s="87">
        <f>+B_サンクス無!G28</f>
        <v>930.76493759999994</v>
      </c>
      <c r="E6" s="87">
        <f>+B_サンクス無!J28</f>
        <v>1453.0164266364577</v>
      </c>
      <c r="F6" s="10"/>
    </row>
    <row r="7" spans="1:25" x14ac:dyDescent="0.55000000000000004">
      <c r="A7" s="85" t="s">
        <v>77</v>
      </c>
      <c r="B7" s="7"/>
      <c r="C7" s="88">
        <f>+B_サンクス無!D27</f>
        <v>0.28000000000000003</v>
      </c>
      <c r="D7" s="89">
        <f>+B_サンクス無!G27</f>
        <v>0.29199999999999998</v>
      </c>
      <c r="E7" s="89">
        <f>+B_サンクス無!J27</f>
        <v>0.31</v>
      </c>
      <c r="F7" s="89"/>
    </row>
    <row r="8" spans="1:25" x14ac:dyDescent="0.55000000000000004">
      <c r="A8" s="85" t="s">
        <v>78</v>
      </c>
      <c r="B8" s="7"/>
      <c r="C8" s="117">
        <f>+B_サンクス無!D29</f>
        <v>300.24</v>
      </c>
      <c r="D8" s="10">
        <f>+B_サンクス無!G29</f>
        <v>658.98157582079989</v>
      </c>
      <c r="E8" s="10">
        <f>+B_サンクス無!J29</f>
        <v>1002.5813343791557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80</v>
      </c>
      <c r="B10" s="7"/>
      <c r="C10" s="117">
        <f>+B_サンクス無!D34</f>
        <v>0</v>
      </c>
      <c r="D10" s="10">
        <f>+B_サンクス無!G34</f>
        <v>2968.5081306265597</v>
      </c>
      <c r="E10" s="10">
        <f>+B_サンクス無!J34</f>
        <v>3442.4065658441268</v>
      </c>
      <c r="F10" s="10"/>
    </row>
    <row r="11" spans="1:25" x14ac:dyDescent="0.55000000000000004">
      <c r="A11" s="85" t="s">
        <v>81</v>
      </c>
      <c r="B11" s="7"/>
      <c r="C11" s="117">
        <f>+B_サンクス無!D35</f>
        <v>0</v>
      </c>
      <c r="D11" s="10">
        <f>+B_サンクス無!G35</f>
        <v>620.24705843482229</v>
      </c>
      <c r="E11" s="10">
        <f>+B_サンクス無!J35</f>
        <v>716.43647152343533</v>
      </c>
      <c r="F11" s="10"/>
    </row>
    <row r="12" spans="1:25" x14ac:dyDescent="0.55000000000000004">
      <c r="A12" s="85" t="s">
        <v>144</v>
      </c>
      <c r="B12" s="7"/>
      <c r="C12" s="28">
        <f>+IFERROR(C5/C11,0)</f>
        <v>0</v>
      </c>
      <c r="D12" s="28">
        <f>+D4/D11</f>
        <v>378.88128094152762</v>
      </c>
      <c r="E12" s="28">
        <f t="shared" ref="E12" si="0">+E4/E11</f>
        <v>328.01233513460647</v>
      </c>
      <c r="F12" s="28"/>
    </row>
    <row r="13" spans="1:25" x14ac:dyDescent="0.55000000000000004">
      <c r="A13" s="85" t="s">
        <v>145</v>
      </c>
      <c r="B13" s="7"/>
      <c r="C13" s="28">
        <f>+IFERROR(C6/C12,0)</f>
        <v>0</v>
      </c>
      <c r="D13" s="28">
        <f>+D5/D11</f>
        <v>378.88128094152762</v>
      </c>
      <c r="E13" s="28">
        <f t="shared" ref="E13" si="1">+E5/E11</f>
        <v>328.01233513460647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47</v>
      </c>
    </row>
    <row r="15" spans="1:25" x14ac:dyDescent="0.55000000000000004">
      <c r="A15" s="85" t="s">
        <v>187</v>
      </c>
      <c r="B15" s="7"/>
      <c r="C15" s="87">
        <f>+B_サンクス無!D16</f>
        <v>35</v>
      </c>
      <c r="D15" s="87">
        <f>+B_サンクス無!G16</f>
        <v>35</v>
      </c>
      <c r="E15" s="87">
        <f>+B_サンクス無!J16</f>
        <v>35</v>
      </c>
      <c r="F15" s="87"/>
      <c r="R15" s="5" t="s">
        <v>58</v>
      </c>
    </row>
    <row r="16" spans="1:25" x14ac:dyDescent="0.55000000000000004">
      <c r="A16" s="85" t="s">
        <v>188</v>
      </c>
      <c r="B16" s="7"/>
      <c r="C16" s="87">
        <f>+C17</f>
        <v>0</v>
      </c>
      <c r="D16" s="87">
        <f>+D17</f>
        <v>6</v>
      </c>
      <c r="E16" s="87">
        <f>+E17</f>
        <v>11</v>
      </c>
      <c r="F16" s="87"/>
      <c r="R16" s="5" t="s">
        <v>59</v>
      </c>
      <c r="V16" s="5" t="s">
        <v>60</v>
      </c>
      <c r="Y16" s="35" t="s">
        <v>61</v>
      </c>
    </row>
    <row r="17" spans="1:25" x14ac:dyDescent="0.55000000000000004">
      <c r="A17" s="85" t="s">
        <v>189</v>
      </c>
      <c r="B17" s="7"/>
      <c r="C17" s="87">
        <f>+B_サンクス無!D36</f>
        <v>0</v>
      </c>
      <c r="D17" s="87">
        <f>+B_サンクス無!G36</f>
        <v>6</v>
      </c>
      <c r="E17" s="87">
        <f>+B_サンクス無!J36</f>
        <v>11</v>
      </c>
      <c r="F17" s="10"/>
      <c r="R17" s="5">
        <v>0</v>
      </c>
      <c r="S17" s="5" t="s">
        <v>62</v>
      </c>
      <c r="T17" s="34">
        <v>200000</v>
      </c>
      <c r="V17" s="5">
        <v>0</v>
      </c>
      <c r="W17" s="5" t="s">
        <v>62</v>
      </c>
      <c r="X17" s="34">
        <v>600000</v>
      </c>
      <c r="Y17" s="35">
        <v>3</v>
      </c>
    </row>
    <row r="18" spans="1:25" x14ac:dyDescent="0.55000000000000004">
      <c r="A18" s="85" t="s">
        <v>190</v>
      </c>
      <c r="B18" s="7"/>
      <c r="C18" s="87">
        <f>+B_サンクス無!D37</f>
        <v>0</v>
      </c>
      <c r="D18" s="87">
        <f>+B_サンクス無!G37</f>
        <v>4</v>
      </c>
      <c r="E18" s="87">
        <f>+B_サンクス無!J37</f>
        <v>8</v>
      </c>
      <c r="F18" s="10"/>
      <c r="R18" s="34">
        <v>200000</v>
      </c>
      <c r="S18" s="5" t="s">
        <v>62</v>
      </c>
      <c r="T18" s="34">
        <v>15000000</v>
      </c>
      <c r="V18" s="34">
        <v>600000</v>
      </c>
      <c r="W18" s="5" t="s">
        <v>62</v>
      </c>
      <c r="X18" s="34">
        <f>+T18*2.5</f>
        <v>37500000</v>
      </c>
      <c r="Y18" s="35">
        <v>2.5</v>
      </c>
    </row>
    <row r="19" spans="1:25" x14ac:dyDescent="0.55000000000000004">
      <c r="A19" s="85" t="s">
        <v>62</v>
      </c>
      <c r="B19" s="7"/>
      <c r="C19" s="87">
        <f>+B_サンクス無!D38</f>
        <v>0</v>
      </c>
      <c r="D19" s="87">
        <f>+B_サンクス無!G38</f>
        <v>0</v>
      </c>
      <c r="E19" s="87">
        <f>+B_サンクス無!J38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62</v>
      </c>
      <c r="B20" s="7"/>
      <c r="C20" s="87">
        <f>+B_サンクス無!D39</f>
        <v>0</v>
      </c>
      <c r="D20" s="87">
        <f>+B_サンクス無!G39</f>
        <v>0</v>
      </c>
      <c r="E20" s="87">
        <f>+B_サンクス無!J39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139</v>
      </c>
      <c r="B22" s="7"/>
      <c r="C22" s="90" t="str">
        <f>+IFERROR(C4/C16,"--")</f>
        <v>--</v>
      </c>
      <c r="D22" s="90">
        <f t="shared" ref="D22:E22" si="2">+IFERROR(D4/D16,"--")</f>
        <v>39166.666666666664</v>
      </c>
      <c r="E22" s="90">
        <f t="shared" si="2"/>
        <v>21363.636363636364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140</v>
      </c>
      <c r="B23" s="7"/>
      <c r="C23" s="90" t="str">
        <f>+IFERROR(C5/C16,"--")</f>
        <v>--</v>
      </c>
      <c r="D23" s="90">
        <f t="shared" ref="D23" si="3">+IFERROR(D5/D16,"--")</f>
        <v>39166.666666666664</v>
      </c>
      <c r="E23" s="90">
        <f t="shared" ref="E23" si="4">+IFERROR(E5/E16,"--")</f>
        <v>21363.636363636364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146</v>
      </c>
      <c r="B25" s="7"/>
      <c r="C25" s="10">
        <f>+B_サンクス無!E68+C29*C30</f>
        <v>5000</v>
      </c>
      <c r="D25" s="10">
        <f>+B_サンクス無!G68+D29*D30</f>
        <v>5000</v>
      </c>
      <c r="E25" s="10">
        <f>+B_サンクス無!J68+E29*E30</f>
        <v>5000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143</v>
      </c>
      <c r="C29" s="5">
        <f>+IF(C10&lt;=30000,0,C10-30000)</f>
        <v>0</v>
      </c>
      <c r="D29" s="91">
        <f>+IF(D10&lt;=30000,0,D10-30000)</f>
        <v>0</v>
      </c>
      <c r="E29" s="91">
        <f>+IF(E10&lt;=30000,0,E10-30000)</f>
        <v>0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141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112</v>
      </c>
      <c r="B35" s="92"/>
      <c r="C35" s="93" t="s">
        <v>134</v>
      </c>
      <c r="D35" s="94" t="s">
        <v>135</v>
      </c>
      <c r="E35" s="94" t="s">
        <v>136</v>
      </c>
      <c r="F35" s="94" t="s">
        <v>136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customWidth="1"/>
    <col min="5" max="5" width="14.25" customWidth="1"/>
  </cols>
  <sheetData>
    <row r="2" spans="1:7" x14ac:dyDescent="0.55000000000000004">
      <c r="A2" s="59" t="s">
        <v>82</v>
      </c>
      <c r="B2" s="59"/>
      <c r="C2" s="59"/>
      <c r="D2" s="59"/>
      <c r="E2" s="59"/>
      <c r="F2" s="59"/>
      <c r="G2" s="59"/>
    </row>
    <row r="3" spans="1:7" x14ac:dyDescent="0.55000000000000004">
      <c r="A3" s="54" t="s">
        <v>89</v>
      </c>
    </row>
    <row r="4" spans="1:7" x14ac:dyDescent="0.55000000000000004">
      <c r="A4" t="s">
        <v>87</v>
      </c>
      <c r="B4" t="s">
        <v>88</v>
      </c>
      <c r="E4">
        <v>1000</v>
      </c>
    </row>
    <row r="5" spans="1:7" x14ac:dyDescent="0.55000000000000004">
      <c r="A5" t="s">
        <v>42</v>
      </c>
      <c r="B5" s="60">
        <v>8.5000000000000006E-2</v>
      </c>
    </row>
    <row r="6" spans="1:7" x14ac:dyDescent="0.55000000000000004">
      <c r="A6" t="s">
        <v>91</v>
      </c>
      <c r="B6" s="60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90</v>
      </c>
    </row>
    <row r="9" spans="1:7" x14ac:dyDescent="0.55000000000000004">
      <c r="A9" t="s">
        <v>87</v>
      </c>
      <c r="B9" t="s">
        <v>88</v>
      </c>
      <c r="E9">
        <v>1000</v>
      </c>
    </row>
    <row r="10" spans="1:7" x14ac:dyDescent="0.55000000000000004">
      <c r="A10" t="s">
        <v>42</v>
      </c>
      <c r="B10" s="60">
        <v>5.0000000000000001E-3</v>
      </c>
    </row>
    <row r="11" spans="1:7" x14ac:dyDescent="0.55000000000000004">
      <c r="A11" t="s">
        <v>91</v>
      </c>
      <c r="B11" s="60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92</v>
      </c>
      <c r="D13" t="s">
        <v>95</v>
      </c>
    </row>
    <row r="14" spans="1:7" x14ac:dyDescent="0.55000000000000004">
      <c r="A14" t="s">
        <v>93</v>
      </c>
      <c r="B14" t="s">
        <v>88</v>
      </c>
      <c r="E14">
        <v>1000</v>
      </c>
    </row>
    <row r="15" spans="1:7" x14ac:dyDescent="0.55000000000000004">
      <c r="A15" t="s">
        <v>42</v>
      </c>
      <c r="B15" s="60">
        <v>0.9</v>
      </c>
      <c r="C15" t="s">
        <v>94</v>
      </c>
    </row>
    <row r="16" spans="1:7" x14ac:dyDescent="0.55000000000000004">
      <c r="A16" t="s">
        <v>91</v>
      </c>
      <c r="B16" s="60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96</v>
      </c>
      <c r="D18" t="s">
        <v>95</v>
      </c>
    </row>
    <row r="19" spans="1:10" x14ac:dyDescent="0.55000000000000004">
      <c r="A19" t="s">
        <v>87</v>
      </c>
      <c r="B19" s="60">
        <v>0.7</v>
      </c>
      <c r="C19" t="s">
        <v>88</v>
      </c>
      <c r="E19">
        <v>1000</v>
      </c>
    </row>
    <row r="20" spans="1:10" x14ac:dyDescent="0.55000000000000004">
      <c r="A20" t="s">
        <v>42</v>
      </c>
      <c r="B20" s="60">
        <v>1</v>
      </c>
    </row>
    <row r="21" spans="1:10" x14ac:dyDescent="0.55000000000000004">
      <c r="A21" t="s">
        <v>91</v>
      </c>
      <c r="B21" s="60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9" t="s">
        <v>83</v>
      </c>
      <c r="B23" s="59"/>
      <c r="C23" s="59" t="s">
        <v>86</v>
      </c>
      <c r="D23" s="59"/>
      <c r="E23" s="59"/>
      <c r="F23" s="59"/>
      <c r="G23" s="59"/>
      <c r="I23" s="67" t="s">
        <v>102</v>
      </c>
      <c r="J23" s="68"/>
    </row>
    <row r="24" spans="1:10" x14ac:dyDescent="0.55000000000000004">
      <c r="A24" s="54" t="s">
        <v>84</v>
      </c>
      <c r="I24" s="66">
        <v>1</v>
      </c>
      <c r="J24" t="s">
        <v>103</v>
      </c>
    </row>
    <row r="25" spans="1:10" x14ac:dyDescent="0.55000000000000004">
      <c r="A25" t="s">
        <v>41</v>
      </c>
      <c r="B25" s="61">
        <v>0.8</v>
      </c>
      <c r="I25" s="66">
        <v>2</v>
      </c>
      <c r="J25" t="s">
        <v>104</v>
      </c>
    </row>
    <row r="26" spans="1:10" x14ac:dyDescent="0.55000000000000004">
      <c r="A26" t="s">
        <v>42</v>
      </c>
      <c r="B26" s="61">
        <v>0.06</v>
      </c>
      <c r="I26" s="66">
        <v>3</v>
      </c>
      <c r="J26" t="s">
        <v>105</v>
      </c>
    </row>
    <row r="27" spans="1:10" x14ac:dyDescent="0.55000000000000004">
      <c r="A27" t="s">
        <v>85</v>
      </c>
      <c r="B27" s="61">
        <v>3.0000000000000001E-3</v>
      </c>
      <c r="I27" s="66">
        <v>4</v>
      </c>
      <c r="J27" t="s">
        <v>106</v>
      </c>
    </row>
    <row r="29" spans="1:10" x14ac:dyDescent="0.55000000000000004">
      <c r="A29" s="54" t="s">
        <v>101</v>
      </c>
      <c r="I29" s="67" t="s">
        <v>107</v>
      </c>
      <c r="J29" s="68"/>
    </row>
    <row r="30" spans="1:10" x14ac:dyDescent="0.55000000000000004">
      <c r="A30" t="s">
        <v>41</v>
      </c>
      <c r="B30" s="61">
        <v>0.75</v>
      </c>
      <c r="I30" s="66">
        <v>1</v>
      </c>
      <c r="J30" t="s">
        <v>108</v>
      </c>
    </row>
    <row r="31" spans="1:10" x14ac:dyDescent="0.55000000000000004">
      <c r="A31" t="s">
        <v>42</v>
      </c>
      <c r="B31" s="61">
        <v>0.08</v>
      </c>
      <c r="I31" s="66">
        <v>2</v>
      </c>
      <c r="J31" t="s">
        <v>109</v>
      </c>
    </row>
    <row r="32" spans="1:10" x14ac:dyDescent="0.55000000000000004">
      <c r="A32" t="s">
        <v>85</v>
      </c>
      <c r="B32" s="61">
        <v>6.0000000000000001E-3</v>
      </c>
      <c r="I32" s="66">
        <v>3</v>
      </c>
      <c r="J32" t="s">
        <v>110</v>
      </c>
    </row>
    <row r="33" spans="1:10" x14ac:dyDescent="0.55000000000000004">
      <c r="I33" s="66">
        <v>4</v>
      </c>
      <c r="J33" t="s">
        <v>111</v>
      </c>
    </row>
    <row r="34" spans="1:10" x14ac:dyDescent="0.55000000000000004">
      <c r="A34" s="54" t="s">
        <v>97</v>
      </c>
    </row>
    <row r="35" spans="1:10" x14ac:dyDescent="0.55000000000000004">
      <c r="A35" t="s">
        <v>41</v>
      </c>
      <c r="B35" s="62" t="s">
        <v>22</v>
      </c>
    </row>
    <row r="36" spans="1:10" x14ac:dyDescent="0.55000000000000004">
      <c r="A36" t="s">
        <v>42</v>
      </c>
      <c r="B36" s="61">
        <v>0.02</v>
      </c>
    </row>
    <row r="37" spans="1:10" x14ac:dyDescent="0.55000000000000004">
      <c r="A37" t="s">
        <v>85</v>
      </c>
      <c r="B37" s="61">
        <v>4.0000000000000001E-3</v>
      </c>
    </row>
    <row r="39" spans="1:10" x14ac:dyDescent="0.55000000000000004">
      <c r="A39" s="54" t="s">
        <v>98</v>
      </c>
      <c r="E39" s="54" t="s">
        <v>99</v>
      </c>
    </row>
    <row r="40" spans="1:10" x14ac:dyDescent="0.55000000000000004">
      <c r="A40" t="s">
        <v>41</v>
      </c>
      <c r="B40" s="62">
        <v>1</v>
      </c>
      <c r="E40" t="s">
        <v>41</v>
      </c>
      <c r="F40" s="62" t="s">
        <v>22</v>
      </c>
    </row>
    <row r="41" spans="1:10" x14ac:dyDescent="0.55000000000000004">
      <c r="A41" t="s">
        <v>42</v>
      </c>
      <c r="B41" s="61">
        <v>3.5000000000000003E-2</v>
      </c>
      <c r="E41" t="s">
        <v>100</v>
      </c>
      <c r="F41" s="61">
        <v>0.25</v>
      </c>
    </row>
    <row r="42" spans="1:10" x14ac:dyDescent="0.55000000000000004">
      <c r="A42" t="s">
        <v>85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A_サンクス有</vt:lpstr>
      <vt:lpstr>A_比較</vt:lpstr>
      <vt:lpstr>B_サンクス無</vt:lpstr>
      <vt:lpstr>B_比較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2026-10-27T05:58:13Z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
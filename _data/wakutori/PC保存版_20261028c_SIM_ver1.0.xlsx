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1E379D78-7BD1-4D8C-91BC-BD7AF55BE175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月3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Q33" i="3"/>
  <c r="Q32" i="3"/>
  <c r="D29" i="3"/>
  <c r="D34" i="3" s="1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P36" i="3"/>
  <c r="C23" i="4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F33" i="3" s="1"/>
  <c r="F28" i="3"/>
  <c r="E29" i="3"/>
  <c r="E56" i="3"/>
  <c r="E46" i="3"/>
  <c r="D76" i="1"/>
  <c r="D54" i="1" s="1"/>
  <c r="G23" i="1"/>
  <c r="F26" i="1"/>
  <c r="E29" i="1"/>
  <c r="E46" i="1"/>
  <c r="E56" i="1"/>
  <c r="H23" i="3" l="1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6" i="1" s="1"/>
  <c r="E34" i="1"/>
  <c r="F33" i="1"/>
  <c r="F28" i="1"/>
  <c r="I23" i="3" l="1"/>
  <c r="H26" i="3"/>
  <c r="H33" i="3" s="1"/>
  <c r="F31" i="3"/>
  <c r="F35" i="3" s="1"/>
  <c r="F34" i="3"/>
  <c r="E36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36" i="3"/>
  <c r="F68" i="3"/>
  <c r="F45" i="3" s="1"/>
  <c r="F75" i="3"/>
  <c r="E40" i="3"/>
  <c r="E50" i="3"/>
  <c r="C25" i="4"/>
  <c r="E45" i="3"/>
  <c r="E76" i="3"/>
  <c r="E44" i="3"/>
  <c r="E51" i="3" s="1"/>
  <c r="E54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6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F40" i="3" l="1"/>
  <c r="F41" i="3" s="1"/>
  <c r="F50" i="3"/>
  <c r="F76" i="3"/>
  <c r="E41" i="3"/>
  <c r="E47" i="3"/>
  <c r="E49" i="3"/>
  <c r="E61" i="3"/>
  <c r="E57" i="3" s="1"/>
  <c r="E73" i="3"/>
  <c r="E55" i="3"/>
  <c r="E59" i="3" s="1"/>
  <c r="E41" i="1"/>
  <c r="F48" i="1"/>
  <c r="F58" i="1"/>
  <c r="F68" i="1"/>
  <c r="F45" i="1" s="1"/>
  <c r="F75" i="1"/>
  <c r="I28" i="1"/>
  <c r="H29" i="1"/>
  <c r="H46" i="1"/>
  <c r="H56" i="1"/>
  <c r="G31" i="1"/>
  <c r="G35" i="1" s="1"/>
  <c r="G36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F50" i="1" l="1"/>
  <c r="F40" i="1"/>
  <c r="F76" i="1"/>
  <c r="J28" i="1"/>
  <c r="I29" i="1"/>
  <c r="I46" i="1"/>
  <c r="I56" i="1"/>
  <c r="H31" i="1"/>
  <c r="H35" i="1" s="1"/>
  <c r="H36" i="1" s="1"/>
  <c r="H34" i="1"/>
  <c r="D11" i="2"/>
  <c r="G68" i="1"/>
  <c r="D10" i="2"/>
  <c r="D29" i="2" s="1"/>
  <c r="D30" i="2" s="1"/>
  <c r="G75" i="1"/>
  <c r="G36" i="3"/>
  <c r="G58" i="3" s="1"/>
  <c r="G4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1" i="1"/>
  <c r="J29" i="1"/>
  <c r="J46" i="1"/>
  <c r="J56" i="1"/>
  <c r="E6" i="2"/>
  <c r="I31" i="1"/>
  <c r="I35" i="1" s="1"/>
  <c r="I36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G54" i="3" s="1"/>
  <c r="G44" i="3"/>
  <c r="G51" i="3" s="1"/>
  <c r="J29" i="3"/>
  <c r="J46" i="3"/>
  <c r="J56" i="3"/>
  <c r="E6" i="4"/>
  <c r="I31" i="3"/>
  <c r="I35" i="3" s="1"/>
  <c r="I34" i="3"/>
  <c r="H36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F47" i="1" l="1"/>
  <c r="F49" i="1"/>
  <c r="F61" i="1"/>
  <c r="F57" i="1" s="1"/>
  <c r="F73" i="1"/>
  <c r="F55" i="1"/>
  <c r="F59" i="1" s="1"/>
  <c r="G51" i="1"/>
  <c r="G49" i="1" s="1"/>
  <c r="J31" i="1"/>
  <c r="J35" i="1" s="1"/>
  <c r="J36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D4" i="4"/>
  <c r="G47" i="3"/>
  <c r="G49" i="3"/>
  <c r="G61" i="3"/>
  <c r="G73" i="3"/>
  <c r="G55" i="3"/>
  <c r="G59" i="3" s="1"/>
  <c r="J31" i="3"/>
  <c r="J35" i="3" s="1"/>
  <c r="J34" i="3"/>
  <c r="E8" i="4"/>
  <c r="I36" i="3"/>
  <c r="I48" i="3" s="1"/>
  <c r="I58" i="3"/>
  <c r="I68" i="3"/>
  <c r="I45" i="3" s="1"/>
  <c r="I75" i="3"/>
  <c r="H40" i="3"/>
  <c r="H50" i="3"/>
  <c r="H76" i="3"/>
  <c r="G41" i="1"/>
  <c r="H58" i="3"/>
  <c r="H48" i="3"/>
  <c r="H54" i="1" l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H61" i="1"/>
  <c r="H57" i="1" s="1"/>
  <c r="H73" i="1"/>
  <c r="H55" i="1"/>
  <c r="H59" i="1" s="1"/>
  <c r="D5" i="2"/>
  <c r="G57" i="1"/>
  <c r="D12" i="4"/>
  <c r="D22" i="4"/>
  <c r="D5" i="4"/>
  <c r="G57" i="3"/>
  <c r="E11" i="4"/>
  <c r="J36" i="3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I44" i="1" l="1"/>
  <c r="I51" i="1" s="1"/>
  <c r="I54" i="1"/>
  <c r="H47" i="1"/>
  <c r="H49" i="1"/>
  <c r="D12" i="2"/>
  <c r="D22" i="2"/>
  <c r="J50" i="1"/>
  <c r="J40" i="1"/>
  <c r="E17" i="2"/>
  <c r="E16" i="2" s="1"/>
  <c r="E25" i="2"/>
  <c r="J45" i="1"/>
  <c r="J76" i="1"/>
  <c r="I41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J44" i="3" s="1"/>
  <c r="J51" i="3" s="1"/>
  <c r="J54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I47" i="1" l="1"/>
  <c r="I49" i="1"/>
  <c r="J41" i="1"/>
  <c r="K40" i="1"/>
  <c r="J54" i="1"/>
  <c r="J61" i="1" s="1"/>
  <c r="J44" i="1"/>
  <c r="J51" i="1" s="1"/>
  <c r="J73" i="1"/>
  <c r="J55" i="1"/>
  <c r="J59" i="1" s="1"/>
  <c r="K40" i="3"/>
  <c r="J41" i="3"/>
  <c r="E4" i="4"/>
  <c r="J47" i="3"/>
  <c r="J49" i="3"/>
  <c r="J61" i="3"/>
  <c r="J73" i="3"/>
  <c r="J55" i="3"/>
  <c r="J59" i="3" s="1"/>
  <c r="E4" i="2" l="1"/>
  <c r="J47" i="1"/>
  <c r="J49" i="1"/>
  <c r="E5" i="2"/>
  <c r="J57" i="1"/>
  <c r="E22" i="4"/>
  <c r="E12" i="4"/>
  <c r="E5" i="4"/>
  <c r="J57" i="3"/>
  <c r="E12" i="2" l="1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<sst xmlns="http://schemas.openxmlformats.org/spreadsheetml/2006/main" count="507" uniqueCount="201">
  <si>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</si>
  <si>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</si>
  <si>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</si>
  <si>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</si>
  <si>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</si>
  <si>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</si>
  <si>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</si>
  <si>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</si>
  <si>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</si>
  <si>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</si>
  <si>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</si>
  <si>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</si>
  <si>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</si>
  <si>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</si>
  <si>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</si>
  <si>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</si>
  <si>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</si>
  <si>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</si>
  <si>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</si>
  <si>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</si>
  <si>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</si>
  <si>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</si>
  <si>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</si>
  <si>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</si>
  <si>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</si>
  <si>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</si>
  <si>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</si>
  <si>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</si>
  <si>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</si>
  <si>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</si>
  <si>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</si>
  <si>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</si>
  <si>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</si>
  <si>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</si>
  <si>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</si>
  <si>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</si>
  <si>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</si>
  <si>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</si>
  <si>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</si>
  <si>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</si>
  <si>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</si>
  <si>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</si>
  <si>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</si>
  <si>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</si>
  <si>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</si>
  <si>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</si>
  <si>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</si>
  <si>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</si>
  <si>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</si>
  <si>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</si>
  <si>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</si>
  <si>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</si>
  <si>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</si>
  <si>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</si>
  <si>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</si>
  <si>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</si>
  <si>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</si>
  <si>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</si>
  <si>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</si>
  <si>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</si>
  <si>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</si>
  <si>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</si>
  <si>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</si>
  <si>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</si>
  <si>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</si>
  <si>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</si>
  <si>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</si>
  <si>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</si>
  <si>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</si>
  <si>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</si>
  <si>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</si>
  <si>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</si>
  <si>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</si>
  <si>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</si>
  <si>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</si>
  <si>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</si>
  <si>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</si>
  <si>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</si>
  <si>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</si>
  <si>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</si>
  <si>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</si>
  <si>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</si>
  <si>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</si>
  <si>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</si>
  <si>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</si>
  <si>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</si>
  <si>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</si>
  <si>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</si>
  <si>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</si>
  <si>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</si>
  <si>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</si>
  <si>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</si>
  <si>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</si>
  <si>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</si>
  <si>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</si>
  <si>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</si>
  <si>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</si>
  <si>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</si>
  <si>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</si>
  <si>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</si>
  <si>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</si>
  <si>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</si>
  <si>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</si>
  <si>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</si>
  <si>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</si>
  <si>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</si>
  <si>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</si>
  <si>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</si>
  <si>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</si>
  <si>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</si>
  <si>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</si>
  <si>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</si>
  <si>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</si>
  <si>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</si>
  <si>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</si>
  <si>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</si>
  <si>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</si>
  <si>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</si>
  <si>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</si>
  <si>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</si>
  <si>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</si>
  <si>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</si>
  <si>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</si>
  <si>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</si>
  <si>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</si>
  <si>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</si>
  <si>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</si>
  <si>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</si>
  <si>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</si>
  <si>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</si>
  <si>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</si>
  <si>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</si>
  <si>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</si>
  <si>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</si>
  <si>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</si>
  <si>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</si>
  <si>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</si>
  <si>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</si>
  <si>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</si>
  <si>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</si>
  <si>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</si>
  <si>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</si>
  <si>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</si>
  <si>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</si>
  <si>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</si>
  <si>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</si>
  <si>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</si>
  <si>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</si>
  <si>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</si>
  <si>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</si>
  <si>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</si>
  <si>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</si>
  <si>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</si>
  <si>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</si>
  <si>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</si>
  <si>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</si>
  <si>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</si>
  <si>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</si>
  <si>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</si>
  <si>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</si>
  <si>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</si>
  <si>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</si>
  <si>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</si>
  <si>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</si>
  <si>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</si>
  <si>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</si>
  <si>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</si>
  <si>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</si>
  <si>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</si>
  <si>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</si>
  <si>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</si>
  <si>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</si>
  <si>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</si>
  <si>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</si>
  <si>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</si>
  <si>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</si>
  <si>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</si>
  <si>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</si>
  <si>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</si>
  <si>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</si>
  <si>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月3本（開始時期・エリア別に出し分け。対象は有効な友だちの80%、4か月目から反応しない方を外してさらに8割）。今は週1回（月4本）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</si>
  <si>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</si>
  <si>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</si>
  <si>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</si>
  <si>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</si>
  <si>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</si>
  <si>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</si>
  <si>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</si>
  <si>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</si>
  <si>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</si>
  <si>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</si>
  <si>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LINE運用コンサル：初期10万円〜（運用設計・構築）・月額17万円（ポップアップ3万円と合わせてプランの月額20万円）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</si>
  <si>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</si>
  <si>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</si>
  <si>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</si>
  <si>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</si>
  <si>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</si>
  <si>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</si>
  <si>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</si>
  <si>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LINE運用コンサル：初期10万円〜（運用設計・構築）・月額27万円（ポップアップ3万円と合わせてプランの月額30万円）</t>
  </si>
  <si>
    <t>株式会社ワクトリ御中_LINEOA施策提案【SIM】プラン①（月3投稿）：ポップアップ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</si>
</sst>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42" zoomScaleNormal="55" workbookViewId="0">
      <selection activeCell="X39" sqref="X39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200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4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176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0.34100000000000003</v>
      </c>
      <c r="E27" s="107">
        <v>0.34100000000000003</v>
      </c>
      <c r="F27" s="47">
        <f>ROUND(E27*1.02,3)</f>
        <v>0.34799999999999998</v>
      </c>
      <c r="G27" s="47">
        <f>ROUND(F27*1.02,3)</f>
        <v>0.35499999999999998</v>
      </c>
      <c r="H27" s="47">
        <f>ROUND(G27*1.02,3)</f>
        <v>0.36199999999999999</v>
      </c>
      <c r="I27" s="47">
        <f>ROUND(H27*1.02,3)</f>
        <v>0.36899999999999999</v>
      </c>
      <c r="J27" s="47">
        <f>ROUND(I27*1.02,3)</f>
        <v>0.376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52656.736000000004</v>
      </c>
      <c r="E29" s="50">
        <f>+E28*(1-E27)</f>
        <v>53388.001966360003</v>
      </c>
      <c r="F29" s="50">
        <f t="shared" ref="F29:J29" si="8">+F28*(1-F27)</f>
        <v>53544.404692160002</v>
      </c>
      <c r="G29" s="50">
        <f t="shared" si="8"/>
        <v>53689.659628908004</v>
      </c>
      <c r="H29" s="50">
        <f t="shared" si="8"/>
        <v>53823.667327703151</v>
      </c>
      <c r="I29" s="50">
        <f t="shared" si="8"/>
        <v>53946.326864236493</v>
      </c>
      <c r="J29" s="50">
        <f t="shared" si="8"/>
        <v>54057.535819227691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4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s">
        <v>180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6044.9932928000007</v>
      </c>
      <c r="E31" s="63">
        <f>+E29*E30*$P$24*$P$22*$P$23*$P$36</f>
        <v>14632.557952699013</v>
      </c>
      <c r="F31" s="63">
        <f>+F29*F30*$P$24*$P$22*$P$23*$P$36</f>
        <v>14675.42473671297</v>
      </c>
      <c r="G31" s="63">
        <f>+G29*G30*$P$24*$P$22*$P$23*$P$36</f>
        <v>14715.236140054492</v>
      </c>
      <c r="H31" s="63">
        <f>+H29*H30*$P$24*$P$22*$P$23*$P$36*$Q$24</f>
        <v>11801.571924653257</v>
      </c>
      <c r="I31" s="63">
        <f>+I29*I30*$P$24*$P$22*$P$23*$P$36*$Q$24</f>
        <v>11828.466698170443</v>
      </c>
      <c r="J31" s="63">
        <f>+J29*J30*$P$24*$P$22*$P$23*$P$36*$Q$24</f>
        <v>11852.850775773393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210626.94400000002</v>
      </c>
      <c r="E34" s="46">
        <f>+E29*E30*$P$24+E26*E32</f>
        <v>133679.50491926403</v>
      </c>
      <c r="F34" s="46">
        <f>+F29*F30*$P$24+F26*F32</f>
        <v>134054.87146118403</v>
      </c>
      <c r="G34" s="46">
        <f>+G29*G30*$P$24+G26*G32</f>
        <v>134437.49456137922</v>
      </c>
      <c r="H34" s="46">
        <f>+H29*H30*$P$24*$Q$24+H26*H32</f>
        <v>108958.10408571005</v>
      </c>
      <c r="I34" s="46">
        <f>+I29*I30*$P$24*$Q$24+I26*I32</f>
        <v>109228.30527401928</v>
      </c>
      <c r="J34" s="46">
        <f>+J29*J30*$P$24*$Q$24+J26*J32</f>
        <v>109476.86829454922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6165.8931586560011</v>
      </c>
      <c r="E35" s="50">
        <f>+E31+E33+1.05*(E31+E33)</f>
        <v>31445.528351707922</v>
      </c>
      <c r="F35" s="50">
        <f t="shared" ref="F35:J35" si="11">+F31+F33+1.05*(F31+F33)</f>
        <v>31533.405258936535</v>
      </c>
      <c r="G35" s="50">
        <f t="shared" si="11"/>
        <v>31623.899729924047</v>
      </c>
      <c r="H35" s="50">
        <f t="shared" si="11"/>
        <v>25659.857993430276</v>
      </c>
      <c r="I35" s="50">
        <f t="shared" si="11"/>
        <v>25724.051883270058</v>
      </c>
      <c r="J35" s="50">
        <f t="shared" si="11"/>
        <v>25783.189442526949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45" t="s">
        <v>6</v>
      </c>
      <c r="B36" s="6" t="str">
        <f>+C8</f>
        <v>応募</v>
      </c>
      <c r="C36" s="6"/>
      <c r="D36" s="11">
        <v>0</v>
      </c>
      <c r="E36" s="111">
        <f>ROUND(E35*0.004,0)</f>
        <v>126</v>
      </c>
      <c r="F36" s="111">
        <f>ROUND(F35*0.0045,0)</f>
        <v>142</v>
      </c>
      <c r="G36" s="111">
        <f>ROUND(G35*0.0055,0)</f>
        <v>174</v>
      </c>
      <c r="H36" s="111">
        <f>ROUND(H35*0.0065,0)</f>
        <v>167</v>
      </c>
      <c r="I36" s="111">
        <f>ROUND(I35*0.0075,0)</f>
        <v>193</v>
      </c>
      <c r="J36" s="111">
        <f>ROUND(J35*0.009,0)</f>
        <v>232</v>
      </c>
      <c r="K36" s="115">
        <f>SUM(E36:J36)</f>
        <v>1034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2">+SUM(D36:D39)</f>
        <v>0</v>
      </c>
      <c r="E40" s="10">
        <f t="shared" si="12"/>
        <v>126</v>
      </c>
      <c r="F40" s="10">
        <f t="shared" si="12"/>
        <v>142</v>
      </c>
      <c r="G40" s="10">
        <f t="shared" si="12"/>
        <v>174</v>
      </c>
      <c r="H40" s="10">
        <f t="shared" si="12"/>
        <v>167</v>
      </c>
      <c r="I40" s="10">
        <f t="shared" si="12"/>
        <v>193</v>
      </c>
      <c r="J40" s="10">
        <f t="shared" si="12"/>
        <v>232</v>
      </c>
      <c r="K40" s="115">
        <f>SUM(E40:J40)</f>
        <v>1034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4.0069290167661148E-3</v>
      </c>
      <c r="F41" s="18">
        <f t="shared" ref="F41:J41" si="14">+IFERROR(F40/F35,0)</f>
        <v>4.5031609759227428E-3</v>
      </c>
      <c r="G41" s="18">
        <f t="shared" si="14"/>
        <v>5.5021677113197042E-3</v>
      </c>
      <c r="H41" s="18">
        <f t="shared" si="14"/>
        <v>6.508219961418228E-3</v>
      </c>
      <c r="I41" s="18">
        <f t="shared" si="14"/>
        <v>7.5027060618517811E-3</v>
      </c>
      <c r="J41" s="18">
        <f t="shared" si="14"/>
        <v>8.9981109791381284E-3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311038.51475779212</v>
      </c>
      <c r="F44" s="31">
        <f t="shared" ref="F44:J44" si="15">+F75*F76</f>
        <v>312164.61438355211</v>
      </c>
      <c r="G44" s="31">
        <f t="shared" si="15"/>
        <v>313312.4836841377</v>
      </c>
      <c r="H44" s="31">
        <f t="shared" si="15"/>
        <v>236874.31225713014</v>
      </c>
      <c r="I44" s="31">
        <f t="shared" si="15"/>
        <v>237684.91582205784</v>
      </c>
      <c r="J44" s="31">
        <f t="shared" si="15"/>
        <v>238430.60488364764</v>
      </c>
      <c r="K44" s="11"/>
      <c r="L44" s="7"/>
    </row>
    <row r="45" spans="1:17" ht="18" x14ac:dyDescent="0.55000000000000004">
      <c r="A45" s="137" t="s">
        <v>132</v>
      </c>
      <c r="B45" s="138"/>
      <c r="C45" s="104">
        <f>+SUM(C65:C72)</f>
        <v>0</v>
      </c>
      <c r="D45" s="80">
        <f>+SUM(D65:D72)</f>
        <v>215000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8">+E51/E35</f>
        <v>11.322389332296092</v>
      </c>
      <c r="F47" s="28">
        <f t="shared" si="18"/>
        <v>11.32654755966554</v>
      </c>
      <c r="G47" s="28">
        <f t="shared" si="18"/>
        <v>11.330433208561097</v>
      </c>
      <c r="H47" s="28">
        <f t="shared" si="18"/>
        <v>10.985030093669994</v>
      </c>
      <c r="I47" s="28">
        <f t="shared" si="18"/>
        <v>10.989128660788674</v>
      </c>
      <c r="J47" s="28">
        <f>+J51/J35</f>
        <v>10.992844989772889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9">+SUM(E36:E39)/E35</f>
        <v>4.0069290167661148E-3</v>
      </c>
      <c r="F48" s="32">
        <f t="shared" si="19"/>
        <v>4.5031609759227428E-3</v>
      </c>
      <c r="G48" s="32">
        <f t="shared" si="19"/>
        <v>5.5021677113197042E-3</v>
      </c>
      <c r="H48" s="32">
        <f t="shared" si="19"/>
        <v>6.508219961418228E-3</v>
      </c>
      <c r="I48" s="32">
        <f t="shared" si="19"/>
        <v>7.5027060618517811E-3</v>
      </c>
      <c r="J48" s="32">
        <f t="shared" si="19"/>
        <v>8.9981109791381284E-3</v>
      </c>
      <c r="K48" s="11"/>
      <c r="L48" s="7"/>
    </row>
    <row r="49" spans="1:14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2825.7024980777151</v>
      </c>
      <c r="F49" s="28">
        <f t="shared" ref="F49:J49" si="20">+IFERROR(F51/SUM(F36:F39),0)</f>
        <v>2515.2437632644514</v>
      </c>
      <c r="G49" s="28">
        <f t="shared" si="20"/>
        <v>2059.2671476099868</v>
      </c>
      <c r="H49" s="28">
        <f t="shared" si="20"/>
        <v>1687.8701332762284</v>
      </c>
      <c r="I49" s="28">
        <f t="shared" si="20"/>
        <v>1464.6886830158439</v>
      </c>
      <c r="J49" s="28">
        <f t="shared" si="20"/>
        <v>1221.6836417398606</v>
      </c>
      <c r="K49" s="11"/>
      <c r="L49" s="7"/>
    </row>
    <row r="50" spans="1:14" x14ac:dyDescent="0.55000000000000004">
      <c r="A50" s="139" t="s">
        <v>117</v>
      </c>
      <c r="B50" s="140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35" t="s">
        <v>70</v>
      </c>
      <c r="B51" s="136"/>
      <c r="C51" s="110">
        <f>+C45</f>
        <v>0</v>
      </c>
      <c r="D51" s="40">
        <f>+D45</f>
        <v>215000</v>
      </c>
      <c r="E51" s="40">
        <f>SUM(E45,E50)+E44</f>
        <v>356038.51475779212</v>
      </c>
      <c r="F51" s="40">
        <f t="shared" ref="F51:I51" si="22">SUM(F45,F50)+F44</f>
        <v>357164.61438355211</v>
      </c>
      <c r="G51" s="40">
        <f t="shared" si="22"/>
        <v>358312.4836841377</v>
      </c>
      <c r="H51" s="40">
        <f t="shared" si="22"/>
        <v>281874.31225713016</v>
      </c>
      <c r="I51" s="40">
        <f t="shared" si="22"/>
        <v>282684.91582205787</v>
      </c>
      <c r="J51" s="40">
        <f>SUM(J45,J50)+J44</f>
        <v>283430.60488364764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37" t="s">
        <v>27</v>
      </c>
      <c r="B54" s="138"/>
      <c r="C54" s="96"/>
      <c r="D54" s="28">
        <f>+D75*D76</f>
        <v>541880.83200000005</v>
      </c>
      <c r="E54" s="28">
        <f t="shared" ref="E54:J54" si="23">+E75*E76</f>
        <v>311038.51475779212</v>
      </c>
      <c r="F54" s="28">
        <f t="shared" si="23"/>
        <v>312164.61438355211</v>
      </c>
      <c r="G54" s="28">
        <f t="shared" si="23"/>
        <v>313312.4836841377</v>
      </c>
      <c r="H54" s="28">
        <f t="shared" si="23"/>
        <v>236874.31225713014</v>
      </c>
      <c r="I54" s="28">
        <f t="shared" si="23"/>
        <v>237684.91582205784</v>
      </c>
      <c r="J54" s="28">
        <f t="shared" si="23"/>
        <v>238430.60488364764</v>
      </c>
      <c r="K54" s="11"/>
      <c r="L54" s="7"/>
      <c r="N54" t="s">
        <v>184</v>
      </c>
    </row>
    <row r="55" spans="1:14" hidden="1" x14ac:dyDescent="0.55000000000000004">
      <c r="A55" s="137" t="s">
        <v>132</v>
      </c>
      <c r="B55" s="138"/>
      <c r="C55" s="96"/>
      <c r="D55" s="27">
        <f>+SUM(D65:D72)</f>
        <v>215000</v>
      </c>
      <c r="E55" s="27">
        <f>SUM(E65:E72)+E54</f>
        <v>656038.51475779212</v>
      </c>
      <c r="F55" s="27">
        <f t="shared" ref="F55:J55" si="24">SUM(F65:F72)+F54</f>
        <v>657164.61438355211</v>
      </c>
      <c r="G55" s="27">
        <f t="shared" si="24"/>
        <v>658312.4836841377</v>
      </c>
      <c r="H55" s="27">
        <f t="shared" si="24"/>
        <v>581874.31225713016</v>
      </c>
      <c r="I55" s="27">
        <f t="shared" si="24"/>
        <v>582684.91582205787</v>
      </c>
      <c r="J55" s="27">
        <f t="shared" si="24"/>
        <v>583430.60488364764</v>
      </c>
      <c r="K55" s="11"/>
      <c r="L55" s="7"/>
    </row>
    <row r="56" spans="1:14" hidden="1" x14ac:dyDescent="0.55000000000000004">
      <c r="A56" s="137" t="s">
        <v>17</v>
      </c>
      <c r="B56" s="138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20.862696515072557</v>
      </c>
      <c r="F57" s="28">
        <f t="shared" ref="F57:J57" si="26">+F61/F35</f>
        <v>20.840267931333308</v>
      </c>
      <c r="G57" s="28">
        <f t="shared" si="26"/>
        <v>20.816929262560585</v>
      </c>
      <c r="H57" s="28">
        <f t="shared" si="26"/>
        <v>22.676443198014116</v>
      </c>
      <c r="I57" s="28">
        <f t="shared" si="26"/>
        <v>22.651366062630821</v>
      </c>
      <c r="J57" s="28">
        <f t="shared" si="26"/>
        <v>22.628333324865295</v>
      </c>
      <c r="K57" s="11"/>
      <c r="L57" s="7"/>
    </row>
    <row r="58" spans="1:14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7">+SUM(E36:E39)/E35</f>
        <v>4.0069290167661148E-3</v>
      </c>
      <c r="F58" s="32">
        <f t="shared" si="27"/>
        <v>4.5031609759227428E-3</v>
      </c>
      <c r="G58" s="32">
        <f t="shared" si="27"/>
        <v>5.5021677113197042E-3</v>
      </c>
      <c r="H58" s="32">
        <f t="shared" si="27"/>
        <v>6.508219961418228E-3</v>
      </c>
      <c r="I58" s="32">
        <f t="shared" si="27"/>
        <v>7.5027060618517811E-3</v>
      </c>
      <c r="J58" s="32">
        <f t="shared" si="27"/>
        <v>8.9981109791381284E-3</v>
      </c>
      <c r="K58" s="11"/>
      <c r="L58" s="7"/>
    </row>
    <row r="59" spans="1:14" hidden="1" x14ac:dyDescent="0.55000000000000004">
      <c r="A59" s="139" t="s">
        <v>19</v>
      </c>
      <c r="B59" s="140"/>
      <c r="C59" s="97"/>
      <c r="D59" s="28"/>
      <c r="E59" s="28">
        <f>+IFERROR(E55/E40,0)</f>
        <v>5206.6548790300958</v>
      </c>
      <c r="F59" s="28">
        <f t="shared" ref="F59:J59" si="28">+IFERROR(F55/F40,0)</f>
        <v>4627.9198196024799</v>
      </c>
      <c r="G59" s="28">
        <f t="shared" si="28"/>
        <v>3783.4050786444695</v>
      </c>
      <c r="H59" s="28">
        <f t="shared" si="28"/>
        <v>3484.2773189049713</v>
      </c>
      <c r="I59" s="28">
        <f t="shared" si="28"/>
        <v>3019.0928280935641</v>
      </c>
      <c r="J59" s="28">
        <f t="shared" si="28"/>
        <v>2514.7870900157227</v>
      </c>
      <c r="K59" s="11"/>
      <c r="L59" s="7"/>
    </row>
    <row r="60" spans="1:14" hidden="1" x14ac:dyDescent="0.55000000000000004">
      <c r="A60" s="139" t="s">
        <v>117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35" t="s">
        <v>70</v>
      </c>
      <c r="B61" s="136"/>
      <c r="C61" s="98"/>
      <c r="D61" s="40">
        <f>+D55</f>
        <v>215000</v>
      </c>
      <c r="E61" s="40">
        <f>+SUM(E65:E72)+E54</f>
        <v>656038.51475779212</v>
      </c>
      <c r="F61" s="40">
        <f t="shared" ref="F61:J61" si="29">+SUM(F65:F72)+F54</f>
        <v>657164.61438355211</v>
      </c>
      <c r="G61" s="40">
        <f t="shared" si="29"/>
        <v>658312.4836841377</v>
      </c>
      <c r="H61" s="40">
        <f t="shared" si="29"/>
        <v>581874.31225713016</v>
      </c>
      <c r="I61" s="40">
        <f t="shared" si="29"/>
        <v>582684.91582205787</v>
      </c>
      <c r="J61" s="40">
        <f t="shared" si="29"/>
        <v>583430.60488364764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N67" s="69" t="s">
        <v>188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191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215000</v>
      </c>
      <c r="E73" s="114">
        <f t="shared" ref="E73:J73" si="31">SUM(E65:E72)+E54</f>
        <v>656038.51475779212</v>
      </c>
      <c r="F73" s="114">
        <f t="shared" si="31"/>
        <v>657164.61438355211</v>
      </c>
      <c r="G73" s="114">
        <f t="shared" si="31"/>
        <v>658312.4836841377</v>
      </c>
      <c r="H73" s="114">
        <f t="shared" si="31"/>
        <v>581874.31225713016</v>
      </c>
      <c r="I73" s="114">
        <f t="shared" si="31"/>
        <v>582684.91582205787</v>
      </c>
      <c r="J73" s="114">
        <f t="shared" si="31"/>
        <v>583430.60488364764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180626.94400000002</v>
      </c>
      <c r="E75" s="41">
        <f t="shared" si="32"/>
        <v>103679.50491926403</v>
      </c>
      <c r="F75" s="41">
        <f t="shared" si="32"/>
        <v>104054.87146118403</v>
      </c>
      <c r="G75" s="41">
        <f t="shared" si="32"/>
        <v>104437.49456137922</v>
      </c>
      <c r="H75" s="41">
        <f t="shared" si="32"/>
        <v>78958.104085710045</v>
      </c>
      <c r="I75" s="41">
        <f t="shared" si="32"/>
        <v>79228.30527401928</v>
      </c>
      <c r="J75" s="41">
        <f t="shared" si="32"/>
        <v>79476.868294549218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+SIM①_月3投稿!D24</f>
        <v>--</v>
      </c>
      <c r="D4" s="28">
        <f>+SIM①_月3投稿!G51</f>
        <v>358312.4836841377</v>
      </c>
      <c r="E4" s="28">
        <f>+SIM①_月3投稿!J51</f>
        <v>283430.60488364764</v>
      </c>
      <c r="F4" s="28"/>
    </row>
    <row r="5" spans="1:25" x14ac:dyDescent="0.55000000000000004">
      <c r="A5" s="85" t="s">
        <v>141</v>
      </c>
      <c r="B5" s="7"/>
      <c r="C5" s="86" t="str">
        <f>+SIM①_月3投稿!D25</f>
        <v>--</v>
      </c>
      <c r="D5" s="28">
        <f>+SIM①_月3投稿!G61</f>
        <v>658312.4836841377</v>
      </c>
      <c r="E5" s="28">
        <f>+SIM①_月3投稿!J61</f>
        <v>583430.60488364764</v>
      </c>
      <c r="F5" s="27"/>
    </row>
    <row r="6" spans="1:25" x14ac:dyDescent="0.55000000000000004">
      <c r="A6" s="85" t="s">
        <v>76</v>
      </c>
      <c r="B6" s="7"/>
      <c r="C6" s="117">
        <f>+SIM①_月3投稿!D28</f>
        <v>79904</v>
      </c>
      <c r="D6" s="87">
        <f>+SIM①_月3投稿!G28</f>
        <v>83239.782370400004</v>
      </c>
      <c r="E6" s="87">
        <f>+SIM①_月3投稿!J28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+SIM①_月3投稿!D27</f>
        <v>0.34100000000000003</v>
      </c>
      <c r="D7" s="89">
        <f>+SIM①_月3投稿!G27</f>
        <v>0.35499999999999998</v>
      </c>
      <c r="E7" s="89">
        <f>+SIM①_月3投稿!J27</f>
        <v>0.376</v>
      </c>
      <c r="F7" s="89"/>
    </row>
    <row r="8" spans="1:25" x14ac:dyDescent="0.55000000000000004">
      <c r="A8" s="85" t="s">
        <v>78</v>
      </c>
      <c r="B8" s="7"/>
      <c r="C8" s="117">
        <f>+SIM①_月3投稿!D29</f>
        <v>52656.736000000004</v>
      </c>
      <c r="D8" s="10">
        <f>+SIM①_月3投稿!G29</f>
        <v>53689.659628908004</v>
      </c>
      <c r="E8" s="10">
        <f>+SIM①_月3投稿!J29</f>
        <v>54057.535819227691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+SIM①_月3投稿!D34</f>
        <v>210626.94400000002</v>
      </c>
      <c r="D10" s="10">
        <f>+SIM①_月3投稿!G34</f>
        <v>134437.49456137922</v>
      </c>
      <c r="E10" s="10">
        <f>+SIM①_月3投稿!J34</f>
        <v>109476.86829454922</v>
      </c>
      <c r="F10" s="10"/>
    </row>
    <row r="11" spans="1:25" x14ac:dyDescent="0.55000000000000004">
      <c r="A11" s="85" t="s">
        <v>81</v>
      </c>
      <c r="B11" s="7"/>
      <c r="C11" s="117">
        <f>+SIM①_月3投稿!D35</f>
        <v>6165.8931586560011</v>
      </c>
      <c r="D11" s="10">
        <f>+SIM①_月3投稿!G35</f>
        <v>31623.899729924047</v>
      </c>
      <c r="E11" s="10">
        <f>+SIM①_月3投稿!J35</f>
        <v>25783.189442526949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11.330433208561097</v>
      </c>
      <c r="E12" s="28">
        <f t="shared" ref="E12" si="0">+E4/E11</f>
        <v>10.992844989772889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20.816929262560585</v>
      </c>
      <c r="E13" s="28">
        <f t="shared" ref="E13" si="1">+E5/E11</f>
        <v>22.628333324865295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+SIM①_月3投稿!D16</f>
        <v>400</v>
      </c>
      <c r="D15" s="87">
        <f>+SIM①_月3投稿!G16</f>
        <v>400</v>
      </c>
      <c r="E15" s="87">
        <f>+SIM①_月3投稿!J16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174</v>
      </c>
      <c r="E16" s="87">
        <f>+E17</f>
        <v>232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+SIM①_月3投稿!D36</f>
        <v>0</v>
      </c>
      <c r="D17" s="87">
        <f>+SIM①_月3投稿!G36</f>
        <v>174</v>
      </c>
      <c r="E17" s="87">
        <f>+SIM①_月3投稿!J36</f>
        <v>232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+SIM①_月3投稿!D37</f>
        <v>0</v>
      </c>
      <c r="D18" s="87">
        <f>+SIM①_月3投稿!G37</f>
        <v>0</v>
      </c>
      <c r="E18" s="87">
        <f>+SIM①_月3投稿!J37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+SIM①_月3投稿!D38</f>
        <v>0</v>
      </c>
      <c r="D19" s="87">
        <f>+SIM①_月3投稿!G38</f>
        <v>0</v>
      </c>
      <c r="E19" s="87">
        <f>+SIM①_月3投稿!J38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+SIM①_月3投稿!D39</f>
        <v>0</v>
      </c>
      <c r="D20" s="87">
        <f>+SIM①_月3投稿!G39</f>
        <v>0</v>
      </c>
      <c r="E20" s="87">
        <f>+SIM①_月3投稿!J39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2059.2671476099868</v>
      </c>
      <c r="E22" s="90">
        <f t="shared" si="2"/>
        <v>1221.6836417398606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3783.4050786444695</v>
      </c>
      <c r="E23" s="90">
        <f t="shared" ref="E23" si="4">+IFERROR(E5/E16,"--")</f>
        <v>2514.7870900157227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+SIM①_月3投稿!E68+C29*C30</f>
        <v>556880.83200000005</v>
      </c>
      <c r="D25" s="10">
        <f>+SIM①_月3投稿!G68+D29*D30</f>
        <v>328312.4836841377</v>
      </c>
      <c r="E25" s="10">
        <f>+SIM①_月3投稿!J68+E29*E30</f>
        <v>253430.60488364764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180626.94400000002</v>
      </c>
      <c r="D29" s="91">
        <f>+IF(D10&lt;=30000,0,D10-30000)</f>
        <v>104437.49456137922</v>
      </c>
      <c r="E29" s="91">
        <f>+IF(E10&lt;=30000,0,E10-30000)</f>
        <v>79476.868294549218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topLeftCell="A3" zoomScale="46" zoomScaleNormal="55" workbookViewId="0">
      <selection activeCell="D67" sqref="D67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4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196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0.34100000000000003</v>
      </c>
      <c r="E27" s="47">
        <v>0.34100000000000003</v>
      </c>
      <c r="F27" s="47">
        <f>ROUND(E27*1.02,3)</f>
        <v>0.34799999999999998</v>
      </c>
      <c r="G27" s="47">
        <f>ROUND(F27*1.02,3)</f>
        <v>0.35499999999999998</v>
      </c>
      <c r="H27" s="47">
        <f>ROUND(G27*1.02,3)</f>
        <v>0.36199999999999999</v>
      </c>
      <c r="I27" s="47">
        <f>ROUND(H27*1.02,3)</f>
        <v>0.36899999999999999</v>
      </c>
      <c r="J27" s="47">
        <f>ROUND(I27*1.02,3)</f>
        <v>0.376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52656.736000000004</v>
      </c>
      <c r="E29" s="50">
        <f>+E28*(1-E27)</f>
        <v>53388.001966360003</v>
      </c>
      <c r="F29" s="50">
        <f t="shared" ref="F29:J29" si="8">+F28*(1-F27)</f>
        <v>53544.404692160002</v>
      </c>
      <c r="G29" s="50">
        <f t="shared" si="8"/>
        <v>53689.659628908004</v>
      </c>
      <c r="H29" s="50">
        <f t="shared" si="8"/>
        <v>53823.667327703151</v>
      </c>
      <c r="I29" s="50">
        <f t="shared" si="8"/>
        <v>53946.326864236493</v>
      </c>
      <c r="J29" s="50">
        <f t="shared" si="8"/>
        <v>54057.535819227691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197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6044.9932928000007</v>
      </c>
      <c r="E31" s="63">
        <f>+E29*E30*$P$24*$P$22*$P$23*$P$36</f>
        <v>24387.596587831689</v>
      </c>
      <c r="F31" s="63">
        <f>+F29*F30*$P$24*$P$22*$P$23*$P$36</f>
        <v>24459.041227854945</v>
      </c>
      <c r="G31" s="63">
        <f>+G29*G30*$P$24*$P$22*$P$23*$P$36</f>
        <v>24525.393566757488</v>
      </c>
      <c r="H31" s="63">
        <f>+H29*H30*$P$24*$P$22*$P$23*$P$36*$Q$24</f>
        <v>19669.286541088761</v>
      </c>
      <c r="I31" s="63">
        <f>+I29*I30*$P$24*$P$22*$P$23*$P$36*$Q$24</f>
        <v>19714.111163617403</v>
      </c>
      <c r="J31" s="63">
        <f>+J29*J30*$P$24*$P$22*$P$23*$P$36*$Q$24</f>
        <v>19754.751292955654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210626.94400000002</v>
      </c>
      <c r="E34" s="46">
        <f>+E29*E30*$P$24+E26*E32</f>
        <v>219100.30806544001</v>
      </c>
      <c r="F34" s="46">
        <f>+F29*F30*$P$24+F26*F32</f>
        <v>219725.91896864001</v>
      </c>
      <c r="G34" s="46">
        <f>+G29*G30*$P$24+G26*G32</f>
        <v>220340.94996763204</v>
      </c>
      <c r="H34" s="46">
        <f>+H29*H30*$P$24*$Q$24+H26*H32</f>
        <v>177852.39826517008</v>
      </c>
      <c r="I34" s="46">
        <f>+I29*I30*$P$24*$Q$24+I26*I32</f>
        <v>178279.60366024199</v>
      </c>
      <c r="J34" s="46">
        <f>+J29*J30*$P$24*$Q$24+J26*J32</f>
        <v>178670.51414316069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6165.8931586560011</v>
      </c>
      <c r="E35" s="50">
        <f>+E31+E33+1.05*(E31+E33)</f>
        <v>51443.357553729918</v>
      </c>
      <c r="F35" s="50">
        <f t="shared" ref="F35:J35" si="11">+F31+F33+1.05*(F31+F33)</f>
        <v>51589.819065777585</v>
      </c>
      <c r="G35" s="50">
        <f t="shared" si="11"/>
        <v>51734.722454665185</v>
      </c>
      <c r="H35" s="50">
        <f t="shared" si="11"/>
        <v>41788.672957123061</v>
      </c>
      <c r="I35" s="50">
        <f t="shared" si="11"/>
        <v>41889.623037436322</v>
      </c>
      <c r="J35" s="50">
        <f t="shared" si="11"/>
        <v>41982.08550275059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45" t="s">
        <v>6</v>
      </c>
      <c r="B36" s="6" t="str">
        <f>+C8</f>
        <v>応募</v>
      </c>
      <c r="C36" s="6"/>
      <c r="D36" s="11">
        <v>0</v>
      </c>
      <c r="E36" s="111">
        <f>ROUND(E35*0.004,0)</f>
        <v>206</v>
      </c>
      <c r="F36" s="111">
        <f>ROUND(F35*0.0045,0)</f>
        <v>232</v>
      </c>
      <c r="G36" s="111">
        <f>ROUND(G35*0.0055,0)</f>
        <v>285</v>
      </c>
      <c r="H36" s="111">
        <f>ROUND(H35*0.0065,0)</f>
        <v>272</v>
      </c>
      <c r="I36" s="111">
        <f>ROUND(I35*0.0075,0)</f>
        <v>314</v>
      </c>
      <c r="J36" s="111">
        <f>ROUND(J35*0.009,0)</f>
        <v>378</v>
      </c>
      <c r="K36" s="115">
        <f>SUM(E36:J36)</f>
        <v>1687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2">+SUM(D36:D39)</f>
        <v>0</v>
      </c>
      <c r="E40" s="10">
        <f t="shared" si="12"/>
        <v>206</v>
      </c>
      <c r="F40" s="10">
        <f t="shared" si="12"/>
        <v>232</v>
      </c>
      <c r="G40" s="10">
        <f t="shared" si="12"/>
        <v>285</v>
      </c>
      <c r="H40" s="10">
        <f t="shared" si="12"/>
        <v>272</v>
      </c>
      <c r="I40" s="10">
        <f t="shared" si="12"/>
        <v>314</v>
      </c>
      <c r="J40" s="10">
        <f t="shared" si="12"/>
        <v>378</v>
      </c>
      <c r="K40" s="115">
        <f>SUM(E40:J40)</f>
        <v>1687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4.0044042573396128E-3</v>
      </c>
      <c r="F41" s="18">
        <f t="shared" ref="F41:J41" si="14">+IFERROR(F40/F35,0)</f>
        <v>4.4970113134957393E-3</v>
      </c>
      <c r="G41" s="18">
        <f t="shared" si="14"/>
        <v>5.5088726966640968E-3</v>
      </c>
      <c r="H41" s="18">
        <f t="shared" si="14"/>
        <v>6.5089408385636816E-3</v>
      </c>
      <c r="I41" s="18">
        <f t="shared" si="14"/>
        <v>7.4958898464992504E-3</v>
      </c>
      <c r="J41" s="18">
        <f t="shared" si="14"/>
        <v>9.0038404589318013E-3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567300.92419632</v>
      </c>
      <c r="F44" s="31">
        <f t="shared" ref="F44:J44" si="15">+F75*F76</f>
        <v>569177.75690591999</v>
      </c>
      <c r="G44" s="31">
        <f t="shared" si="15"/>
        <v>571022.84990289609</v>
      </c>
      <c r="H44" s="31">
        <f t="shared" si="15"/>
        <v>443557.19479551027</v>
      </c>
      <c r="I44" s="31">
        <f t="shared" si="15"/>
        <v>444838.81098072598</v>
      </c>
      <c r="J44" s="31">
        <f t="shared" si="15"/>
        <v>446011.5424294821</v>
      </c>
      <c r="K44" s="11"/>
      <c r="L44" s="7"/>
    </row>
    <row r="45" spans="1:17" ht="18" x14ac:dyDescent="0.55000000000000004">
      <c r="A45" s="137" t="s">
        <v>132</v>
      </c>
      <c r="B45" s="138"/>
      <c r="C45" s="104">
        <f>+SUM(C65:C72)</f>
        <v>0</v>
      </c>
      <c r="D45" s="80">
        <f>+SUM(D65:D72)</f>
        <v>265000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8">+E51/E35</f>
        <v>11.902429260314189</v>
      </c>
      <c r="F47" s="28">
        <f t="shared" si="18"/>
        <v>11.905018626307578</v>
      </c>
      <c r="G47" s="28">
        <f t="shared" si="18"/>
        <v>11.907338450355331</v>
      </c>
      <c r="H47" s="28">
        <f t="shared" si="18"/>
        <v>11.69113925433312</v>
      </c>
      <c r="I47" s="28">
        <f t="shared" si="18"/>
        <v>11.693559775960793</v>
      </c>
      <c r="J47" s="28">
        <f>+J51/J35</f>
        <v>11.69573966012984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9">+SUM(E36:E39)/E35</f>
        <v>4.0044042573396128E-3</v>
      </c>
      <c r="F48" s="32">
        <f t="shared" si="19"/>
        <v>4.4970113134957393E-3</v>
      </c>
      <c r="G48" s="32">
        <f t="shared" si="19"/>
        <v>5.5088726966640968E-3</v>
      </c>
      <c r="H48" s="32">
        <f t="shared" si="19"/>
        <v>6.5089408385636816E-3</v>
      </c>
      <c r="I48" s="32">
        <f t="shared" si="19"/>
        <v>7.4958898464992504E-3</v>
      </c>
      <c r="J48" s="32">
        <f t="shared" si="19"/>
        <v>9.0038404589318013E-3</v>
      </c>
      <c r="K48" s="11"/>
      <c r="L48" s="7"/>
    </row>
    <row r="49" spans="1:14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2972.3345834772817</v>
      </c>
      <c r="F49" s="28">
        <f t="shared" ref="F49:J49" si="20">+IFERROR(F51/SUM(F36:F39),0)</f>
        <v>2647.3179176979311</v>
      </c>
      <c r="G49" s="28">
        <f t="shared" si="20"/>
        <v>2161.4836838698106</v>
      </c>
      <c r="H49" s="28">
        <f t="shared" si="20"/>
        <v>1796.1661573364347</v>
      </c>
      <c r="I49" s="28">
        <f t="shared" si="20"/>
        <v>1559.996213314414</v>
      </c>
      <c r="J49" s="28">
        <f t="shared" si="20"/>
        <v>1298.9723344695294</v>
      </c>
      <c r="K49" s="11"/>
      <c r="L49" s="7"/>
    </row>
    <row r="50" spans="1:14" x14ac:dyDescent="0.55000000000000004">
      <c r="A50" s="139" t="s">
        <v>117</v>
      </c>
      <c r="B50" s="140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35" t="s">
        <v>70</v>
      </c>
      <c r="B51" s="136"/>
      <c r="C51" s="110">
        <f>+C45</f>
        <v>0</v>
      </c>
      <c r="D51" s="40">
        <f>+D45</f>
        <v>265000</v>
      </c>
      <c r="E51" s="40">
        <f>SUM(E45,E50)+E44</f>
        <v>612300.92419632</v>
      </c>
      <c r="F51" s="40">
        <f t="shared" ref="F51:I51" si="22">SUM(F45,F50)+F44</f>
        <v>614177.75690591999</v>
      </c>
      <c r="G51" s="40">
        <f t="shared" si="22"/>
        <v>616022.84990289609</v>
      </c>
      <c r="H51" s="40">
        <f t="shared" si="22"/>
        <v>488557.19479551027</v>
      </c>
      <c r="I51" s="40">
        <f t="shared" si="22"/>
        <v>489838.81098072598</v>
      </c>
      <c r="J51" s="40">
        <f>SUM(J45,J50)+J44</f>
        <v>491011.5424294821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37" t="s">
        <v>27</v>
      </c>
      <c r="B54" s="138"/>
      <c r="C54" s="96"/>
      <c r="D54" s="28">
        <f>+D75*D76</f>
        <v>541880.83200000005</v>
      </c>
      <c r="E54" s="28">
        <f t="shared" ref="E54:J54" si="23">+E75*E76</f>
        <v>567300.92419632</v>
      </c>
      <c r="F54" s="28">
        <f t="shared" si="23"/>
        <v>569177.75690591999</v>
      </c>
      <c r="G54" s="28">
        <f t="shared" si="23"/>
        <v>571022.84990289609</v>
      </c>
      <c r="H54" s="28">
        <f t="shared" si="23"/>
        <v>443557.19479551027</v>
      </c>
      <c r="I54" s="28">
        <f t="shared" si="23"/>
        <v>444838.81098072598</v>
      </c>
      <c r="J54" s="28">
        <f t="shared" si="23"/>
        <v>446011.5424294821</v>
      </c>
      <c r="K54" s="11"/>
      <c r="L54" s="7"/>
      <c r="N54" t="s">
        <v>184</v>
      </c>
    </row>
    <row r="55" spans="1:14" hidden="1" x14ac:dyDescent="0.55000000000000004">
      <c r="A55" s="137" t="s">
        <v>132</v>
      </c>
      <c r="B55" s="138"/>
      <c r="C55" s="96"/>
      <c r="D55" s="27">
        <f>+SUM(D65:D72)</f>
        <v>265000</v>
      </c>
      <c r="E55" s="27">
        <f>SUM(E65:E72)+E54</f>
        <v>962300.92419632</v>
      </c>
      <c r="F55" s="27">
        <f t="shared" ref="F55:J55" si="24">SUM(F65:F72)+F54</f>
        <v>964177.75690591999</v>
      </c>
      <c r="G55" s="27">
        <f t="shared" si="24"/>
        <v>966022.84990289609</v>
      </c>
      <c r="H55" s="27">
        <f t="shared" si="24"/>
        <v>838557.19479551027</v>
      </c>
      <c r="I55" s="27">
        <f t="shared" si="24"/>
        <v>839838.81098072603</v>
      </c>
      <c r="J55" s="27">
        <f t="shared" si="24"/>
        <v>841011.5424294821</v>
      </c>
      <c r="K55" s="11"/>
      <c r="L55" s="7"/>
    </row>
    <row r="56" spans="1:14" hidden="1" x14ac:dyDescent="0.55000000000000004">
      <c r="A56" s="137" t="s">
        <v>17</v>
      </c>
      <c r="B56" s="138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18.706028726667899</v>
      </c>
      <c r="F57" s="28">
        <f t="shared" ref="F57:J57" si="26">+F61/F35</f>
        <v>18.689302935460635</v>
      </c>
      <c r="G57" s="28">
        <f t="shared" si="26"/>
        <v>18.672620709416503</v>
      </c>
      <c r="H57" s="28">
        <f t="shared" si="26"/>
        <v>20.066614598073151</v>
      </c>
      <c r="I57" s="28">
        <f t="shared" si="26"/>
        <v>20.04885100613512</v>
      </c>
      <c r="J57" s="28">
        <f t="shared" si="26"/>
        <v>20.032628973955582</v>
      </c>
      <c r="K57" s="11"/>
      <c r="L57" s="7"/>
    </row>
    <row r="58" spans="1:14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7">+SUM(E36:E39)/E35</f>
        <v>4.0044042573396128E-3</v>
      </c>
      <c r="F58" s="32">
        <f t="shared" si="27"/>
        <v>4.4970113134957393E-3</v>
      </c>
      <c r="G58" s="32">
        <f t="shared" si="27"/>
        <v>5.5088726966640968E-3</v>
      </c>
      <c r="H58" s="32">
        <f t="shared" si="27"/>
        <v>6.5089408385636816E-3</v>
      </c>
      <c r="I58" s="32">
        <f t="shared" si="27"/>
        <v>7.4958898464992504E-3</v>
      </c>
      <c r="J58" s="32">
        <f t="shared" si="27"/>
        <v>9.0038404589318013E-3</v>
      </c>
      <c r="K58" s="11"/>
      <c r="L58" s="7"/>
    </row>
    <row r="59" spans="1:14" hidden="1" x14ac:dyDescent="0.55000000000000004">
      <c r="A59" s="139" t="s">
        <v>19</v>
      </c>
      <c r="B59" s="140"/>
      <c r="C59" s="97"/>
      <c r="D59" s="28"/>
      <c r="E59" s="28">
        <f>+IFERROR(E55/E40,0)</f>
        <v>4671.3637096908742</v>
      </c>
      <c r="F59" s="28">
        <f t="shared" ref="F59:J59" si="28">+IFERROR(F55/F40,0)</f>
        <v>4155.9386073531032</v>
      </c>
      <c r="G59" s="28">
        <f t="shared" si="28"/>
        <v>3389.5538593084075</v>
      </c>
      <c r="H59" s="28">
        <f t="shared" si="28"/>
        <v>3082.9308632187876</v>
      </c>
      <c r="I59" s="28">
        <f t="shared" si="28"/>
        <v>2674.6458948430763</v>
      </c>
      <c r="J59" s="28">
        <f t="shared" si="28"/>
        <v>2224.8982603954555</v>
      </c>
      <c r="K59" s="11"/>
      <c r="L59" s="7"/>
    </row>
    <row r="60" spans="1:14" hidden="1" x14ac:dyDescent="0.55000000000000004">
      <c r="A60" s="139" t="s">
        <v>117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35" t="s">
        <v>70</v>
      </c>
      <c r="B61" s="136"/>
      <c r="C61" s="98"/>
      <c r="D61" s="40">
        <f>+D55</f>
        <v>265000</v>
      </c>
      <c r="E61" s="40">
        <f>+SUM(E65:E72)+E54</f>
        <v>962300.92419632</v>
      </c>
      <c r="F61" s="40">
        <f t="shared" ref="F61:J61" si="29">+SUM(F65:F72)+F54</f>
        <v>964177.75690591999</v>
      </c>
      <c r="G61" s="40">
        <f t="shared" si="29"/>
        <v>966022.84990289609</v>
      </c>
      <c r="H61" s="40">
        <f t="shared" si="29"/>
        <v>838557.19479551027</v>
      </c>
      <c r="I61" s="40">
        <f t="shared" si="29"/>
        <v>839838.81098072603</v>
      </c>
      <c r="J61" s="40">
        <f t="shared" si="29"/>
        <v>841011.5424294821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250000</v>
      </c>
      <c r="E69" s="28">
        <v>350000</v>
      </c>
      <c r="F69" s="28">
        <v>350000</v>
      </c>
      <c r="G69" s="28">
        <v>350000</v>
      </c>
      <c r="H69" s="28">
        <v>350000</v>
      </c>
      <c r="I69" s="28">
        <v>350000</v>
      </c>
      <c r="J69" s="28">
        <v>350000</v>
      </c>
      <c r="N69" s="69" t="s">
        <v>199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265000</v>
      </c>
      <c r="E73" s="114">
        <f t="shared" ref="E73:J73" si="31">SUM(E65:E72)+E54</f>
        <v>962300.92419632</v>
      </c>
      <c r="F73" s="114">
        <f t="shared" si="31"/>
        <v>964177.75690591999</v>
      </c>
      <c r="G73" s="114">
        <f t="shared" si="31"/>
        <v>966022.84990289609</v>
      </c>
      <c r="H73" s="114">
        <f t="shared" si="31"/>
        <v>838557.19479551027</v>
      </c>
      <c r="I73" s="114">
        <f t="shared" si="31"/>
        <v>839838.81098072603</v>
      </c>
      <c r="J73" s="114">
        <f t="shared" si="31"/>
        <v>841011.5424294821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180626.94400000002</v>
      </c>
      <c r="E75" s="41">
        <f t="shared" si="32"/>
        <v>189100.30806544001</v>
      </c>
      <c r="F75" s="41">
        <f t="shared" si="32"/>
        <v>189725.91896864001</v>
      </c>
      <c r="G75" s="41">
        <f t="shared" si="32"/>
        <v>190340.94996763204</v>
      </c>
      <c r="H75" s="41">
        <f t="shared" si="32"/>
        <v>147852.39826517008</v>
      </c>
      <c r="I75" s="41">
        <f t="shared" si="32"/>
        <v>148279.60366024199</v>
      </c>
      <c r="J75" s="41">
        <f t="shared" si="32"/>
        <v>148670.51414316069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+SIM②_月5投稿!D24</f>
        <v>--</v>
      </c>
      <c r="D4" s="28">
        <f>+SIM②_月5投稿!G51</f>
        <v>616022.84990289609</v>
      </c>
      <c r="E4" s="28">
        <f>+SIM②_月5投稿!J51</f>
        <v>491011.5424294821</v>
      </c>
      <c r="F4" s="28"/>
    </row>
    <row r="5" spans="1:25" x14ac:dyDescent="0.55000000000000004">
      <c r="A5" s="85" t="s">
        <v>141</v>
      </c>
      <c r="B5" s="7"/>
      <c r="C5" s="86" t="str">
        <f>+SIM②_月5投稿!D25</f>
        <v>--</v>
      </c>
      <c r="D5" s="28">
        <f>+SIM②_月5投稿!G61</f>
        <v>966022.84990289609</v>
      </c>
      <c r="E5" s="28">
        <f>+SIM②_月5投稿!J61</f>
        <v>841011.5424294821</v>
      </c>
      <c r="F5" s="27"/>
    </row>
    <row r="6" spans="1:25" x14ac:dyDescent="0.55000000000000004">
      <c r="A6" s="85" t="s">
        <v>76</v>
      </c>
      <c r="B6" s="7"/>
      <c r="C6" s="117">
        <f>+SIM②_月5投稿!D28</f>
        <v>79904</v>
      </c>
      <c r="D6" s="87">
        <f>+SIM②_月5投稿!G28</f>
        <v>83239.782370400004</v>
      </c>
      <c r="E6" s="87">
        <f>+SIM②_月5投稿!J28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+SIM②_月5投稿!D27</f>
        <v>0.34100000000000003</v>
      </c>
      <c r="D7" s="89">
        <f>+SIM②_月5投稿!G27</f>
        <v>0.35499999999999998</v>
      </c>
      <c r="E7" s="89">
        <f>+SIM②_月5投稿!J27</f>
        <v>0.376</v>
      </c>
      <c r="F7" s="89"/>
    </row>
    <row r="8" spans="1:25" x14ac:dyDescent="0.55000000000000004">
      <c r="A8" s="85" t="s">
        <v>78</v>
      </c>
      <c r="B8" s="7"/>
      <c r="C8" s="117">
        <f>+SIM②_月5投稿!D29</f>
        <v>52656.736000000004</v>
      </c>
      <c r="D8" s="10">
        <f>+SIM②_月5投稿!G29</f>
        <v>53689.659628908004</v>
      </c>
      <c r="E8" s="10">
        <f>+SIM②_月5投稿!J29</f>
        <v>54057.535819227691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  <v>210626.94400000002</v>
      </c>
      <c r="D10" s="10">
        <f>+SIM②_月5投稿!G34</f>
        <v>220340.94996763204</v>
      </c>
      <c r="E10" s="10">
        <f>+SIM②_月5投稿!J34</f>
        <v>178670.51414316069</v>
      </c>
      <c r="F10" s="10"/>
    </row>
    <row r="11" spans="1:25" x14ac:dyDescent="0.55000000000000004">
      <c r="A11" s="85" t="s">
        <v>81</v>
      </c>
      <c r="B11" s="7"/>
      <c r="C11" s="117">
        <f>+SIM②_月5投稿!D35</f>
        <v>6165.8931586560011</v>
      </c>
      <c r="D11" s="10">
        <f>+SIM②_月5投稿!G35</f>
        <v>51734.722454665185</v>
      </c>
      <c r="E11" s="10">
        <f>+SIM②_月5投稿!J35</f>
        <v>41982.08550275059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11.907338450355331</v>
      </c>
      <c r="E12" s="28">
        <f t="shared" ref="E12" si="0">+E4/E11</f>
        <v>11.69573966012984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18.672620709416503</v>
      </c>
      <c r="E13" s="28">
        <f t="shared" ref="E13" si="1">+E5/E11</f>
        <v>20.032628973955582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+SIM②_月5投稿!D16</f>
        <v>400</v>
      </c>
      <c r="D15" s="87">
        <f>+SIM②_月5投稿!G16</f>
        <v>400</v>
      </c>
      <c r="E15" s="87">
        <f>+SIM②_月5投稿!J16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285</v>
      </c>
      <c r="E16" s="87">
        <f>+E17</f>
        <v>378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+SIM②_月5投稿!D36</f>
        <v>0</v>
      </c>
      <c r="D17" s="87">
        <f>+SIM②_月5投稿!G36</f>
        <v>285</v>
      </c>
      <c r="E17" s="87">
        <f>+SIM②_月5投稿!J36</f>
        <v>378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  <v>0</v>
      </c>
      <c r="D18" s="87">
        <f>+SIM②_月5投稿!G37</f>
        <v>0</v>
      </c>
      <c r="E18" s="87">
        <f>+SIM②_月5投稿!J37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  <v>0</v>
      </c>
      <c r="D19" s="87">
        <f>+SIM②_月5投稿!G38</f>
        <v>0</v>
      </c>
      <c r="E19" s="87">
        <f>+SIM②_月5投稿!J38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  <v>0</v>
      </c>
      <c r="D20" s="87">
        <f>+SIM②_月5投稿!G39</f>
        <v>0</v>
      </c>
      <c r="E20" s="87">
        <f>+SIM②_月5投稿!J39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2161.4836838698106</v>
      </c>
      <c r="E22" s="90">
        <f t="shared" si="2"/>
        <v>1298.9723344695294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3389.5538593084075</v>
      </c>
      <c r="E23" s="90">
        <f t="shared" ref="E23" si="4">+IFERROR(E5/E16,"--")</f>
        <v>2224.8982603954555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  <v>556880.83200000005</v>
      </c>
      <c r="D25" s="10">
        <f>+SIM②_月5投稿!G68+D29*D30</f>
        <v>586022.84990289609</v>
      </c>
      <c r="E25" s="10">
        <f>+SIM②_月5投稿!J68+E29*E30</f>
        <v>461011.5424294821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180626.94400000002</v>
      </c>
      <c r="D29" s="91">
        <f>+IF(D10&lt;=30000,0,D10-30000)</f>
        <v>190340.94996763204</v>
      </c>
      <c r="E29" s="91">
        <f>+IF(E10&lt;=30000,0,E10-30000)</f>
        <v>148670.51414316069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SIM①_月3投稿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2026-10-28T10:25:37Z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
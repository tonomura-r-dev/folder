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A53ED74B-4FDE-4FF6-A2B3-58EF69870AA3}" xr6:coauthVersionLast="47" xr6:coauthVersionMax="47" xr10:uidLastSave="{00000000-0000-0000-0000-000000000000}"/>
  <bookViews>
    <workbookView xWindow="-13380" yWindow="-16320" windowWidth="29040" windowHeight="15720" activeTab="2" xr2:uid="{02433765-3560-48F5-BC99-B30FC64129A4}"/>
  </bookViews>
  <sheets>
    <sheet name="SIM①_月4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Q33" i="3"/>
  <c r="Q32" i="3"/>
  <c r="D29" i="3"/>
  <c r="D34" i="3" s="1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P36" i="3"/>
  <c r="C23" i="4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 s="1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E29" i="3"/>
  <c r="E56" i="3"/>
  <c r="E46" i="3"/>
  <c r="D76" i="1"/>
  <c r="D54" i="1" s="1"/>
  <c r="G23" i="1"/>
  <c r="F26" i="1"/>
  <c r="E29" i="1"/>
  <c r="E46" i="1"/>
  <c r="E56" i="1"/>
  <c r="F33" i="3" l="1"/>
  <c r="F28" i="3"/>
  <c r="H23" i="3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4" i="1"/>
  <c r="F33" i="1"/>
  <c r="F28" i="1"/>
  <c r="I23" i="3" l="1"/>
  <c r="H26" i="3"/>
  <c r="H33" i="3" s="1"/>
  <c r="F31" i="3"/>
  <c r="F35" i="3" s="1"/>
  <c r="F34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68" i="3"/>
  <c r="F45" i="3" s="1"/>
  <c r="F75" i="3"/>
  <c r="E40" i="3"/>
  <c r="E50" i="3"/>
  <c r="C25" i="4"/>
  <c r="E45" i="3"/>
  <c r="E76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E44" i="3" l="1"/>
  <c r="E51" i="3" s="1"/>
  <c r="E54" i="3"/>
  <c r="F40" i="3"/>
  <c r="F41" i="3" s="1"/>
  <c r="F50" i="3"/>
  <c r="F76" i="3"/>
  <c r="E41" i="3"/>
  <c r="E41" i="1"/>
  <c r="F48" i="1"/>
  <c r="F58" i="1"/>
  <c r="F68" i="1"/>
  <c r="F45" i="1" s="1"/>
  <c r="F75" i="1"/>
  <c r="I28" i="1"/>
  <c r="H29" i="1"/>
  <c r="H46" i="1"/>
  <c r="H56" i="1"/>
  <c r="G31" i="1"/>
  <c r="G35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E47" i="3" l="1"/>
  <c r="E49" i="3"/>
  <c r="E61" i="3"/>
  <c r="E57" i="3" s="1"/>
  <c r="E55" i="3"/>
  <c r="E59" i="3" s="1"/>
  <c r="E73" i="3"/>
  <c r="F50" i="1"/>
  <c r="F40" i="1"/>
  <c r="F76" i="1"/>
  <c r="J28" i="1"/>
  <c r="I29" i="1"/>
  <c r="I46" i="1"/>
  <c r="I56" i="1"/>
  <c r="H31" i="1"/>
  <c r="H35" i="1" s="1"/>
  <c r="H34" i="1"/>
  <c r="D11" i="2"/>
  <c r="G68" i="1"/>
  <c r="D10" i="2"/>
  <c r="D29" i="2" s="1"/>
  <c r="D30" i="2" s="1"/>
  <c r="G75" i="1"/>
  <c r="G58" i="3"/>
  <c r="G4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1" i="1"/>
  <c r="J29" i="1"/>
  <c r="J46" i="1"/>
  <c r="J56" i="1"/>
  <c r="E6" i="2"/>
  <c r="I31" i="1"/>
  <c r="I35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J29" i="3"/>
  <c r="J46" i="3"/>
  <c r="J56" i="3"/>
  <c r="E6" i="4"/>
  <c r="I31" i="3"/>
  <c r="I35" i="3" s="1"/>
  <c r="I34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G54" i="3" l="1"/>
  <c r="G44" i="3"/>
  <c r="G51" i="3" s="1"/>
  <c r="F47" i="1"/>
  <c r="F49" i="1"/>
  <c r="F61" i="1"/>
  <c r="F57" i="1" s="1"/>
  <c r="F73" i="1"/>
  <c r="F55" i="1"/>
  <c r="F59" i="1" s="1"/>
  <c r="G51" i="1"/>
  <c r="G49" i="1" s="1"/>
  <c r="J31" i="1"/>
  <c r="J35" i="1" s="1"/>
  <c r="J36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J31" i="3"/>
  <c r="J35" i="3" s="1"/>
  <c r="J34" i="3"/>
  <c r="E8" i="4"/>
  <c r="I68" i="3"/>
  <c r="I45" i="3" s="1"/>
  <c r="I75" i="3"/>
  <c r="H40" i="3"/>
  <c r="H50" i="3"/>
  <c r="H76" i="3"/>
  <c r="G41" i="1"/>
  <c r="H58" i="3"/>
  <c r="H48" i="3"/>
  <c r="G61" i="3" l="1"/>
  <c r="G73" i="3"/>
  <c r="G55" i="3"/>
  <c r="G59" i="3" s="1"/>
  <c r="D4" i="4"/>
  <c r="G47" i="3"/>
  <c r="G49" i="3"/>
  <c r="I48" i="3"/>
  <c r="I58" i="3"/>
  <c r="H54" i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D5" i="2"/>
  <c r="G57" i="1"/>
  <c r="D5" i="4"/>
  <c r="G57" i="3"/>
  <c r="E11" i="4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H61" i="1" l="1"/>
  <c r="H57" i="1" s="1"/>
  <c r="H73" i="1"/>
  <c r="H55" i="1"/>
  <c r="H59" i="1" s="1"/>
  <c r="D12" i="4"/>
  <c r="D22" i="4"/>
  <c r="I44" i="1"/>
  <c r="I51" i="1" s="1"/>
  <c r="I54" i="1"/>
  <c r="H47" i="1"/>
  <c r="H49" i="1"/>
  <c r="D12" i="2"/>
  <c r="D22" i="2"/>
  <c r="J50" i="1"/>
  <c r="J40" i="1"/>
  <c r="E17" i="2"/>
  <c r="E16" i="2" s="1"/>
  <c r="E25" i="2"/>
  <c r="J45" i="1"/>
  <c r="J76" i="1"/>
  <c r="I41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J44" i="3" l="1"/>
  <c r="J51" i="3" s="1"/>
  <c r="J54" i="3"/>
  <c r="I47" i="1"/>
  <c r="I49" i="1"/>
  <c r="J41" i="1"/>
  <c r="K40" i="1"/>
  <c r="J54" i="1"/>
  <c r="J61" i="1" s="1"/>
  <c r="J44" i="1"/>
  <c r="J51" i="1" s="1"/>
  <c r="J73" i="1"/>
  <c r="J55" i="1"/>
  <c r="J59" i="1" s="1"/>
  <c r="K40" i="3"/>
  <c r="J41" i="3"/>
  <c r="E4" i="4" l="1"/>
  <c r="J47" i="3"/>
  <c r="J49" i="3"/>
  <c r="J61" i="3"/>
  <c r="J73" i="3"/>
  <c r="J55" i="3"/>
  <c r="J59" i="3" s="1"/>
  <c r="E4" i="2"/>
  <c r="J47" i="1"/>
  <c r="J49" i="1"/>
  <c r="E5" i="2"/>
  <c r="J57" i="1"/>
  <c r="E5" i="4"/>
  <c r="J57" i="3"/>
  <c r="E22" i="4" l="1"/>
  <c r="E12" i="4"/>
  <c r="E12" i="2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<sst xmlns="http://schemas.openxmlformats.org/spreadsheetml/2006/main" count="507" uniqueCount="201">
  <si>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</si>
  <si>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</si>
  <si>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</si>
  <si>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</si>
  <si>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</si>
  <si>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</si>
  <si>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</si>
  <si>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</si>
  <si>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</si>
  <si>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</si>
  <si>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</si>
  <si>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</si>
  <si>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</si>
  <si>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</si>
  <si>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</si>
  <si>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</si>
  <si>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</si>
  <si>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</si>
  <si>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</si>
  <si>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</si>
  <si>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</si>
  <si>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</si>
  <si>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</si>
  <si>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</si>
  <si>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</si>
  <si>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</si>
  <si>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</si>
  <si>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</si>
  <si>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</si>
  <si>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</si>
  <si>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</si>
  <si>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</si>
  <si>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</si>
  <si>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</si>
  <si>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</si>
  <si>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</si>
  <si>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</si>
  <si>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</si>
  <si>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</si>
  <si>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</si>
  <si>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</si>
  <si>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</si>
  <si>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</si>
  <si>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</si>
  <si>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</si>
  <si>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</si>
  <si>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</si>
  <si>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</si>
  <si>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</si>
  <si>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</si>
  <si>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</si>
  <si>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</si>
  <si>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</si>
  <si>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</si>
  <si>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</si>
  <si>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</si>
  <si>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</si>
  <si>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</si>
  <si>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</si>
  <si>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</si>
  <si>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</si>
  <si>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</si>
  <si>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</si>
  <si>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</si>
  <si>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</si>
  <si>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</si>
  <si>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</si>
  <si>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</si>
  <si>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</si>
  <si>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</si>
  <si>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</si>
  <si>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</si>
  <si>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</si>
  <si>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</si>
  <si>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</si>
  <si>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</si>
  <si>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</si>
  <si>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</si>
  <si>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</si>
  <si>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</si>
  <si>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</si>
  <si>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</si>
  <si>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</si>
  <si>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</si>
  <si>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</si>
  <si>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</si>
  <si>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</si>
  <si>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</si>
  <si>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</si>
  <si>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</si>
  <si>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</si>
  <si>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</si>
  <si>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</si>
  <si>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</si>
  <si>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</si>
  <si>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</si>
  <si>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</si>
  <si>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</si>
  <si>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</si>
  <si>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</si>
  <si>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</si>
  <si>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</si>
  <si>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</si>
  <si>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</si>
  <si>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</si>
  <si>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</si>
  <si>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</si>
  <si>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</si>
  <si>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</si>
  <si>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</si>
  <si>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</si>
  <si>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</si>
  <si>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</si>
  <si>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</si>
  <si>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</si>
  <si>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</si>
  <si>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</si>
  <si>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</si>
  <si>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</si>
  <si>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</si>
  <si>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</si>
  <si>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</si>
  <si>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</si>
  <si>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</si>
  <si>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</si>
  <si>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</si>
  <si>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</si>
  <si>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</si>
  <si>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</si>
  <si>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</si>
  <si>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</si>
  <si>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</si>
  <si>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</si>
  <si>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</si>
  <si>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</si>
  <si>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</si>
  <si>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</si>
  <si>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</si>
  <si>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</si>
  <si>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</si>
  <si>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</si>
  <si>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</si>
  <si>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</si>
  <si>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</si>
  <si>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</si>
  <si>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</si>
  <si>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</si>
  <si>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</si>
  <si>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</si>
  <si>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</si>
  <si>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</si>
  <si>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</si>
  <si>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</si>
  <si>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</si>
  <si>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</si>
  <si>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</si>
  <si>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</si>
  <si>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</si>
  <si>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</si>
  <si>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</si>
  <si>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</si>
  <si>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</si>
  <si>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</si>
  <si>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</si>
  <si>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</si>
  <si>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</si>
  <si>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</si>
  <si>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</si>
  <si>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</si>
  <si>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</si>
  <si>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</si>
  <si>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</si>
  <si>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</si>
  <si>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</si>
  <si>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</si>
  <si>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</si>
  <si>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</si>
  <si>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</si>
  <si>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</si>
  <si>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</si>
  <si>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月4本（開始時期・エリア別に出し分け。対象は有効な友だちの80%、4か月目から反応しない方を外してさらに8割）。今は週1回（月4本）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</si>
  <si>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</si>
  <si>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</si>
  <si>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</si>
  <si>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</si>
  <si>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</si>
  <si>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</si>
  <si>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</si>
  <si>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</si>
  <si>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</si>
  <si>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</si>
  <si>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LINE運用コンサル：初期15万円（運用設計・構築）・月額20万円（ポップアップは別に初期1.5万円・月額3万円）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</si>
  <si>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</si>
  <si>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</si>
  <si>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</si>
  <si>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</si>
  <si>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</si>
  <si>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</si>
  <si>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</si>
  <si>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LINE運用コンサル：初期20万円（運用設計・構築）・月額30万円（ポップアップは別に初期1.5万円・月額3万円）</t>
  </si>
  <si>
    <t>株式会社ワクトリ御中_LINEOA施策提案【SIM】プラン①（月4投稿）：ポップアップ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</si>
</sst>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opLeftCell="A22" zoomScale="73" zoomScaleNormal="55" workbookViewId="0">
      <selection activeCell="H52" sqref="H52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200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4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176</v>
      </c>
      <c r="O24" s="22" t="s">
        <v>44</v>
      </c>
      <c r="P24" s="77">
        <v>0.7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4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180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+D30*D29*0.75*0.41*0.07</f>
        <v>3983.3662175999998</v>
      </c>
      <c r="E31" s="63">
        <f>+E29*E30*$P$24*$P$22*$P$23*$P$36</f>
        <v>14998.927006142918</v>
      </c>
      <c r="F31" s="63">
        <f>+F29*F30*$P$24*$P$22*$P$23*$P$36</f>
        <v>14994.292605481018</v>
      </c>
      <c r="G31" s="63">
        <f>+G29*G30*$P$24*$P$22*$P$23*$P$36</f>
        <v>14958.588882422317</v>
      </c>
      <c r="H31" s="63">
        <f>+H29*H30*$P$24*$P$22*$P$23*$P$36*$Q$24</f>
        <v>11934.139216387865</v>
      </c>
      <c r="I31" s="63">
        <f>+I29*I30*$P$24*$P$22*$P$23*$P$36*$Q$24</f>
        <v>11897.200524731392</v>
      </c>
      <c r="J31" s="63">
        <f>+J29*J30*$P$24*$P$22*$P$23*$P$36*$Q$24</f>
        <v>11856.016601301106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+D29*D30*0.75</f>
        <v>138793.24799999999</v>
      </c>
      <c r="E34" s="46">
        <f>+E29*E30*$P$24+E26*E32</f>
        <v>136887.64585684799</v>
      </c>
      <c r="F34" s="46">
        <f>+F29*F30*$P$24+F26*F32</f>
        <v>136847.064343904</v>
      </c>
      <c r="G34" s="46">
        <f>+G29*G30*$P$24+G26*G32</f>
        <v>136568.43299006144</v>
      </c>
      <c r="H34" s="46">
        <f>+H29*H30*$P$24*$Q$24+H26*H32</f>
        <v>110118.9405471978</v>
      </c>
      <c r="I34" s="46">
        <f>+I29*I30*$P$24*$Q$24+I26*I32</f>
        <v>109830.17871478669</v>
      </c>
      <c r="J34" s="46">
        <f>+J29*J30*$P$24*$Q$24+J26*J32</f>
        <v>109504.59010778982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4063.0335419519997</v>
      </c>
      <c r="E35" s="50">
        <f>+E31+E33+1.05*(E31+E33)</f>
        <v>32196.584911267928</v>
      </c>
      <c r="F35" s="50">
        <f t="shared" ref="F35:J35" si="11">+F31+F33+1.05*(F31+F33)</f>
        <v>32187.084389911033</v>
      </c>
      <c r="G35" s="50">
        <f t="shared" si="11"/>
        <v>32122.772851778085</v>
      </c>
      <c r="H35" s="50">
        <f t="shared" si="11"/>
        <v>25931.620941486217</v>
      </c>
      <c r="I35" s="50">
        <f t="shared" si="11"/>
        <v>25864.956227720002</v>
      </c>
      <c r="J35" s="50">
        <f t="shared" si="11"/>
        <v>25789.679384858762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45" t="s">
        <v>6</v>
      </c>
      <c r="B36" s="6" t="str">
        <f>+C8</f>
        <v>応募</v>
      </c>
      <c r="C36" s="6"/>
      <c r="D36" s="11">
        <v>0</v>
      </c>
      <c r="E36" s="111">
        <v>142</v>
      </c>
      <c r="F36" s="111">
        <v>157</v>
      </c>
      <c r="G36" s="111">
        <v>181</v>
      </c>
      <c r="H36" s="111">
        <v>175</v>
      </c>
      <c r="I36" s="111">
        <v>206</v>
      </c>
      <c r="J36" s="111">
        <f>ROUND(J35*0.009,0)</f>
        <v>232</v>
      </c>
      <c r="K36" s="115">
        <f>SUM(E36:J36)</f>
        <v>1093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2">+SUM(D36:D39)</f>
        <v>0</v>
      </c>
      <c r="E40" s="10">
        <f t="shared" si="12"/>
        <v>142</v>
      </c>
      <c r="F40" s="10">
        <f t="shared" si="12"/>
        <v>157</v>
      </c>
      <c r="G40" s="10">
        <f t="shared" si="12"/>
        <v>181</v>
      </c>
      <c r="H40" s="10">
        <f t="shared" si="12"/>
        <v>175</v>
      </c>
      <c r="I40" s="10">
        <f t="shared" si="12"/>
        <v>206</v>
      </c>
      <c r="J40" s="10">
        <f t="shared" si="12"/>
        <v>232</v>
      </c>
      <c r="K40" s="115">
        <f>SUM(E40:J40)</f>
        <v>1093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4.4104056498956157E-3</v>
      </c>
      <c r="F41" s="18">
        <f t="shared" ref="F41:J41" si="14">+IFERROR(F40/F35,0)</f>
        <v>4.8777328849708207E-3</v>
      </c>
      <c r="G41" s="18">
        <f t="shared" si="14"/>
        <v>5.63463188047856E-3</v>
      </c>
      <c r="H41" s="18">
        <f t="shared" si="14"/>
        <v>6.7485175876541344E-3</v>
      </c>
      <c r="I41" s="18">
        <f t="shared" si="14"/>
        <v>7.9644441763727248E-3</v>
      </c>
      <c r="J41" s="18">
        <f t="shared" si="14"/>
        <v>8.9958466151466871E-3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320662.93757054396</v>
      </c>
      <c r="F44" s="31">
        <f t="shared" ref="F44:J44" si="15">+F75*F76</f>
        <v>320541.19303171197</v>
      </c>
      <c r="G44" s="31">
        <f t="shared" si="15"/>
        <v>319705.29897018429</v>
      </c>
      <c r="H44" s="31">
        <f t="shared" si="15"/>
        <v>240356.82164159339</v>
      </c>
      <c r="I44" s="31">
        <f t="shared" si="15"/>
        <v>239490.53614436006</v>
      </c>
      <c r="J44" s="31">
        <f t="shared" si="15"/>
        <v>238513.77032336945</v>
      </c>
      <c r="K44" s="11"/>
      <c r="L44" s="7"/>
    </row>
    <row r="45" spans="1:17" ht="18" x14ac:dyDescent="0.55000000000000004">
      <c r="A45" s="137" t="s">
        <v>132</v>
      </c>
      <c r="B45" s="138"/>
      <c r="C45" s="104">
        <f>+SUM(C65:C72)</f>
        <v>0</v>
      </c>
      <c r="D45" s="80">
        <f>+SUM(D65:D72)</f>
        <v>165000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8">+E51/E35</f>
        <v>11.357196379003907</v>
      </c>
      <c r="F47" s="28">
        <f t="shared" si="18"/>
        <v>11.356766229695847</v>
      </c>
      <c r="G47" s="28">
        <f t="shared" si="18"/>
        <v>11.353481240645664</v>
      </c>
      <c r="H47" s="28">
        <f t="shared" si="18"/>
        <v>11.004203026316439</v>
      </c>
      <c r="I47" s="28">
        <f t="shared" si="18"/>
        <v>10.999072785573315</v>
      </c>
      <c r="J47" s="28">
        <f>+J51/J35</f>
        <v>10.993303409961026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9">+SUM(E36:E39)/E35</f>
        <v>4.4104056498956157E-3</v>
      </c>
      <c r="F48" s="32">
        <f t="shared" si="19"/>
        <v>4.8777328849708207E-3</v>
      </c>
      <c r="G48" s="32">
        <f t="shared" si="19"/>
        <v>5.63463188047856E-3</v>
      </c>
      <c r="H48" s="32">
        <f t="shared" si="19"/>
        <v>6.7485175876541344E-3</v>
      </c>
      <c r="I48" s="32">
        <f t="shared" si="19"/>
        <v>7.9644441763727248E-3</v>
      </c>
      <c r="J48" s="32">
        <f t="shared" si="19"/>
        <v>8.9958466151466871E-3</v>
      </c>
      <c r="K48" s="11"/>
      <c r="L48" s="7"/>
    </row>
    <row r="49" spans="1:14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2575.0911096517179</v>
      </c>
      <c r="F49" s="28">
        <f t="shared" ref="F49:J49" si="20">+IFERROR(F51/SUM(F36:F39),0)</f>
        <v>2328.287853705172</v>
      </c>
      <c r="G49" s="28">
        <f t="shared" si="20"/>
        <v>2014.9464031501896</v>
      </c>
      <c r="H49" s="28">
        <f t="shared" si="20"/>
        <v>1630.6104093805334</v>
      </c>
      <c r="I49" s="28">
        <f t="shared" si="20"/>
        <v>1381.0220201182528</v>
      </c>
      <c r="J49" s="28">
        <f t="shared" si="20"/>
        <v>1222.0421134627993</v>
      </c>
      <c r="K49" s="11"/>
      <c r="L49" s="7"/>
    </row>
    <row r="50" spans="1:14" x14ac:dyDescent="0.55000000000000004">
      <c r="A50" s="139" t="s">
        <v>117</v>
      </c>
      <c r="B50" s="140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35" t="s">
        <v>70</v>
      </c>
      <c r="B51" s="136"/>
      <c r="C51" s="110">
        <f>+C45</f>
        <v>0</v>
      </c>
      <c r="D51" s="40">
        <f>+D45</f>
        <v>165000</v>
      </c>
      <c r="E51" s="40">
        <f>SUM(E45,E50)+E44</f>
        <v>365662.93757054396</v>
      </c>
      <c r="F51" s="40">
        <f t="shared" ref="F51:I51" si="22">SUM(F45,F50)+F44</f>
        <v>365541.19303171197</v>
      </c>
      <c r="G51" s="40">
        <f t="shared" si="22"/>
        <v>364705.29897018429</v>
      </c>
      <c r="H51" s="40">
        <f t="shared" si="22"/>
        <v>285356.82164159336</v>
      </c>
      <c r="I51" s="40">
        <f t="shared" si="22"/>
        <v>284490.53614436009</v>
      </c>
      <c r="J51" s="40">
        <f>SUM(J45,J50)+J44</f>
        <v>283513.77032336942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37" t="s">
        <v>27</v>
      </c>
      <c r="B54" s="138"/>
      <c r="C54" s="96"/>
      <c r="D54" s="28">
        <f>+D75*D76</f>
        <v>326379.74399999995</v>
      </c>
      <c r="E54" s="28">
        <f t="shared" ref="E54:J54" si="23">+E75*E76</f>
        <v>320662.93757054396</v>
      </c>
      <c r="F54" s="28">
        <f t="shared" si="23"/>
        <v>320541.19303171197</v>
      </c>
      <c r="G54" s="28">
        <f t="shared" si="23"/>
        <v>319705.29897018429</v>
      </c>
      <c r="H54" s="28">
        <f t="shared" si="23"/>
        <v>240356.82164159339</v>
      </c>
      <c r="I54" s="28">
        <f t="shared" si="23"/>
        <v>239490.53614436006</v>
      </c>
      <c r="J54" s="28">
        <f t="shared" si="23"/>
        <v>238513.77032336945</v>
      </c>
      <c r="K54" s="11"/>
      <c r="L54" s="7"/>
      <c r="N54" t="s">
        <v>184</v>
      </c>
    </row>
    <row r="55" spans="1:14" hidden="1" x14ac:dyDescent="0.55000000000000004">
      <c r="A55" s="137" t="s">
        <v>132</v>
      </c>
      <c r="B55" s="138"/>
      <c r="C55" s="96"/>
      <c r="D55" s="27">
        <f>+SUM(D65:D72)</f>
        <v>165000</v>
      </c>
      <c r="E55" s="27">
        <f>SUM(E65:E72)+E54</f>
        <v>565662.93757054396</v>
      </c>
      <c r="F55" s="27">
        <f t="shared" ref="F55:J55" si="24">SUM(F65:F72)+F54</f>
        <v>565541.19303171197</v>
      </c>
      <c r="G55" s="27">
        <f t="shared" si="24"/>
        <v>564705.29897018429</v>
      </c>
      <c r="H55" s="27">
        <f t="shared" si="24"/>
        <v>485356.82164159336</v>
      </c>
      <c r="I55" s="27">
        <f t="shared" si="24"/>
        <v>484490.53614436009</v>
      </c>
      <c r="J55" s="27">
        <f t="shared" si="24"/>
        <v>483513.77032336942</v>
      </c>
      <c r="K55" s="11"/>
      <c r="L55" s="7"/>
    </row>
    <row r="56" spans="1:14" hidden="1" x14ac:dyDescent="0.55000000000000004">
      <c r="A56" s="137" t="s">
        <v>17</v>
      </c>
      <c r="B56" s="138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17.569035322518861</v>
      </c>
      <c r="F57" s="28">
        <f t="shared" ref="F57:J57" si="26">+F61/F35</f>
        <v>17.570438694626827</v>
      </c>
      <c r="G57" s="28">
        <f t="shared" si="26"/>
        <v>17.579593815760095</v>
      </c>
      <c r="H57" s="28">
        <f t="shared" si="26"/>
        <v>18.71679455506402</v>
      </c>
      <c r="I57" s="28">
        <f t="shared" si="26"/>
        <v>18.731542859721589</v>
      </c>
      <c r="J57" s="28">
        <f t="shared" si="26"/>
        <v>18.74834359543231</v>
      </c>
      <c r="K57" s="11"/>
      <c r="L57" s="7"/>
    </row>
    <row r="58" spans="1:14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7">+SUM(E36:E39)/E35</f>
        <v>4.4104056498956157E-3</v>
      </c>
      <c r="F58" s="32">
        <f t="shared" si="27"/>
        <v>4.8777328849708207E-3</v>
      </c>
      <c r="G58" s="32">
        <f t="shared" si="27"/>
        <v>5.63463188047856E-3</v>
      </c>
      <c r="H58" s="32">
        <f t="shared" si="27"/>
        <v>6.7485175876541344E-3</v>
      </c>
      <c r="I58" s="32">
        <f t="shared" si="27"/>
        <v>7.9644441763727248E-3</v>
      </c>
      <c r="J58" s="32">
        <f t="shared" si="27"/>
        <v>8.9958466151466871E-3</v>
      </c>
      <c r="K58" s="11"/>
      <c r="L58" s="7"/>
    </row>
    <row r="59" spans="1:14" hidden="1" x14ac:dyDescent="0.55000000000000004">
      <c r="A59" s="139" t="s">
        <v>19</v>
      </c>
      <c r="B59" s="140"/>
      <c r="C59" s="97"/>
      <c r="D59" s="28"/>
      <c r="E59" s="28">
        <f>+IFERROR(E55/E40,0)</f>
        <v>3983.5418138770701</v>
      </c>
      <c r="F59" s="28">
        <f t="shared" ref="F59:J59" si="28">+IFERROR(F55/F40,0)</f>
        <v>3602.1732040236429</v>
      </c>
      <c r="G59" s="28">
        <f t="shared" si="28"/>
        <v>3119.9187788407971</v>
      </c>
      <c r="H59" s="28">
        <f t="shared" si="28"/>
        <v>2773.4675522376765</v>
      </c>
      <c r="I59" s="28">
        <f t="shared" si="28"/>
        <v>2351.8958065260199</v>
      </c>
      <c r="J59" s="28">
        <f t="shared" si="28"/>
        <v>2084.1110789800405</v>
      </c>
      <c r="K59" s="11"/>
      <c r="L59" s="7"/>
    </row>
    <row r="60" spans="1:14" hidden="1" x14ac:dyDescent="0.55000000000000004">
      <c r="A60" s="139" t="s">
        <v>117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35" t="s">
        <v>70</v>
      </c>
      <c r="B61" s="136"/>
      <c r="C61" s="98"/>
      <c r="D61" s="40">
        <f>+D55</f>
        <v>165000</v>
      </c>
      <c r="E61" s="40">
        <f>+SUM(E65:E72)+E54</f>
        <v>565662.93757054396</v>
      </c>
      <c r="F61" s="40">
        <f t="shared" ref="F61:J61" si="29">+SUM(F65:F72)+F54</f>
        <v>565541.19303171197</v>
      </c>
      <c r="G61" s="40">
        <f t="shared" si="29"/>
        <v>564705.29897018429</v>
      </c>
      <c r="H61" s="40">
        <f t="shared" si="29"/>
        <v>485356.82164159336</v>
      </c>
      <c r="I61" s="40">
        <f t="shared" si="29"/>
        <v>484490.53614436009</v>
      </c>
      <c r="J61" s="40">
        <f t="shared" si="29"/>
        <v>483513.77032336942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N67" s="69" t="s">
        <v>188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150000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191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165000</v>
      </c>
      <c r="E73" s="114">
        <f t="shared" ref="E73:J73" si="31">SUM(E65:E72)+E54</f>
        <v>565662.93757054396</v>
      </c>
      <c r="F73" s="114">
        <f t="shared" si="31"/>
        <v>565541.19303171197</v>
      </c>
      <c r="G73" s="114">
        <f t="shared" si="31"/>
        <v>564705.29897018429</v>
      </c>
      <c r="H73" s="114">
        <f t="shared" si="31"/>
        <v>485356.82164159336</v>
      </c>
      <c r="I73" s="114">
        <f t="shared" si="31"/>
        <v>484490.53614436009</v>
      </c>
      <c r="J73" s="114">
        <f t="shared" si="31"/>
        <v>483513.77032336942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108793.24799999999</v>
      </c>
      <c r="E75" s="41">
        <f t="shared" si="32"/>
        <v>106887.64585684799</v>
      </c>
      <c r="F75" s="41">
        <f t="shared" si="32"/>
        <v>106847.064343904</v>
      </c>
      <c r="G75" s="41">
        <f t="shared" si="32"/>
        <v>106568.43299006144</v>
      </c>
      <c r="H75" s="41">
        <f t="shared" si="32"/>
        <v>80118.940547197795</v>
      </c>
      <c r="I75" s="41">
        <f t="shared" si="32"/>
        <v>79830.178714786685</v>
      </c>
      <c r="J75" s="41">
        <f t="shared" si="32"/>
        <v>79504.590107789816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+SIM①_月4投稿!D24</f>
        <v>--</v>
      </c>
      <c r="D4" s="28">
        <f>+SIM①_月4投稿!G51</f>
        <v>364705.29897018429</v>
      </c>
      <c r="E4" s="28">
        <f>+SIM①_月4投稿!J51</f>
        <v>283513.77032336942</v>
      </c>
      <c r="F4" s="28"/>
    </row>
    <row r="5" spans="1:25" x14ac:dyDescent="0.55000000000000004">
      <c r="A5" s="85" t="s">
        <v>141</v>
      </c>
      <c r="B5" s="7"/>
      <c r="C5" s="86" t="str">
        <f>+SIM①_月4投稿!D25</f>
        <v>--</v>
      </c>
      <c r="D5" s="28">
        <f>+SIM①_月4投稿!G61</f>
        <v>564705.29897018429</v>
      </c>
      <c r="E5" s="28">
        <f>+SIM①_月4投稿!J61</f>
        <v>483513.77032336942</v>
      </c>
      <c r="F5" s="27"/>
    </row>
    <row r="6" spans="1:25" x14ac:dyDescent="0.55000000000000004">
      <c r="A6" s="85" t="s">
        <v>76</v>
      </c>
      <c r="B6" s="7"/>
      <c r="C6" s="117">
        <f>+SIM①_月4投稿!D28</f>
        <v>79904</v>
      </c>
      <c r="D6" s="87">
        <f>+SIM①_月4投稿!G28</f>
        <v>83239.782370400004</v>
      </c>
      <c r="E6" s="87">
        <f>+SIM①_月4投稿!J28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+SIM①_月4投稿!D27</f>
        <v>0.42099999999999999</v>
      </c>
      <c r="D7" s="89">
        <f>+SIM①_月4投稿!G27</f>
        <v>0.438</v>
      </c>
      <c r="E7" s="89">
        <f>+SIM①_月4投稿!J27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+SIM①_月4投稿!D29</f>
        <v>46264.415999999997</v>
      </c>
      <c r="D8" s="10">
        <f>+SIM①_月4投稿!G29</f>
        <v>46780.757692164807</v>
      </c>
      <c r="E8" s="10">
        <f>+SIM①_月4投稿!J29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+SIM①_月4投稿!D34</f>
        <v>138793.24799999999</v>
      </c>
      <c r="D10" s="10">
        <f>+SIM①_月4投稿!G34</f>
        <v>136568.43299006144</v>
      </c>
      <c r="E10" s="10">
        <f>+SIM①_月4投稿!J34</f>
        <v>109504.59010778982</v>
      </c>
      <c r="F10" s="10"/>
    </row>
    <row r="11" spans="1:25" x14ac:dyDescent="0.55000000000000004">
      <c r="A11" s="85" t="s">
        <v>81</v>
      </c>
      <c r="B11" s="7"/>
      <c r="C11" s="117">
        <f>+SIM①_月4投稿!D35</f>
        <v>4063.0335419519997</v>
      </c>
      <c r="D11" s="10">
        <f>+SIM①_月4投稿!G35</f>
        <v>32122.772851778085</v>
      </c>
      <c r="E11" s="10">
        <f>+SIM①_月4投稿!J35</f>
        <v>25789.679384858762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11.353481240645664</v>
      </c>
      <c r="E12" s="28">
        <f t="shared" ref="E12" si="0">+E4/E11</f>
        <v>10.993303409961026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17.579593815760095</v>
      </c>
      <c r="E13" s="28">
        <f t="shared" ref="E13" si="1">+E5/E11</f>
        <v>18.74834359543231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+SIM①_月4投稿!D16</f>
        <v>400</v>
      </c>
      <c r="D15" s="87">
        <f>+SIM①_月4投稿!G16</f>
        <v>400</v>
      </c>
      <c r="E15" s="87">
        <f>+SIM①_月4投稿!J16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181</v>
      </c>
      <c r="E16" s="87">
        <f>+E17</f>
        <v>232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+SIM①_月4投稿!D36</f>
        <v>0</v>
      </c>
      <c r="D17" s="87">
        <f>+SIM①_月4投稿!G36</f>
        <v>181</v>
      </c>
      <c r="E17" s="87">
        <f>+SIM①_月4投稿!J36</f>
        <v>232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+SIM①_月4投稿!D37</f>
        <v>0</v>
      </c>
      <c r="D18" s="87">
        <f>+SIM①_月4投稿!G37</f>
        <v>0</v>
      </c>
      <c r="E18" s="87">
        <f>+SIM①_月4投稿!J37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+SIM①_月4投稿!D38</f>
        <v>0</v>
      </c>
      <c r="D19" s="87">
        <f>+SIM①_月4投稿!G38</f>
        <v>0</v>
      </c>
      <c r="E19" s="87">
        <f>+SIM①_月4投稿!J38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+SIM①_月4投稿!D39</f>
        <v>0</v>
      </c>
      <c r="D20" s="87">
        <f>+SIM①_月4投稿!G39</f>
        <v>0</v>
      </c>
      <c r="E20" s="87">
        <f>+SIM①_月4投稿!J39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2014.9464031501896</v>
      </c>
      <c r="E22" s="90">
        <f t="shared" si="2"/>
        <v>1222.0421134627993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3119.9187788407971</v>
      </c>
      <c r="E23" s="90">
        <f t="shared" ref="E23" si="4">+IFERROR(E5/E16,"--")</f>
        <v>2084.1110789800405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+SIM①_月4投稿!E68+C29*C30</f>
        <v>341379.74399999995</v>
      </c>
      <c r="D25" s="10">
        <f>+SIM①_月4投稿!G68+D29*D30</f>
        <v>334705.29897018429</v>
      </c>
      <c r="E25" s="10">
        <f>+SIM①_月4投稿!J68+E29*E30</f>
        <v>253513.77032336945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108793.24799999999</v>
      </c>
      <c r="D29" s="91">
        <f>+IF(D10&lt;=30000,0,D10-30000)</f>
        <v>106568.43299006144</v>
      </c>
      <c r="E29" s="91">
        <f>+IF(E10&lt;=30000,0,E10-30000)</f>
        <v>79504.590107789816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tabSelected="1" topLeftCell="B27" zoomScale="71" zoomScaleNormal="55" workbookViewId="0">
      <selection activeCell="J44" sqref="J4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4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196</v>
      </c>
      <c r="O24" s="22" t="s">
        <v>44</v>
      </c>
      <c r="P24" s="77">
        <v>0.6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197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+D30*D29*0.75*0.41*0.07</f>
        <v>3983.3662175999998</v>
      </c>
      <c r="E31" s="63">
        <f>+E29*E30*$P$24*$P$22*$P$23*$P$36</f>
        <v>16070.278935153121</v>
      </c>
      <c r="F31" s="63">
        <f>+F29*F30*$P$24*$P$22*$P$23*$P$36</f>
        <v>16065.313505872515</v>
      </c>
      <c r="G31" s="63">
        <f>+G29*G30*$P$24*$P$22*$P$23*$P$36</f>
        <v>16027.059516881054</v>
      </c>
      <c r="H31" s="63">
        <f>+H29*H30*$P$24*$P$22*$P$23*$P$36*$Q$24</f>
        <v>12786.57773184414</v>
      </c>
      <c r="I31" s="63">
        <f>+I29*I30*$P$24*$P$22*$P$23*$P$36*$Q$24</f>
        <v>12747.000562212204</v>
      </c>
      <c r="J31" s="63">
        <f>+J29*J30*$P$24*$P$22*$P$23*$P$36*$Q$24</f>
        <v>12702.874929965472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+D29*D30*0.75</f>
        <v>138793.24799999999</v>
      </c>
      <c r="E34" s="46">
        <f>+E29*E30*$P$24+E26*E32</f>
        <v>146269.02768947996</v>
      </c>
      <c r="F34" s="46">
        <f>+F29*F30*$P$24+F26*F32</f>
        <v>146225.54749703998</v>
      </c>
      <c r="G34" s="46">
        <f>+G29*G30*$P$24+G26*G32</f>
        <v>145924.58452849439</v>
      </c>
      <c r="H34" s="46">
        <f>+H29*H30*$P$24*$Q$24+H26*H32</f>
        <v>117583.38895653191</v>
      </c>
      <c r="I34" s="46">
        <f>+I29*I30*$P$24*$Q$24+I26*I32</f>
        <v>117271.52307336536</v>
      </c>
      <c r="J34" s="46">
        <f>+J29*J30*$P$24*$Q$24+J26*J32</f>
        <v>116920.17514965823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4063.0335419519997</v>
      </c>
      <c r="E35" s="50">
        <f>+E31+E33+1.05*(E31+E33)</f>
        <v>34392.856365738844</v>
      </c>
      <c r="F35" s="50">
        <f t="shared" ref="F35:J35" si="11">+F31+F33+1.05*(F31+F33)</f>
        <v>34382.6772357136</v>
      </c>
      <c r="G35" s="50">
        <f t="shared" si="11"/>
        <v>34313.137652418496</v>
      </c>
      <c r="H35" s="50">
        <f t="shared" si="11"/>
        <v>27679.119898171582</v>
      </c>
      <c r="I35" s="50">
        <f t="shared" si="11"/>
        <v>27607.046304555668</v>
      </c>
      <c r="J35" s="50">
        <f t="shared" si="11"/>
        <v>27525.73895862071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45" t="s">
        <v>6</v>
      </c>
      <c r="B36" s="6" t="str">
        <f>+C8</f>
        <v>応募</v>
      </c>
      <c r="C36" s="6"/>
      <c r="D36" s="11">
        <v>0</v>
      </c>
      <c r="E36" s="111">
        <v>146</v>
      </c>
      <c r="F36" s="111">
        <v>168</v>
      </c>
      <c r="G36" s="111">
        <v>192</v>
      </c>
      <c r="H36" s="111">
        <v>209</v>
      </c>
      <c r="I36" s="111">
        <v>225</v>
      </c>
      <c r="J36" s="111">
        <v>253</v>
      </c>
      <c r="K36" s="115">
        <f>SUM(E36:J36)</f>
        <v>1193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2">+SUM(D36:D39)</f>
        <v>0</v>
      </c>
      <c r="E40" s="10">
        <f t="shared" si="12"/>
        <v>146</v>
      </c>
      <c r="F40" s="10">
        <f t="shared" si="12"/>
        <v>168</v>
      </c>
      <c r="G40" s="10">
        <f t="shared" si="12"/>
        <v>192</v>
      </c>
      <c r="H40" s="10">
        <f t="shared" si="12"/>
        <v>209</v>
      </c>
      <c r="I40" s="10">
        <f t="shared" si="12"/>
        <v>225</v>
      </c>
      <c r="J40" s="10">
        <f t="shared" si="12"/>
        <v>253</v>
      </c>
      <c r="K40" s="115">
        <f>SUM(E40:J40)</f>
        <v>1193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4.2450675933226913E-3</v>
      </c>
      <c r="F41" s="18">
        <f t="shared" ref="F41:J41" si="14">+IFERROR(F40/F35,0)</f>
        <v>4.8861814584204881E-3</v>
      </c>
      <c r="G41" s="18">
        <f t="shared" si="14"/>
        <v>5.5955244298816625E-3</v>
      </c>
      <c r="H41" s="18">
        <f t="shared" si="14"/>
        <v>7.5508181173710677E-3</v>
      </c>
      <c r="I41" s="18">
        <f t="shared" si="14"/>
        <v>8.1500931870017133E-3</v>
      </c>
      <c r="J41" s="18">
        <f t="shared" si="14"/>
        <v>9.1913972002834691E-3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348807.08306843985</v>
      </c>
      <c r="F44" s="31">
        <f t="shared" ref="F44:J44" si="15">+F75*F76</f>
        <v>348676.64249111991</v>
      </c>
      <c r="G44" s="31">
        <f t="shared" si="15"/>
        <v>347773.75358548318</v>
      </c>
      <c r="H44" s="31">
        <f t="shared" si="15"/>
        <v>262750.16686959576</v>
      </c>
      <c r="I44" s="31">
        <f t="shared" si="15"/>
        <v>261814.56922009608</v>
      </c>
      <c r="J44" s="31">
        <f t="shared" si="15"/>
        <v>260760.52544897469</v>
      </c>
      <c r="K44" s="11"/>
      <c r="L44" s="7"/>
    </row>
    <row r="45" spans="1:17" ht="18" x14ac:dyDescent="0.55000000000000004">
      <c r="A45" s="137" t="s">
        <v>132</v>
      </c>
      <c r="B45" s="138"/>
      <c r="C45" s="104">
        <f>+SUM(C65:C72)</f>
        <v>0</v>
      </c>
      <c r="D45" s="80">
        <f>+SUM(D65:D72)</f>
        <v>215000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8">+E51/E35</f>
        <v>11.45025812571761</v>
      </c>
      <c r="F47" s="28">
        <f t="shared" si="18"/>
        <v>11.449854233055603</v>
      </c>
      <c r="G47" s="28">
        <f t="shared" si="18"/>
        <v>11.446745487520266</v>
      </c>
      <c r="H47" s="28">
        <f t="shared" si="18"/>
        <v>11.118495385755564</v>
      </c>
      <c r="I47" s="28">
        <f t="shared" si="18"/>
        <v>11.113632578993649</v>
      </c>
      <c r="J47" s="28">
        <f>+J51/J35</f>
        <v>11.108167737426514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9">+SUM(E36:E39)/E35</f>
        <v>4.2450675933226913E-3</v>
      </c>
      <c r="F48" s="32">
        <f t="shared" si="19"/>
        <v>4.8861814584204881E-3</v>
      </c>
      <c r="G48" s="32">
        <f t="shared" si="19"/>
        <v>5.5955244298816625E-3</v>
      </c>
      <c r="H48" s="32">
        <f t="shared" si="19"/>
        <v>7.5508181173710677E-3</v>
      </c>
      <c r="I48" s="32">
        <f t="shared" si="19"/>
        <v>8.1500931870017133E-3</v>
      </c>
      <c r="J48" s="32">
        <f t="shared" si="19"/>
        <v>9.1913972002834691E-3</v>
      </c>
      <c r="K48" s="11"/>
      <c r="L48" s="7"/>
    </row>
    <row r="49" spans="1:14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2697.3087881399988</v>
      </c>
      <c r="F49" s="28">
        <f t="shared" ref="F49:J49" si="20">+IFERROR(F51/SUM(F36:F39),0)</f>
        <v>2343.3133481614282</v>
      </c>
      <c r="G49" s="28">
        <f t="shared" si="20"/>
        <v>2045.6966332577249</v>
      </c>
      <c r="H49" s="28">
        <f t="shared" si="20"/>
        <v>1472.4888366966304</v>
      </c>
      <c r="I49" s="28">
        <f t="shared" si="20"/>
        <v>1363.6203076448717</v>
      </c>
      <c r="J49" s="28">
        <f t="shared" si="20"/>
        <v>1208.5396262805323</v>
      </c>
      <c r="K49" s="11"/>
      <c r="L49" s="7"/>
    </row>
    <row r="50" spans="1:14" x14ac:dyDescent="0.55000000000000004">
      <c r="A50" s="139" t="s">
        <v>117</v>
      </c>
      <c r="B50" s="140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35" t="s">
        <v>70</v>
      </c>
      <c r="B51" s="136"/>
      <c r="C51" s="110">
        <f>+C45</f>
        <v>0</v>
      </c>
      <c r="D51" s="40">
        <f>+D45</f>
        <v>215000</v>
      </c>
      <c r="E51" s="40">
        <f>SUM(E45,E50)+E44</f>
        <v>393807.08306843985</v>
      </c>
      <c r="F51" s="40">
        <f t="shared" ref="F51:I51" si="22">SUM(F45,F50)+F44</f>
        <v>393676.64249111991</v>
      </c>
      <c r="G51" s="40">
        <f t="shared" si="22"/>
        <v>392773.75358548318</v>
      </c>
      <c r="H51" s="40">
        <f t="shared" si="22"/>
        <v>307750.16686959576</v>
      </c>
      <c r="I51" s="40">
        <f t="shared" si="22"/>
        <v>306814.56922009611</v>
      </c>
      <c r="J51" s="40">
        <f>SUM(J45,J50)+J44</f>
        <v>305760.52544897469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37" t="s">
        <v>27</v>
      </c>
      <c r="B54" s="138"/>
      <c r="C54" s="96"/>
      <c r="D54" s="28">
        <f>+D75*D76</f>
        <v>326379.74399999995</v>
      </c>
      <c r="E54" s="28">
        <f t="shared" ref="E54:J54" si="23">+E75*E76</f>
        <v>348807.08306843985</v>
      </c>
      <c r="F54" s="28">
        <f t="shared" si="23"/>
        <v>348676.64249111991</v>
      </c>
      <c r="G54" s="28">
        <f t="shared" si="23"/>
        <v>347773.75358548318</v>
      </c>
      <c r="H54" s="28">
        <f t="shared" si="23"/>
        <v>262750.16686959576</v>
      </c>
      <c r="I54" s="28">
        <f t="shared" si="23"/>
        <v>261814.56922009608</v>
      </c>
      <c r="J54" s="28">
        <f t="shared" si="23"/>
        <v>260760.52544897469</v>
      </c>
      <c r="K54" s="11"/>
      <c r="L54" s="7"/>
      <c r="N54" t="s">
        <v>184</v>
      </c>
    </row>
    <row r="55" spans="1:14" hidden="1" x14ac:dyDescent="0.55000000000000004">
      <c r="A55" s="137" t="s">
        <v>132</v>
      </c>
      <c r="B55" s="138"/>
      <c r="C55" s="96"/>
      <c r="D55" s="27">
        <f>+SUM(D65:D72)</f>
        <v>215000</v>
      </c>
      <c r="E55" s="27">
        <f>SUM(E65:E72)+E54</f>
        <v>693807.08306843985</v>
      </c>
      <c r="F55" s="27">
        <f t="shared" ref="F55:J55" si="24">SUM(F65:F72)+F54</f>
        <v>693676.64249111991</v>
      </c>
      <c r="G55" s="27">
        <f t="shared" si="24"/>
        <v>692773.75358548318</v>
      </c>
      <c r="H55" s="27">
        <f t="shared" si="24"/>
        <v>607750.16686959576</v>
      </c>
      <c r="I55" s="27">
        <f t="shared" si="24"/>
        <v>606814.56922009611</v>
      </c>
      <c r="J55" s="27">
        <f t="shared" si="24"/>
        <v>605760.52544897469</v>
      </c>
      <c r="K55" s="11"/>
      <c r="L55" s="7"/>
    </row>
    <row r="56" spans="1:14" hidden="1" x14ac:dyDescent="0.55000000000000004">
      <c r="A56" s="137" t="s">
        <v>17</v>
      </c>
      <c r="B56" s="138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20.172999755832731</v>
      </c>
      <c r="F57" s="28">
        <f t="shared" ref="F57:J57" si="26">+F61/F35</f>
        <v>20.175178265949334</v>
      </c>
      <c r="G57" s="28">
        <f t="shared" si="26"/>
        <v>20.189752409210364</v>
      </c>
      <c r="H57" s="28">
        <f t="shared" si="26"/>
        <v>21.956990291072884</v>
      </c>
      <c r="I57" s="28">
        <f t="shared" si="26"/>
        <v>21.980423494995936</v>
      </c>
      <c r="J57" s="28">
        <f t="shared" si="26"/>
        <v>22.007057698236952</v>
      </c>
      <c r="K57" s="11"/>
      <c r="L57" s="7"/>
    </row>
    <row r="58" spans="1:14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7">+SUM(E36:E39)/E35</f>
        <v>4.2450675933226913E-3</v>
      </c>
      <c r="F58" s="32">
        <f t="shared" si="27"/>
        <v>4.8861814584204881E-3</v>
      </c>
      <c r="G58" s="32">
        <f t="shared" si="27"/>
        <v>5.5955244298816625E-3</v>
      </c>
      <c r="H58" s="32">
        <f t="shared" si="27"/>
        <v>7.5508181173710677E-3</v>
      </c>
      <c r="I58" s="32">
        <f t="shared" si="27"/>
        <v>8.1500931870017133E-3</v>
      </c>
      <c r="J58" s="32">
        <f t="shared" si="27"/>
        <v>9.1913972002834691E-3</v>
      </c>
      <c r="K58" s="11"/>
      <c r="L58" s="7"/>
    </row>
    <row r="59" spans="1:14" hidden="1" x14ac:dyDescent="0.55000000000000004">
      <c r="A59" s="139" t="s">
        <v>19</v>
      </c>
      <c r="B59" s="140"/>
      <c r="C59" s="97"/>
      <c r="D59" s="28"/>
      <c r="E59" s="28">
        <f>+IFERROR(E55/E40,0)</f>
        <v>4752.1033086879443</v>
      </c>
      <c r="F59" s="28">
        <f t="shared" ref="F59:J59" si="28">+IFERROR(F55/F40,0)</f>
        <v>4129.0276338757139</v>
      </c>
      <c r="G59" s="28">
        <f t="shared" si="28"/>
        <v>3608.1966332577249</v>
      </c>
      <c r="H59" s="28">
        <f t="shared" si="28"/>
        <v>2907.8955352612238</v>
      </c>
      <c r="I59" s="28">
        <f t="shared" si="28"/>
        <v>2696.9536409782049</v>
      </c>
      <c r="J59" s="28">
        <f t="shared" si="28"/>
        <v>2394.3103772686745</v>
      </c>
      <c r="K59" s="11"/>
      <c r="L59" s="7"/>
    </row>
    <row r="60" spans="1:14" hidden="1" x14ac:dyDescent="0.55000000000000004">
      <c r="A60" s="139" t="s">
        <v>117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35" t="s">
        <v>70</v>
      </c>
      <c r="B61" s="136"/>
      <c r="C61" s="98"/>
      <c r="D61" s="40">
        <f>+D55</f>
        <v>215000</v>
      </c>
      <c r="E61" s="40">
        <f>+SUM(E65:E72)+E54</f>
        <v>693807.08306843985</v>
      </c>
      <c r="F61" s="40">
        <f t="shared" ref="F61:J61" si="29">+SUM(F65:F72)+F54</f>
        <v>693676.64249111991</v>
      </c>
      <c r="G61" s="40">
        <f t="shared" si="29"/>
        <v>692773.75358548318</v>
      </c>
      <c r="H61" s="40">
        <f t="shared" si="29"/>
        <v>607750.16686959576</v>
      </c>
      <c r="I61" s="40">
        <f t="shared" si="29"/>
        <v>606814.56922009611</v>
      </c>
      <c r="J61" s="40">
        <f t="shared" si="29"/>
        <v>605760.52544897469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199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215000</v>
      </c>
      <c r="E73" s="114">
        <f t="shared" ref="E73:J73" si="31">SUM(E65:E72)+E54</f>
        <v>693807.08306843985</v>
      </c>
      <c r="F73" s="114">
        <f t="shared" si="31"/>
        <v>693676.64249111991</v>
      </c>
      <c r="G73" s="114">
        <f t="shared" si="31"/>
        <v>692773.75358548318</v>
      </c>
      <c r="H73" s="114">
        <f t="shared" si="31"/>
        <v>607750.16686959576</v>
      </c>
      <c r="I73" s="114">
        <f t="shared" si="31"/>
        <v>606814.56922009611</v>
      </c>
      <c r="J73" s="114">
        <f t="shared" si="31"/>
        <v>605760.52544897469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108793.24799999999</v>
      </c>
      <c r="E75" s="41">
        <f t="shared" si="32"/>
        <v>116269.02768947996</v>
      </c>
      <c r="F75" s="41">
        <f t="shared" si="32"/>
        <v>116225.54749703998</v>
      </c>
      <c r="G75" s="41">
        <f t="shared" si="32"/>
        <v>115924.58452849439</v>
      </c>
      <c r="H75" s="41">
        <f t="shared" si="32"/>
        <v>87583.388956531911</v>
      </c>
      <c r="I75" s="41">
        <f t="shared" si="32"/>
        <v>87271.523073365359</v>
      </c>
      <c r="J75" s="41">
        <f t="shared" si="32"/>
        <v>86920.175149658229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+SIM②_月5投稿!D24</f>
        <v>--</v>
      </c>
      <c r="D4" s="28">
        <f>+SIM②_月5投稿!G51</f>
        <v>392773.75358548318</v>
      </c>
      <c r="E4" s="28">
        <f>+SIM②_月5投稿!J51</f>
        <v>305760.52544897469</v>
      </c>
      <c r="F4" s="28"/>
    </row>
    <row r="5" spans="1:25" x14ac:dyDescent="0.55000000000000004">
      <c r="A5" s="85" t="s">
        <v>141</v>
      </c>
      <c r="B5" s="7"/>
      <c r="C5" s="86" t="str">
        <f>+SIM②_月5投稿!D25</f>
        <v>--</v>
      </c>
      <c r="D5" s="28">
        <f>+SIM②_月5投稿!G61</f>
        <v>692773.75358548318</v>
      </c>
      <c r="E5" s="28">
        <f>+SIM②_月5投稿!J61</f>
        <v>605760.52544897469</v>
      </c>
      <c r="F5" s="27"/>
    </row>
    <row r="6" spans="1:25" x14ac:dyDescent="0.55000000000000004">
      <c r="A6" s="85" t="s">
        <v>76</v>
      </c>
      <c r="B6" s="7"/>
      <c r="C6" s="117">
        <f>+SIM②_月5投稿!D28</f>
        <v>79904</v>
      </c>
      <c r="D6" s="87">
        <f>+SIM②_月5投稿!G28</f>
        <v>83239.782370400004</v>
      </c>
      <c r="E6" s="87">
        <f>+SIM②_月5投稿!J28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+SIM②_月5投稿!D27</f>
        <v>0.42099999999999999</v>
      </c>
      <c r="D7" s="89">
        <f>+SIM②_月5投稿!G27</f>
        <v>0.438</v>
      </c>
      <c r="E7" s="89">
        <f>+SIM②_月5投稿!J27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+SIM②_月5投稿!D29</f>
        <v>46264.415999999997</v>
      </c>
      <c r="D8" s="10">
        <f>+SIM②_月5投稿!G29</f>
        <v>46780.757692164807</v>
      </c>
      <c r="E8" s="10">
        <f>+SIM②_月5投稿!J29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  <v>138793.24799999999</v>
      </c>
      <c r="D10" s="10">
        <f>+SIM②_月5投稿!G34</f>
        <v>145924.58452849439</v>
      </c>
      <c r="E10" s="10">
        <f>+SIM②_月5投稿!J34</f>
        <v>116920.17514965823</v>
      </c>
      <c r="F10" s="10"/>
    </row>
    <row r="11" spans="1:25" x14ac:dyDescent="0.55000000000000004">
      <c r="A11" s="85" t="s">
        <v>81</v>
      </c>
      <c r="B11" s="7"/>
      <c r="C11" s="117">
        <f>+SIM②_月5投稿!D35</f>
        <v>4063.0335419519997</v>
      </c>
      <c r="D11" s="10">
        <f>+SIM②_月5投稿!G35</f>
        <v>34313.137652418496</v>
      </c>
      <c r="E11" s="10">
        <f>+SIM②_月5投稿!J35</f>
        <v>27525.73895862071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11.446745487520266</v>
      </c>
      <c r="E12" s="28">
        <f t="shared" ref="E12" si="0">+E4/E11</f>
        <v>11.108167737426514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20.189752409210364</v>
      </c>
      <c r="E13" s="28">
        <f t="shared" ref="E13" si="1">+E5/E11</f>
        <v>22.007057698236952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+SIM②_月5投稿!D16</f>
        <v>400</v>
      </c>
      <c r="D15" s="87">
        <f>+SIM②_月5投稿!G16</f>
        <v>400</v>
      </c>
      <c r="E15" s="87">
        <f>+SIM②_月5投稿!J16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192</v>
      </c>
      <c r="E16" s="87">
        <f>+E17</f>
        <v>253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+SIM②_月5投稿!D36</f>
        <v>0</v>
      </c>
      <c r="D17" s="87">
        <f>+SIM②_月5投稿!G36</f>
        <v>192</v>
      </c>
      <c r="E17" s="87">
        <f>+SIM②_月5投稿!J36</f>
        <v>253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  <v>0</v>
      </c>
      <c r="D18" s="87">
        <f>+SIM②_月5投稿!G37</f>
        <v>0</v>
      </c>
      <c r="E18" s="87">
        <f>+SIM②_月5投稿!J37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  <v>0</v>
      </c>
      <c r="D19" s="87">
        <f>+SIM②_月5投稿!G38</f>
        <v>0</v>
      </c>
      <c r="E19" s="87">
        <f>+SIM②_月5投稿!J38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  <v>0</v>
      </c>
      <c r="D20" s="87">
        <f>+SIM②_月5投稿!G39</f>
        <v>0</v>
      </c>
      <c r="E20" s="87">
        <f>+SIM②_月5投稿!J39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2045.6966332577249</v>
      </c>
      <c r="E22" s="90">
        <f t="shared" si="2"/>
        <v>1208.5396262805323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3608.1966332577249</v>
      </c>
      <c r="E23" s="90">
        <f t="shared" ref="E23" si="4">+IFERROR(E5/E16,"--")</f>
        <v>2394.3103772686745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  <v>341379.74399999995</v>
      </c>
      <c r="D25" s="10">
        <f>+SIM②_月5投稿!G68+D29*D30</f>
        <v>362773.75358548318</v>
      </c>
      <c r="E25" s="10">
        <f>+SIM②_月5投稿!J68+E29*E30</f>
        <v>275760.52544897469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108793.24799999999</v>
      </c>
      <c r="D29" s="91">
        <f>+IF(D10&lt;=30000,0,D10-30000)</f>
        <v>115924.58452849439</v>
      </c>
      <c r="E29" s="91">
        <f>+IF(E10&lt;=30000,0,E10-30000)</f>
        <v>86920.175149658229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SIM①_月4投稿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2026-10-30T07:01:17Z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
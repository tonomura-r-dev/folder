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_ポップアップ＋サンクスLINE" sheetId="1" r:id="rId1"/>
    <sheet name="SIM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<sst xmlns="http://schemas.openxmlformats.org/spreadsheetml/2006/main" count="278" uniqueCount="195">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</sst>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46314</v>
      </c>
    </row>
    <row r="4" spans="1:25" ht="45.75" customHeight="1" x14ac:dyDescent="0.4">
      <c r="A4" s="56" t="inlineStr">
        <is>
          <t xml:space="preserve">株式会社すなおコンサルティング御中_LINEOA施策提案【SIM】ver1.2（ポップアップツール＋サンクスLINE誘導）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セミナー予約</t>
        </is>
      </c>
      <c r="D8" s="33">
        <v>12000</v>
      </c>
      <c r="G8" s="143" t="inlineStr">
        <is>
          <t xml:space="preserve">LP UU（イベント月）</t>
        </is>
      </c>
      <c r="H8" s="144">
        <v>3000</v>
      </c>
      <c r="I8" s="145"/>
      <c r="J8" s="145" t="s">
        <v>78</v>
      </c>
      <c r="K8" s="152">
        <v>0</v>
      </c>
      <c r="N8" s="69" t="inlineStr">
        <is>
          <t xml:space="preserve">CV①セミナー予約（成果単価 1.2万円）。LINEのリンク経由だけ。サンクスLINEで友だちになった方（予約済み）は数えない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サロン入会</t>
        </is>
      </c>
      <c r="D9" s="33">
        <v>25000</v>
      </c>
      <c r="G9" s="146" t="inlineStr">
        <is>
          <t xml:space="preserve">うち広告</t>
        </is>
      </c>
      <c r="H9" s="147">
        <v>3000</v>
      </c>
      <c r="I9" s="148"/>
      <c r="J9" s="139"/>
      <c r="K9" s="140"/>
      <c r="N9" s="155" t="inlineStr">
        <is>
          <t xml:space="preserve">CV②サロン入会（成果単価 2.5万円）。LINEのリンク経由だけ</t>
        </is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セミナー予約（イベント月）</t>
        </is>
      </c>
      <c r="H10" s="147">
        <v>81</v>
      </c>
      <c r="I10" s="148" t="s">
        <v>186</v>
      </c>
      <c r="J10" s="139"/>
      <c r="K10" s="140"/>
      <c r="N10" s="155" t="inlineStr">
        <is>
          <t xml:space="preserve">イベント月（1・4か月目）：LP UU 仮に3,000（広告クリック 約2,760＋自社のSNS等が少し）・セミナー予約 81件（前回1回分の実績）。広告費はADの予算なので入れていない</t>
        </is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inlineStr">
        <is>
          <t xml:space="preserve">-</t>
        </is>
      </c>
      <c r="H11" s="150">
        <v>0</v>
      </c>
      <c r="I11" s="151" t="s">
        <v>185</v>
      </c>
      <c r="J11" s="141"/>
      <c r="K11" s="142"/>
    </row>
    <row r="12" spans="1:25" x14ac:dyDescent="0.4">
      <c r="E12" t="inlineStr">
        <is>
          <t xml:space="preserve">イベント期</t>
        </is>
      </c>
      <c r="F12" t="inlineStr">
        <is>
          <t xml:space="preserve">平常期</t>
        </is>
      </c>
      <c r="G12" t="inlineStr">
        <is>
          <t xml:space="preserve">平常期</t>
        </is>
      </c>
      <c r="H12" t="inlineStr">
        <is>
          <t xml:space="preserve">イベント期</t>
        </is>
      </c>
      <c r="I12" t="inlineStr">
        <is>
          <t xml:space="preserve">平常期</t>
        </is>
      </c>
      <c r="J12" t="inlineStr">
        <is>
          <t xml:space="preserve">平常期</t>
        </is>
      </c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+$H$8</f>
      </c>
      <c r="F14" s="43">
        <v>130</v>
      </c>
      <c r="G14" s="43">
        <v>130</v>
      </c>
      <c r="H14" s="43">
        <f>+$H$8</f>
      </c>
      <c r="I14" s="43">
        <v>130</v>
      </c>
      <c r="J14" s="43">
        <v>130</v>
      </c>
      <c r="K14" s="11"/>
      <c r="L14" s="7"/>
      <c r="N14" t="inlineStr">
        <is>
          <t xml:space="preserve">平常期も少量の広告が続いている → LP UU 仮に月130（広告 月10万円÷クリック単価765円）</t>
        </is>
      </c>
    </row>
    <row r="15" spans="1:25" ht="19.5" x14ac:dyDescent="0.4">
      <c r="A15" s="134"/>
      <c r="B15" s="20" t="s">
        <v>36</v>
      </c>
      <c r="C15" s="99"/>
      <c r="D15" s="42">
        <f>+H9</f>
      </c>
      <c r="E15" s="43">
        <f>+$H$9</f>
      </c>
      <c r="F15" s="43">
        <v>130</v>
      </c>
      <c r="G15" s="43">
        <v>130</v>
      </c>
      <c r="H15" s="43">
        <f>+$H$9</f>
      </c>
      <c r="I15" s="43">
        <v>130</v>
      </c>
      <c r="J15" s="43">
        <v>130</v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+H10</f>
      </c>
      <c r="E16" s="43">
        <f>+$H$10</f>
      </c>
      <c r="F16" s="43">
        <v>0</v>
      </c>
      <c r="G16" s="43">
        <v>0</v>
      </c>
      <c r="H16" s="43">
        <f>+$H$10</f>
      </c>
      <c r="I16" s="43">
        <v>0</v>
      </c>
      <c r="J16" s="43">
        <v>0</v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inlineStr">
        <is>
          <t xml:space="preserve">ポップアップツール</t>
        </is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inlineStr">
        <is>
          <t xml:space="preserve">友だち追加広告（CPF）は入れていない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inlineStr">
        <is>
          <t xml:space="preserve">ポップアップツール</t>
        </is>
      </c>
      <c r="C23" s="17"/>
      <c r="D23" s="44" t="s">
        <v>22</v>
      </c>
      <c r="E23" s="46">
        <f>IF(E18=FALSE,0,E15*$P$18*0.125*0.125+(E14-E15)*$P$19*0.12*0.1)</f>
      </c>
      <c r="F23" s="46">
        <f>IF(F18=FALSE,0,F15*$P$18*0.125*0.125+(F14-F15)*$P$19*0.12*0.1)</f>
      </c>
      <c r="G23" s="63">
        <f>IF(G18=FALSE,0,G15*$P$18*0.125*0.125+(G14-G15)*$P$19*0.12*0.1)</f>
      </c>
      <c r="H23" s="63">
        <f>IF(H18=FALSE,0,H15*$P$18*0.125*0.125+(H14-H15)*$P$19*0.12*0.1)</f>
      </c>
      <c r="I23" s="63">
        <f>IF(I18=FALSE,0,I15*$P$18*0.125*0.125+(I14-I15)*$P$19*0.12*0.1)</f>
      </c>
      <c r="J23" s="63">
        <f>IF(J18=FALSE,0,J15*$P$18*0.125*0.125+(J14-J15)*$P$19*0.12*0.1)</f>
      </c>
      <c r="K23" s="11"/>
      <c r="L23" s="7"/>
      <c r="N23" s="69" t="inlineStr">
        <is>
          <t xml:space="preserve">ポップアップツール＝LP UU×表示65%×クリック12.5%×追加12.5%（定義テキストの係数）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IF(E19=FALSE,0,E16*0.8*0.45)</f>
      </c>
      <c r="F24" s="63">
        <f>IF(F19=FALSE,0,F16*0.8*0.45)</f>
      </c>
      <c r="G24" s="63">
        <f>IF(G19=FALSE,0,G16*0.8*0.45)</f>
      </c>
      <c r="H24" s="63">
        <f>IF(H19=FALSE,0,H16*0.8*0.45)</f>
      </c>
      <c r="I24" s="63">
        <f>IF(I19=FALSE,0,I16*0.8*0.45)</f>
      </c>
      <c r="J24" s="63">
        <f>IF(J19=FALSE,0,J16*0.8*0.45)</f>
      </c>
      <c r="K24" s="11"/>
      <c r="L24" s="7"/>
      <c r="N24" s="69" t="inlineStr">
        <is>
          <t xml:space="preserve">サンクスLINE誘導＝セミナー予約×遷移80%×追加45%（定義テキストの係数）。平常期は予約が無いので0</t>
        </is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</f>
      </c>
      <c r="F26" s="46">
        <f>+SUM(F22:F25)</f>
      </c>
      <c r="G26" s="46">
        <f>+SUM(G22:G25)</f>
      </c>
      <c r="H26" s="46">
        <f>+SUM(H22:H25)</f>
      </c>
      <c r="I26" s="46">
        <f>+SUM(I22:I25)</f>
      </c>
      <c r="J26" s="46">
        <f>+SUM(J22:J25)</f>
      </c>
      <c r="K26" s="11"/>
      <c r="L26" s="7"/>
      <c r="N26" s="72" t="inlineStr">
        <is>
          <t xml:space="preserve">友だちの入口はポップアップツール＋サンクスLINE誘導だけ（資料の「友だちの入口」と同じ）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0.28</v>
      </c>
      <c r="F27" s="47">
        <v>0.29</v>
      </c>
      <c r="G27" s="47">
        <v>0.295</v>
      </c>
      <c r="H27" s="47">
        <v>0.3</v>
      </c>
      <c r="I27" s="47">
        <v>0.305</v>
      </c>
      <c r="J27" s="47">
        <v>0.31</v>
      </c>
      <c r="K27" s="11"/>
      <c r="L27" s="7"/>
      <c r="N27" t="inlineStr">
        <is>
          <t xml:space="preserve">ブロック率：殿村さんの表（28.0%→31.0%）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0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2</v>
      </c>
      <c r="G30" s="45">
        <v>2</v>
      </c>
      <c r="H30" s="45">
        <v>4</v>
      </c>
      <c r="I30" s="45">
        <v>2</v>
      </c>
      <c r="J30" s="45">
        <v>2</v>
      </c>
      <c r="K30" s="11"/>
      <c r="L30" s="7"/>
      <c r="N30" s="69" t="inlineStr">
        <is>
          <t xml:space="preserve">企画配信：イベント期 月4回／平常期 月2回（資料の料金 プラン②と同じ）</t>
        </is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inlineStr">
        <is>
          <t xml:space="preserve">ステップ配信5通（その月の新しい友だち。セミナーの見どころ→参加特典→予約の案内）</t>
        </is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+E26*E32*$P$26*$P$27*$P$36</f>
      </c>
      <c r="F33" s="63">
        <f>+F26*F32*$P$26*$P$27*$P$36</f>
      </c>
      <c r="G33" s="63">
        <f>+G26*G32*$P$26*$P$27*$P$36</f>
      </c>
      <c r="H33" s="63">
        <f>+H26*H32*$P$26*$P$27*$P$36</f>
      </c>
      <c r="I33" s="63">
        <f>+I26*I32*$P$26*$P$27*$P$36</f>
      </c>
      <c r="J33" s="63">
        <f>+J26*J32*$P$26*$P$27*$P$36</f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v>1</v>
      </c>
      <c r="F36" s="111">
        <v>0</v>
      </c>
      <c r="G36" s="111">
        <v>0</v>
      </c>
      <c r="H36" s="111">
        <v>1</v>
      </c>
      <c r="I36" s="111">
        <v>0</v>
      </c>
      <c r="J36" s="111">
        <v>0</v>
      </c>
      <c r="K36" s="115">
        <f>SUM(E36:J36)</f>
      </c>
      <c r="L36" s="7"/>
      <c r="N36" s="69" t="inlineStr">
        <is>
          <t xml:space="preserve">セミナー予約＝クリックの0.3〜1.0%前後（目安。細かい件数は殿村さん）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inlineStr">
        <is>
          <t xml:space="preserve">サロン入会＝目安では0（クリックが少ないため）。件数は殿村さん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IFERROR(SUM(E65:E67)/(E28-D28),"-")</f>
      </c>
      <c r="F46" s="28">
        <f>IFERROR(SUM(F65:F67)/(F28-E28),"-")</f>
      </c>
      <c r="G46" s="28">
        <f>IFERROR(SUM(G65:G67)/(G28-F28),"-")</f>
      </c>
      <c r="H46" s="28">
        <f>IFERROR(SUM(H65:H67)/(H28-G28),"-")</f>
      </c>
      <c r="I46" s="28">
        <f>IFERROR(SUM(I65:I67)/(I28-H28),"-")</f>
      </c>
      <c r="J46" s="28">
        <f>IFERROR(SUM(J65:J67)/(J28-I28),"-")</f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IFERROR(SUM(E65:E67)/(E28-D28),"-")</f>
      </c>
      <c r="F56" s="28">
        <f>IFERROR(SUM(F65:F67)/(F28-E28),"-")</f>
      </c>
      <c r="G56" s="28">
        <f>IFERROR(SUM(G65:G67)/(G28-F28),"-")</f>
      </c>
      <c r="H56" s="28">
        <f>IFERROR(SUM(H65:H67)/(H28-G28),"-")</f>
      </c>
      <c r="I56" s="28">
        <f>IFERROR(SUM(I65:I67)/(I28-H28),"-")</f>
      </c>
      <c r="J56" s="28">
        <f>IFERROR(SUM(J65:J67)/(J28-I28),"-")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従量課金は54行（新料金テーブル）で計算。65行の旧式は二重計上になるため0</t>
        </is>
      </c>
    </row>
    <row r="66" spans="1:16" x14ac:dyDescent="0.4">
      <c r="A66" s="53" t="s">
        <v>51</v>
      </c>
      <c r="B66" s="6" t="inlineStr">
        <is>
          <t xml:space="preserve">ポップアップツール</t>
        </is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inlineStr">
        <is>
          <t xml:space="preserve">ポップアップツール：初期1.5万・月3万</t>
        </is>
      </c>
    </row>
    <row r="67" spans="1:16" x14ac:dyDescent="0.4">
      <c r="B67" s="6" t="inlineStr">
        <is>
          <t xml:space="preserve">サンクスLINE誘導</t>
        </is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inlineStr">
        <is>
          <t xml:space="preserve">サンクスLINE誘導：初期15万・月3万〜</t>
        </is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inlineStr">
        <is>
          <t xml:space="preserve">アカウント費：FMTの式（開設3万円）</t>
        </is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LINE運用コンサル（プラン②）</t>
        </is>
      </c>
      <c r="C69" s="90">
        <v>0</v>
      </c>
      <c r="D69" s="51">
        <v>100000</v>
      </c>
      <c r="E69" s="28">
        <v>300000</v>
      </c>
      <c r="F69" s="28">
        <v>100000</v>
      </c>
      <c r="G69" s="28">
        <v>100000</v>
      </c>
      <c r="H69" s="28">
        <v>300000</v>
      </c>
      <c r="I69" s="28">
        <v>100000</v>
      </c>
      <c r="J69" s="28">
        <v>100000</v>
      </c>
      <c r="N69" s="69" t="inlineStr">
        <is>
          <t xml:space="preserve">LINE運用コンサル（プラン②）：初期10万円〜／平常期 月5〜10万円（10万で計算）／イベント期 月30万円程度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>SUM(E65:E72)+E54</f>
      </c>
      <c r="F73" s="114">
        <f>SUM(F65:F72)+F54</f>
      </c>
      <c r="G73" s="114">
        <f>SUM(G65:G72)+G54</f>
      </c>
      <c r="H73" s="114">
        <f>SUM(H65:H72)+H54</f>
      </c>
      <c r="I73" s="114">
        <f>SUM(I65:I72)+I54</f>
      </c>
      <c r="J73" s="114">
        <f>SUM(J65:J72)+J54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+'SIM_ポップアップ＋サンクスLINE'!D24</f>
      </c>
      <c r="D4" s="28">
        <f>+'SIM_ポップアップ＋サンクスLINE'!G51</f>
      </c>
      <c r="E4" s="28">
        <f>+'SIM_ポップアップ＋サンクスLINE'!J51</f>
      </c>
      <c r="F4" s="28"/>
    </row>
    <row r="5" spans="1:25" x14ac:dyDescent="0.4">
      <c r="A5" s="85" t="s">
        <v>167</v>
      </c>
      <c r="B5" s="7"/>
      <c r="C5" s="86">
        <f>+'SIM_ポップアップ＋サンクスLINE'!D25</f>
      </c>
      <c r="D5" s="28">
        <f>+'SIM_ポップアップ＋サンクスLINE'!G61</f>
      </c>
      <c r="E5" s="28">
        <f>+'SIM_ポップアップ＋サンクスLINE'!J61</f>
      </c>
      <c r="F5" s="27"/>
    </row>
    <row r="6" spans="1:25" x14ac:dyDescent="0.4">
      <c r="A6" s="85" t="s">
        <v>83</v>
      </c>
      <c r="B6" s="7"/>
      <c r="C6" s="117">
        <f>+'SIM_ポップアップ＋サンクスLINE'!D28</f>
      </c>
      <c r="D6" s="87">
        <f>+'SIM_ポップアップ＋サンクスLINE'!G28</f>
      </c>
      <c r="E6" s="87">
        <f>+'SIM_ポップアップ＋サンクスLINE'!J28</f>
      </c>
      <c r="F6" s="10"/>
    </row>
    <row r="7" spans="1:25" x14ac:dyDescent="0.4">
      <c r="A7" s="85" t="s">
        <v>84</v>
      </c>
      <c r="B7" s="7"/>
      <c r="C7" s="88">
        <f>+'SIM_ポップアップ＋サンクスLINE'!D27</f>
      </c>
      <c r="D7" s="89">
        <f>+'SIM_ポップアップ＋サンクスLINE'!G27</f>
      </c>
      <c r="E7" s="89">
        <f>+'SIM_ポップアップ＋サンクスLINE'!J27</f>
      </c>
      <c r="F7" s="89"/>
    </row>
    <row r="8" spans="1:25" x14ac:dyDescent="0.4">
      <c r="A8" s="85" t="s">
        <v>85</v>
      </c>
      <c r="B8" s="7"/>
      <c r="C8" s="117">
        <f>+'SIM_ポップアップ＋サンクスLINE'!D29</f>
      </c>
      <c r="D8" s="10">
        <f>+'SIM_ポップアップ＋サンクスLINE'!G29</f>
      </c>
      <c r="E8" s="10">
        <f>+'SIM_ポップアップ＋サンクスLINE'!J29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+'SIM_ポップアップ＋サンクスLINE'!D34</f>
      </c>
      <c r="D10" s="10">
        <f>+'SIM_ポップアップ＋サンクスLINE'!G34</f>
      </c>
      <c r="E10" s="10">
        <f>+'SIM_ポップアップ＋サンクスLINE'!J34</f>
      </c>
      <c r="F10" s="10"/>
    </row>
    <row r="11" spans="1:25" x14ac:dyDescent="0.4">
      <c r="A11" s="85" t="s">
        <v>90</v>
      </c>
      <c r="B11" s="7"/>
      <c r="C11" s="117">
        <f>+'SIM_ポップアップ＋サンクスLINE'!D35</f>
      </c>
      <c r="D11" s="10">
        <f>+'SIM_ポップアップ＋サンクスLINE'!G35</f>
      </c>
      <c r="E11" s="10">
        <f>+'SIM_ポップアップ＋サンクスLINE'!J35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inlineStr">
        <is>
          <t xml:space="preserve">セミナー予約（広告・イベント1回あたり）</t>
        </is>
      </c>
      <c r="B15" s="7"/>
      <c r="C15" s="87">
        <f>+'SIM_ポップアップ＋サンクスLINE'!$H$10</f>
      </c>
      <c r="D15" s="87">
        <f>+'SIM_ポップアップ＋サンクスLINE'!$H$10</f>
      </c>
      <c r="E15" s="87">
        <f>+'SIM_ポップアップ＋サンクスLINE'!$H$10</f>
      </c>
      <c r="F15" s="87"/>
      <c r="R15" s="5" t="s">
        <v>59</v>
      </c>
    </row>
    <row r="16" spans="1:25" x14ac:dyDescent="0.4">
      <c r="A16" s="85" t="inlineStr">
        <is>
          <t xml:space="preserve">CV数（+LINEOA施策）</t>
        </is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CV①_セミナー予約</t>
        </is>
      </c>
      <c r="B17" s="7"/>
      <c r="C17" s="87">
        <f>+'SIM_ポップアップ＋サンクスLINE'!D36</f>
      </c>
      <c r="D17" s="87">
        <f>+'SIM_ポップアップ＋サンクスLINE'!G36</f>
      </c>
      <c r="E17" s="87">
        <f>+'SIM_ポップアップ＋サンクスLINE'!J36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CV②_サロン入会</t>
        </is>
      </c>
      <c r="B18" s="7"/>
      <c r="C18" s="87">
        <f>+'SIM_ポップアップ＋サンクスLINE'!D37</f>
      </c>
      <c r="D18" s="87">
        <f>+'SIM_ポップアップ＋サンクスLINE'!G37</f>
      </c>
      <c r="E18" s="87">
        <f>+'SIM_ポップアップ＋サンクスLINE'!J37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inlineStr">
        <is>
          <t xml:space="preserve">-</t>
        </is>
      </c>
      <c r="B19" s="7"/>
      <c r="C19" s="87">
        <f>+'SIM_ポップアップ＋サンクスLINE'!D38</f>
      </c>
      <c r="D19" s="87">
        <f>+'SIM_ポップアップ＋サンクスLINE'!G38</f>
      </c>
      <c r="E19" s="87">
        <f>+'SIM_ポップアップ＋サンクスLINE'!J38</f>
      </c>
      <c r="F19" s="10"/>
      <c r="R19" s="34"/>
      <c r="T19" s="34"/>
      <c r="V19" s="34"/>
      <c r="X19" s="34"/>
      <c r="Y19" s="35"/>
    </row>
    <row r="20" spans="1:25" x14ac:dyDescent="0.4">
      <c r="A20" s="85" t="inlineStr">
        <is>
          <t xml:space="preserve">-</t>
        </is>
      </c>
      <c r="B20" s="7"/>
      <c r="C20" s="87">
        <f>+'SIM_ポップアップ＋サンクスLINE'!D39</f>
      </c>
      <c r="D20" s="87">
        <f>+'SIM_ポップアップ＋サンクスLINE'!G39</f>
      </c>
      <c r="E20" s="87">
        <f>+'SIM_ポップアップ＋サンクスLINE'!J39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+'SIM_ポップアップ＋サンクスLINE'!E68+C29*C30</f>
      </c>
      <c r="D25" s="10">
        <f>+'SIM_ポップアップ＋サンクスLINE'!G68+D29*D30</f>
      </c>
      <c r="E25" s="10">
        <f>+'SIM_ポップアップ＋サンクスLINE'!J68+E29*E30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SIM_ポップアップ＋サンクスLINE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
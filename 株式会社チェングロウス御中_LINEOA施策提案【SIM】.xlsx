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IM1_" sheetId="1" state="visible" r:id="rId1"/>
    <sheet xmlns:r="http://schemas.openxmlformats.org/officeDocument/2006/relationships" name="SIM2_" sheetId="2" state="visible" r:id="rId2"/>
    <sheet xmlns:r="http://schemas.openxmlformats.org/officeDocument/2006/relationships" name="SIM1_比較" sheetId="3" state="visible" r:id="rId3"/>
    <sheet xmlns:r="http://schemas.openxmlformats.org/officeDocument/2006/relationships" name="SIM考え方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¥&quot;#,##0;[Red]&quot;¥&quot;\-#,##0"/>
  </numFmts>
  <fonts count="2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メイリオ"/>
      <charset val="128"/>
      <family val="3"/>
      <b val="1"/>
      <color theme="1"/>
      <sz val="14"/>
    </font>
    <font>
      <name val="メイリオ"/>
      <charset val="128"/>
      <family val="3"/>
      <color theme="1"/>
      <sz val="14"/>
    </font>
    <font>
      <name val="メイリオ"/>
      <charset val="128"/>
      <family val="3"/>
      <b val="1"/>
      <color theme="0"/>
      <sz val="11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0" tint="-0.3499862666707358"/>
      <sz val="11"/>
    </font>
    <font>
      <name val="メイリオ"/>
      <charset val="128"/>
      <family val="3"/>
      <b val="1"/>
      <color theme="1"/>
      <sz val="11"/>
    </font>
    <font>
      <name val="メイリオ"/>
      <charset val="128"/>
      <family val="3"/>
      <color theme="1"/>
      <sz val="10"/>
    </font>
    <font>
      <name val="メイリオ"/>
      <charset val="128"/>
      <family val="3"/>
      <color theme="1"/>
      <sz val="9"/>
    </font>
    <font>
      <name val="メイリオ"/>
      <charset val="128"/>
      <family val="3"/>
      <color rgb="FFFF0000"/>
      <sz val="11"/>
    </font>
    <font>
      <name val="メイリオ"/>
      <charset val="128"/>
      <family val="3"/>
      <b val="1"/>
      <color rgb="FFFF0000"/>
      <sz val="11"/>
    </font>
    <font>
      <name val="メイリオ"/>
      <charset val="128"/>
      <family val="3"/>
      <b val="1"/>
      <color theme="1"/>
      <sz val="10"/>
    </font>
    <font>
      <name val="メイリオ"/>
      <charset val="128"/>
      <family val="3"/>
      <color theme="2" tint="-0.499984740745262"/>
      <sz val="11"/>
    </font>
    <font>
      <name val="メイリオ"/>
      <charset val="128"/>
      <family val="3"/>
      <b val="1"/>
      <color theme="1"/>
      <sz val="20"/>
    </font>
    <font>
      <name val="メイリオ"/>
      <charset val="128"/>
      <family val="3"/>
      <color rgb="FF000000"/>
      <sz val="11"/>
    </font>
    <font>
      <name val="メイリオ"/>
      <charset val="128"/>
      <family val="3"/>
      <color rgb="FF000000"/>
      <sz val="12"/>
    </font>
    <font>
      <name val="Arial"/>
      <family val="2"/>
      <sz val="12"/>
    </font>
    <font>
      <name val="メイリオ"/>
      <charset val="128"/>
      <family val="3"/>
      <color rgb="FFFF0000"/>
      <sz val="12"/>
    </font>
    <font>
      <name val="メイリオ"/>
      <charset val="128"/>
      <family val="3"/>
      <b val="1"/>
      <color rgb="FF000000"/>
      <sz val="12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メイリオ"/>
      <charset val="128"/>
      <family val="3"/>
      <color theme="2" tint="-0.749992370372631"/>
      <sz val="11"/>
    </font>
    <font>
      <name val="メイリオ"/>
      <charset val="128"/>
      <family val="3"/>
      <color theme="0" tint="-0.249977111117893"/>
      <sz val="11"/>
    </font>
    <font>
      <name val="メイリオ"/>
      <charset val="128"/>
      <family val="3"/>
      <color rgb="FFFF0000"/>
      <sz val="9"/>
    </font>
  </fonts>
  <fills count="1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0.0999786370433668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  <xf numFmtId="9" fontId="1" fillId="0" borderId="0" applyAlignment="1">
      <alignment vertical="center"/>
    </xf>
  </cellStyleXfs>
  <cellXfs count="192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1" xfId="0">
      <alignment horizontal="right" vertical="center"/>
    </xf>
    <xf numFmtId="38" fontId="6" fillId="0" borderId="1" applyAlignment="1" pivotButton="0" quotePrefix="0" xfId="1">
      <alignment vertical="center"/>
    </xf>
    <xf numFmtId="0" fontId="6" fillId="9" borderId="1" applyAlignment="1" pivotButton="0" quotePrefix="0" xfId="0">
      <alignment vertical="center"/>
    </xf>
    <xf numFmtId="38" fontId="6" fillId="9" borderId="1" applyAlignment="1" pivotButton="0" quotePrefix="0" xfId="1">
      <alignment vertical="center"/>
    </xf>
    <xf numFmtId="0" fontId="8" fillId="8" borderId="1" applyAlignment="1" pivotButton="0" quotePrefix="0" xfId="0">
      <alignment vertical="center"/>
    </xf>
    <xf numFmtId="0" fontId="7" fillId="9" borderId="1" applyAlignment="1" pivotButton="0" quotePrefix="1" xfId="0">
      <alignment horizontal="right" vertical="center"/>
    </xf>
    <xf numFmtId="0" fontId="10" fillId="0" borderId="0" applyAlignment="1" pivotButton="0" quotePrefix="0" xfId="0">
      <alignment vertical="center"/>
    </xf>
    <xf numFmtId="0" fontId="6" fillId="0" borderId="1" applyAlignment="1" pivotButton="0" quotePrefix="1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0" fontId="6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164" fontId="6" fillId="0" borderId="0" applyAlignment="1" pivotButton="0" quotePrefix="0" xfId="3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1" borderId="0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0" fontId="8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0" fontId="6" fillId="0" borderId="1" applyAlignment="1" pivotButton="0" quotePrefix="0" xfId="3">
      <alignment vertical="center"/>
    </xf>
    <xf numFmtId="165" fontId="8" fillId="0" borderId="1" applyAlignment="1" pivotButton="0" quotePrefix="0" xfId="2">
      <alignment horizontal="center" vertical="center"/>
    </xf>
    <xf numFmtId="3" fontId="6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55" fontId="5" fillId="3" borderId="1" applyAlignment="1" pivotButton="0" quotePrefix="0" xfId="0">
      <alignment horizontal="center" vertical="center"/>
    </xf>
    <xf numFmtId="165" fontId="6" fillId="0" borderId="0" applyAlignment="1" pivotButton="0" quotePrefix="0" xfId="2">
      <alignment vertical="center"/>
    </xf>
    <xf numFmtId="0" fontId="8" fillId="0" borderId="1" applyAlignment="1" pivotButton="0" quotePrefix="1" xfId="0">
      <alignment horizontal="center"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3">
      <alignment vertical="center"/>
    </xf>
    <xf numFmtId="38" fontId="11" fillId="0" borderId="0" applyAlignment="1" pivotButton="0" quotePrefix="0" xfId="1">
      <alignment vertical="center"/>
    </xf>
    <xf numFmtId="3" fontId="17" fillId="12" borderId="7" applyAlignment="1" pivotButton="0" quotePrefix="0" xfId="0">
      <alignment horizontal="center" vertical="center" wrapText="1" readingOrder="1"/>
    </xf>
    <xf numFmtId="3" fontId="17" fillId="0" borderId="7" applyAlignment="1" pivotButton="0" quotePrefix="0" xfId="0">
      <alignment horizontal="center" vertical="center" wrapText="1" readingOrder="1"/>
    </xf>
    <xf numFmtId="0" fontId="17" fillId="12" borderId="7" applyAlignment="1" pivotButton="0" quotePrefix="0" xfId="0">
      <alignment horizontal="right" vertical="center" wrapText="1" readingOrder="1"/>
    </xf>
    <xf numFmtId="0" fontId="17" fillId="0" borderId="7" applyAlignment="1" pivotButton="0" quotePrefix="0" xfId="0">
      <alignment horizontal="right" vertical="center" wrapText="1" readingOrder="1"/>
    </xf>
    <xf numFmtId="3" fontId="17" fillId="0" borderId="7" applyAlignment="1" pivotButton="0" quotePrefix="0" xfId="0">
      <alignment horizontal="right" vertical="center" wrapText="1" readingOrder="1"/>
    </xf>
    <xf numFmtId="10" fontId="17" fillId="0" borderId="7" applyAlignment="1" pivotButton="0" quotePrefix="0" xfId="0">
      <alignment horizontal="right" vertical="center" wrapText="1" readingOrder="1"/>
    </xf>
    <xf numFmtId="0" fontId="19" fillId="12" borderId="7" applyAlignment="1" pivotButton="0" quotePrefix="0" xfId="0">
      <alignment horizontal="right" vertical="center" wrapText="1" readingOrder="1"/>
    </xf>
    <xf numFmtId="3" fontId="19" fillId="0" borderId="7" applyAlignment="1" pivotButton="0" quotePrefix="0" xfId="0">
      <alignment horizontal="right" vertical="center" wrapText="1" readingOrder="1"/>
    </xf>
    <xf numFmtId="3" fontId="20" fillId="0" borderId="7" applyAlignment="1" pivotButton="0" quotePrefix="0" xfId="0">
      <alignment horizontal="right" vertical="center" wrapText="1" readingOrder="1"/>
    </xf>
    <xf numFmtId="165" fontId="6" fillId="10" borderId="1" applyAlignment="1" pivotButton="0" quotePrefix="0" xfId="2">
      <alignment vertical="center"/>
    </xf>
    <xf numFmtId="0" fontId="9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2" fillId="8" borderId="0" applyAlignment="1" pivotButton="0" quotePrefix="0" xfId="0">
      <alignment vertical="center"/>
    </xf>
    <xf numFmtId="0" fontId="15" fillId="0" borderId="0" applyAlignment="1" pivotButton="0" quotePrefix="1" xfId="0">
      <alignment vertical="center"/>
    </xf>
    <xf numFmtId="0" fontId="18" fillId="0" borderId="7" applyAlignment="1" pivotButton="0" quotePrefix="0" xfId="0">
      <alignment horizontal="center" vertical="center" wrapText="1"/>
    </xf>
    <xf numFmtId="0" fontId="18" fillId="10" borderId="7" applyAlignment="1" pivotButton="0" quotePrefix="0" xfId="0">
      <alignment horizontal="center" vertical="center" wrapText="1"/>
    </xf>
    <xf numFmtId="0" fontId="22" fillId="13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  <xf numFmtId="38" fontId="17" fillId="0" borderId="7" applyAlignment="1" pivotButton="0" quotePrefix="0" xfId="1">
      <alignment horizontal="right" vertical="center" wrapText="1" readingOrder="1"/>
    </xf>
    <xf numFmtId="0" fontId="8" fillId="0" borderId="1" applyAlignment="1" pivotButton="0" quotePrefix="1" xfId="0">
      <alignment horizontal="right" vertical="center"/>
    </xf>
    <xf numFmtId="165" fontId="8" fillId="0" borderId="1" applyAlignment="1" pivotButton="0" quotePrefix="0" xfId="2">
      <alignment vertical="center"/>
    </xf>
    <xf numFmtId="0" fontId="21" fillId="0" borderId="0" applyAlignment="1" pivotButton="0" quotePrefix="0" xfId="0">
      <alignment horizontal="center" vertical="center"/>
    </xf>
    <xf numFmtId="0" fontId="21" fillId="8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23" fillId="1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9" fontId="11" fillId="0" borderId="0" applyAlignment="1" pivotButton="0" quotePrefix="0" xfId="3">
      <alignment horizontal="center" vertical="center"/>
    </xf>
    <xf numFmtId="0" fontId="6" fillId="7" borderId="0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164" fontId="8" fillId="7" borderId="0" applyAlignment="1" pivotButton="0" quotePrefix="0" xfId="3">
      <alignment horizontal="center" vertical="center"/>
    </xf>
    <xf numFmtId="9" fontId="6" fillId="7" borderId="0" applyAlignment="1" pivotButton="0" quotePrefix="0" xfId="0">
      <alignment horizontal="center" vertical="center"/>
    </xf>
    <xf numFmtId="10" fontId="6" fillId="7" borderId="0" applyAlignment="1" pivotButton="0" quotePrefix="0" xfId="3">
      <alignment horizontal="center" vertical="center"/>
    </xf>
    <xf numFmtId="165" fontId="6" fillId="0" borderId="1" applyAlignment="1" pivotButton="0" quotePrefix="1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8" fillId="11" borderId="1" applyAlignment="1" pivotButton="0" quotePrefix="0" xfId="0">
      <alignment vertical="center"/>
    </xf>
    <xf numFmtId="0" fontId="8" fillId="13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5" fontId="6" fillId="10" borderId="1" applyAlignment="1" pivotButton="0" quotePrefix="0" xfId="2">
      <alignment horizontal="right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3">
      <alignment vertical="center"/>
    </xf>
    <xf numFmtId="165" fontId="6" fillId="0" borderId="1" applyAlignment="1" pivotButton="0" quotePrefix="0" xfId="2">
      <alignment horizontal="right" vertical="center"/>
    </xf>
    <xf numFmtId="38" fontId="6" fillId="0" borderId="0" applyAlignment="1" pivotButton="0" quotePrefix="0" xfId="1">
      <alignment vertical="center"/>
    </xf>
    <xf numFmtId="0" fontId="8" fillId="11" borderId="0" applyAlignment="1" pivotButton="0" quotePrefix="0" xfId="0">
      <alignment vertical="center"/>
    </xf>
    <xf numFmtId="0" fontId="8" fillId="13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6" fillId="2" borderId="6" applyAlignment="1" pivotButton="0" quotePrefix="0" xfId="0">
      <alignment horizontal="right" vertical="center"/>
    </xf>
    <xf numFmtId="165" fontId="6" fillId="2" borderId="6" applyAlignment="1" pivotButton="0" quotePrefix="0" xfId="0">
      <alignment horizontal="right" vertical="center"/>
    </xf>
    <xf numFmtId="0" fontId="8" fillId="7" borderId="6" applyAlignment="1" pivotButton="0" quotePrefix="0" xfId="0">
      <alignment horizontal="right" vertical="center"/>
    </xf>
    <xf numFmtId="38" fontId="19" fillId="12" borderId="7" applyAlignment="1" pivotButton="0" quotePrefix="0" xfId="1">
      <alignment horizontal="right" vertical="center" wrapText="1" readingOrder="1"/>
    </xf>
    <xf numFmtId="164" fontId="17" fillId="12" borderId="7" applyAlignment="1" pivotButton="0" quotePrefix="0" xfId="3">
      <alignment horizontal="right" vertical="center" wrapText="1" readingOrder="1"/>
    </xf>
    <xf numFmtId="38" fontId="17" fillId="12" borderId="7" applyAlignment="1" pivotButton="0" quotePrefix="0" xfId="1">
      <alignment horizontal="right" vertical="center" wrapText="1" readingOrder="1"/>
    </xf>
    <xf numFmtId="38" fontId="20" fillId="12" borderId="7" applyAlignment="1" pivotButton="0" quotePrefix="0" xfId="1">
      <alignment horizontal="right" vertical="center" wrapText="1" readingOrder="1"/>
    </xf>
    <xf numFmtId="165" fontId="5" fillId="5" borderId="6" applyAlignment="1" pivotButton="0" quotePrefix="0" xfId="0">
      <alignment horizontal="right" vertical="center"/>
    </xf>
    <xf numFmtId="38" fontId="16" fillId="0" borderId="7" applyAlignment="1" pivotButton="0" quotePrefix="0" xfId="1">
      <alignment horizontal="right" vertical="center" wrapText="1" readingOrder="1"/>
    </xf>
    <xf numFmtId="0" fontId="6" fillId="8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38" fontId="6" fillId="9" borderId="1" applyAlignment="1" pivotButton="0" quotePrefix="0" xfId="0">
      <alignment vertical="center"/>
    </xf>
    <xf numFmtId="9" fontId="8" fillId="0" borderId="0" applyAlignment="1" pivotButton="0" quotePrefix="0" xfId="3">
      <alignment vertical="center"/>
    </xf>
    <xf numFmtId="38" fontId="6" fillId="0" borderId="1" applyAlignment="1" pivotButton="0" quotePrefix="0" xfId="0">
      <alignment vertical="center"/>
    </xf>
    <xf numFmtId="0" fontId="5" fillId="5" borderId="5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11" fillId="6" borderId="5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0" borderId="12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8" fillId="0" borderId="15" applyAlignment="1" pivotButton="0" quotePrefix="0" xfId="0">
      <alignment vertical="center"/>
    </xf>
    <xf numFmtId="0" fontId="8" fillId="0" borderId="8" applyAlignment="1" pivotButton="0" quotePrefix="0" xfId="0">
      <alignment horizontal="center" vertical="center"/>
    </xf>
    <xf numFmtId="38" fontId="8" fillId="7" borderId="9" applyAlignment="1" pivotButton="0" quotePrefix="0" xfId="1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8" fontId="8" fillId="7" borderId="0" applyAlignment="1" pivotButton="0" quotePrefix="0" xfId="1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38" fontId="8" fillId="7" borderId="14" applyAlignment="1" pivotButton="0" quotePrefix="0" xfId="1">
      <alignment horizontal="center" vertical="center"/>
    </xf>
    <xf numFmtId="0" fontId="8" fillId="0" borderId="14" applyAlignment="1" pivotButton="0" quotePrefix="0" xfId="0">
      <alignment horizontal="center" vertical="center"/>
    </xf>
    <xf numFmtId="38" fontId="8" fillId="7" borderId="10" applyAlignment="1" pivotButton="0" quotePrefix="0" xfId="1">
      <alignment horizontal="center" vertical="center"/>
    </xf>
    <xf numFmtId="0" fontId="6" fillId="0" borderId="16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8" borderId="0" applyAlignment="1" pivotButton="0" quotePrefix="0" xfId="0">
      <alignment horizontal="center" vertical="center"/>
    </xf>
    <xf numFmtId="14" fontId="8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0" borderId="0" applyAlignment="1" pivotButton="0" quotePrefix="0" xfId="3">
      <alignment horizontal="center" vertical="center"/>
    </xf>
    <xf numFmtId="164" fontId="8" fillId="7" borderId="0" applyAlignment="1" pivotButton="0" quotePrefix="0" xfId="3">
      <alignment horizontal="center" vertical="center"/>
    </xf>
    <xf numFmtId="164" fontId="17" fillId="12" borderId="7" applyAlignment="1" pivotButton="0" quotePrefix="0" xfId="3">
      <alignment horizontal="right" vertical="center" wrapText="1" readingOrder="1"/>
    </xf>
    <xf numFmtId="0" fontId="11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0" fontId="6" fillId="7" borderId="1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65" fontId="6" fillId="2" borderId="6" applyAlignment="1" pivotButton="0" quotePrefix="0" xfId="0">
      <alignment horizontal="right" vertical="center"/>
    </xf>
    <xf numFmtId="165" fontId="6" fillId="0" borderId="1" applyAlignment="1" pivotButton="0" quotePrefix="1" xfId="0">
      <alignment horizontal="right"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165" fontId="8" fillId="0" borderId="1" applyAlignment="1" pivotButton="0" quotePrefix="0" xfId="2">
      <alignment vertical="center"/>
    </xf>
    <xf numFmtId="165" fontId="5" fillId="5" borderId="6" applyAlignment="1" pivotButton="0" quotePrefix="0" xfId="0">
      <alignment horizontal="right" vertical="center"/>
    </xf>
    <xf numFmtId="165" fontId="6" fillId="0" borderId="1" applyAlignment="1" pivotButton="0" quotePrefix="0" xfId="3">
      <alignment vertical="center"/>
    </xf>
    <xf numFmtId="165" fontId="6" fillId="0" borderId="0" applyAlignment="1" pivotButton="0" quotePrefix="0" xfId="2">
      <alignment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2">
      <alignment horizontal="right" vertical="center"/>
    </xf>
    <xf numFmtId="165" fontId="6" fillId="10" borderId="1" applyAlignment="1" pivotButton="0" quotePrefix="0" xfId="2">
      <alignment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165" fontId="6" fillId="10" borderId="1" applyAlignment="1" pivotButton="0" quotePrefix="0" xfId="2">
      <alignment horizontal="right" vertical="center"/>
    </xf>
    <xf numFmtId="164" fontId="6" fillId="0" borderId="1" applyAlignment="1" pivotButton="0" quotePrefix="0" xfId="3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</cellXfs>
  <cellStyles count="4">
    <cellStyle name="標準" xfId="0" builtinId="0"/>
    <cellStyle name="桁区切り" xfId="1" builtinId="6"/>
    <cellStyle name="通貨" xfId="2" builtinId="7"/>
    <cellStyle name="パーセント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76"/>
  <sheetViews>
    <sheetView tabSelected="1" zoomScale="55" zoomScaleNormal="55"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  <c r="C2" s="0" t="inlineStr">
        <is>
          <t>① CPFあり（Meta予算をCPFへ転用）</t>
        </is>
      </c>
    </row>
    <row r="4" ht="45.75" customHeight="1" s="158">
      <c r="A4" s="56" t="inlineStr">
        <is>
          <t>株式会社御中_LINEOA施策提案【SIM】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求人応募・支援サービス登録</t>
        </is>
      </c>
      <c r="D8" s="160" t="n">
        <v>17000</v>
      </c>
      <c r="G8" s="143" t="inlineStr">
        <is>
          <t>UU</t>
        </is>
      </c>
      <c r="H8" s="144" t="n">
        <v>3215</v>
      </c>
      <c r="I8" s="145" t="n"/>
      <c r="J8" s="145" t="inlineStr">
        <is>
          <t>想定顧客リスト</t>
        </is>
      </c>
      <c r="K8" s="152" t="n">
        <v>500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-</t>
        </is>
      </c>
      <c r="D9" s="160" t="n">
        <v>0</v>
      </c>
      <c r="G9" s="146" t="inlineStr">
        <is>
          <t>広告・アフィUU</t>
        </is>
      </c>
      <c r="H9" s="147" t="n">
        <v>1600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1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CV（別施策）1</t>
        </is>
      </c>
      <c r="H10" s="147" t="n">
        <v>8</v>
      </c>
      <c r="I10" s="148" t="inlineStr">
        <is>
          <t>リード（イメージ）</t>
        </is>
      </c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inlineStr">
        <is>
          <t>マネタイズ（イメージ）</t>
        </is>
      </c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</t>
        </is>
      </c>
      <c r="F13" s="36" t="inlineStr">
        <is>
          <t>2か月目</t>
        </is>
      </c>
      <c r="G13" s="36" t="inlineStr">
        <is>
          <t>3か月目</t>
        </is>
      </c>
      <c r="H13" s="36" t="inlineStr">
        <is>
          <t>4か月目</t>
        </is>
      </c>
      <c r="I13" s="36" t="inlineStr">
        <is>
          <t>5か月目</t>
        </is>
      </c>
      <c r="J13" s="36" t="inlineStr">
        <is>
          <t>6か月目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>
        <f>+D14</f>
        <v/>
      </c>
      <c r="F14" s="43">
        <f>+E14</f>
        <v/>
      </c>
      <c r="G14" s="43">
        <f>+F14</f>
        <v/>
      </c>
      <c r="H14" s="43">
        <f>+G14</f>
        <v/>
      </c>
      <c r="I14" s="43">
        <f>+H14</f>
        <v/>
      </c>
      <c r="J14" s="43">
        <f>+I14</f>
        <v/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>
        <f>+D15</f>
        <v/>
      </c>
      <c r="F15" s="43">
        <f>+E15</f>
        <v/>
      </c>
      <c r="G15" s="43">
        <f>+F15</f>
        <v/>
      </c>
      <c r="H15" s="43">
        <f>+G15</f>
        <v/>
      </c>
      <c r="I15" s="43">
        <f>+H15</f>
        <v/>
      </c>
      <c r="J15" s="43">
        <f>+I15</f>
        <v/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>
        <f>+D16</f>
        <v/>
      </c>
      <c r="F16" s="43">
        <f>+E16</f>
        <v/>
      </c>
      <c r="G16" s="43">
        <f>+F16</f>
        <v/>
      </c>
      <c r="H16" s="43">
        <f>+G16</f>
        <v/>
      </c>
      <c r="I16" s="43">
        <f>+H16</f>
        <v/>
      </c>
      <c r="J16" s="43">
        <f>+I16</f>
        <v/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1</v>
      </c>
      <c r="F17" s="57" t="b">
        <v>1</v>
      </c>
      <c r="G17" s="57" t="b">
        <v>1</v>
      </c>
      <c r="H17" s="57" t="b">
        <v>1</v>
      </c>
      <c r="I17" s="57" t="b">
        <v>1</v>
      </c>
      <c r="J17" s="57" t="b">
        <v>1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 t="n">
        <v>743</v>
      </c>
      <c r="F22" s="63" t="n">
        <v>743</v>
      </c>
      <c r="G22" s="63" t="n">
        <v>743</v>
      </c>
      <c r="H22" s="63" t="n">
        <v>743</v>
      </c>
      <c r="I22" s="63" t="n">
        <v>743</v>
      </c>
      <c r="J22" s="63" t="n">
        <v>743</v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IF(E18=FALSE,0,E15*$P$18*0.08*0.08+(E14-E15)*$P$19*0.12*0.12)</f>
        <v/>
      </c>
      <c r="F23" s="46">
        <f>IF(F18=FALSE,0,F15*$P$18*0.08*0.08+(F14-F15)*$P$19*0.12*0.12)</f>
        <v/>
      </c>
      <c r="G23" s="63">
        <f>F23*1.01</f>
        <v/>
      </c>
      <c r="H23" s="63">
        <f>G23*1.01</f>
        <v/>
      </c>
      <c r="I23" s="63">
        <f>H23*1.01</f>
        <v/>
      </c>
      <c r="J23" s="63">
        <f>I23*1.01</f>
        <v/>
      </c>
      <c r="K23" s="11" t="n"/>
      <c r="L23" s="7" t="n"/>
      <c r="N23" s="69" t="inlineStr">
        <is>
          <t>離脱防止表示率×UU×クリック率×実追加率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+IF(E19=FALSE,0,SUM(H10:H11)*0.15)</f>
        <v/>
      </c>
      <c r="F24" s="63">
        <f>E24*1.01</f>
        <v/>
      </c>
      <c r="G24" s="63">
        <f>F24*1.01</f>
        <v/>
      </c>
      <c r="H24" s="63">
        <f>G24*1.01</f>
        <v/>
      </c>
      <c r="I24" s="63">
        <f>H24*1.01</f>
        <v/>
      </c>
      <c r="J24" s="63">
        <f>I24*1.01</f>
        <v/>
      </c>
      <c r="K24" s="11" t="n"/>
      <c r="L24" s="7" t="n"/>
      <c r="N24" s="69" t="inlineStr">
        <is>
          <t>CV(別施策)*誘導成功率*実追加率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+IF(E20=FALSE,0,SUM($H$10:$H$11)*0.7*0.3)+IF($E$21=FALSE,0,$K$8*0.15*0.15)</f>
        <v/>
      </c>
      <c r="F25" s="46">
        <f>+IF(F20=FALSE,0,SUM($H$10:$H$11)*0.7*0.3)+IF($E$21=FALSE,0,$K$8*0.15*0.15)</f>
        <v/>
      </c>
      <c r="G25" s="46">
        <f>+IF(G20=FALSE,0,SUM($H$10:$H$11)*0.7*0.3)+IF($E$21=FALSE,0,$K$8*0.15*0.15)</f>
        <v/>
      </c>
      <c r="H25" s="46">
        <f>+IF(H20=FALSE,0,SUM($H$10:$H$11)*0.7*0.3)+IF($E$21=FALSE,0,$K$8*0.15*0.15)</f>
        <v/>
      </c>
      <c r="I25" s="46">
        <f>+IF(I20=FALSE,0,SUM($H$10:$H$11)*0.7*0.3)+IF($E$21=FALSE,0,$K$8*0.15*0.15)</f>
        <v/>
      </c>
      <c r="J25" s="46">
        <f>+IF(J20=FALSE,0,SUM($H$10:$H$11)*0.7*0.3)+IF($E$21=FALSE,0,$K$8*0.15*0.15)</f>
        <v/>
      </c>
      <c r="K25" s="11" t="n"/>
      <c r="L25" s="7" t="n"/>
      <c r="N25" s="69" t="inlineStr">
        <is>
          <t>サンクス到達*情報一致率(70%前後)*実追加率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+SUM(E22:E25)+$H$9*$P$16+($H$8-$H$9)*$P$15+IF(P9=FALSE,0,$K$8*0.15*0.08)</f>
        <v/>
      </c>
      <c r="F26" s="46">
        <f>+SUM(F22:F25)+$H$9*$P$16+($H$8-$H$9)*$P$15</f>
        <v/>
      </c>
      <c r="G26" s="46">
        <f>+SUM(G22:G25)+$H$9*$P$16+($H$8-$H$9)*$P$15</f>
        <v/>
      </c>
      <c r="H26" s="46">
        <f>+SUM(H22:H25)+$H$9*$P$16+($H$8-$H$9)*$P$15</f>
        <v/>
      </c>
      <c r="I26" s="46">
        <f>+SUM(I22:I25)+$H$9*$P$16+($H$8-$H$9)*$P$15</f>
        <v/>
      </c>
      <c r="J26" s="46">
        <f>+SUM(J22:J25)+$H$9*$P$16+($H$8-$H$9)*$P$15</f>
        <v/>
      </c>
      <c r="K26" s="11" t="n"/>
      <c r="L26" s="7" t="n"/>
      <c r="N26" s="72" t="inlineStr">
        <is>
          <t>※上記記載に追加して、LP、HPからのLINE誘導を加味する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>
        <f>+E27*1.025</f>
        <v/>
      </c>
      <c r="G27" s="47">
        <f>+F27*1.025</f>
        <v/>
      </c>
      <c r="H27" s="47">
        <f>+G27*1.025</f>
        <v/>
      </c>
      <c r="I27" s="47">
        <f>+H27*1.025</f>
        <v/>
      </c>
      <c r="J27" s="47">
        <f>+I27*1.025</f>
        <v/>
      </c>
      <c r="K27" s="11" t="n"/>
      <c r="L27" s="7" t="n"/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</f>
        <v/>
      </c>
      <c r="F35" s="50">
        <f>+F31+F33+1.05*(F31+F33)</f>
        <v/>
      </c>
      <c r="G35" s="50">
        <f>+G31+G33+1.05*(G31+G33)</f>
        <v/>
      </c>
      <c r="H35" s="50">
        <f>+H31+H33+1.05*(H31+H33)</f>
        <v/>
      </c>
      <c r="I35" s="50">
        <f>+I31+I33+1.05*(I31+I33)</f>
        <v/>
      </c>
      <c r="J35" s="50">
        <f>+J31+J33+1.05*(J31+J33)</f>
        <v/>
      </c>
      <c r="K35" s="11" t="n"/>
      <c r="L35" s="7" t="n"/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5</v>
      </c>
      <c r="F36" s="111" t="n">
        <v>10</v>
      </c>
      <c r="G36" s="111" t="n">
        <v>17</v>
      </c>
      <c r="H36" s="111" t="n">
        <v>17</v>
      </c>
      <c r="I36" s="111" t="n">
        <v>21</v>
      </c>
      <c r="J36" s="111" t="n">
        <v>25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 t="n">
        <v>0</v>
      </c>
      <c r="F37" s="111" t="n">
        <v>0</v>
      </c>
      <c r="G37" s="111" t="n">
        <v>0</v>
      </c>
      <c r="H37" s="111" t="n">
        <v>0</v>
      </c>
      <c r="I37" s="111" t="n">
        <v>0</v>
      </c>
      <c r="J37" s="111" t="n">
        <v>0</v>
      </c>
      <c r="K37" s="115">
        <f>SUM(E37:J37)</f>
        <v/>
      </c>
      <c r="L37" s="7" t="n"/>
      <c r="N37" s="69" t="inlineStr">
        <is>
          <t>新規向け_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0</v>
      </c>
      <c r="E67" s="178" t="n">
        <v>0</v>
      </c>
      <c r="F67" s="178" t="n">
        <v>0</v>
      </c>
      <c r="G67" s="178" t="n">
        <v>0</v>
      </c>
      <c r="H67" s="178" t="n">
        <v>0</v>
      </c>
      <c r="I67" s="178" t="n">
        <v>0</v>
      </c>
      <c r="J67" s="178" t="n">
        <v>0</v>
      </c>
      <c r="N67" s="69" t="inlineStr">
        <is>
          <t>サンクス誘導：初期10万円/通期5万円　※20%のコストカットOK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0</v>
      </c>
      <c r="F69" s="178" t="n">
        <v>0</v>
      </c>
      <c r="G69" s="178" t="n">
        <v>0</v>
      </c>
      <c r="H69" s="178" t="n">
        <v>0</v>
      </c>
      <c r="I69" s="178" t="n">
        <v>0</v>
      </c>
      <c r="J69" s="178" t="n">
        <v>0</v>
      </c>
      <c r="N69" s="69" t="inlineStr">
        <is>
          <t>コンサル費用固定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0</v>
      </c>
      <c r="E70" s="178" t="n">
        <v>70000</v>
      </c>
      <c r="F70" s="178" t="n">
        <v>70000</v>
      </c>
      <c r="G70" s="178" t="n">
        <v>70000</v>
      </c>
      <c r="H70" s="178" t="n">
        <v>70000</v>
      </c>
      <c r="I70" s="178" t="n">
        <v>70000</v>
      </c>
      <c r="J70" s="178" t="n">
        <v>70000</v>
      </c>
      <c r="N70" s="69" t="inlineStr">
        <is>
          <t>コンサル費用ショット（開発、初期費用）</t>
        </is>
      </c>
    </row>
    <row r="71">
      <c r="A71" s="15" t="n"/>
      <c r="B71" s="6" t="inlineStr">
        <is>
          <t>CPF広告費(Meta転用)</t>
        </is>
      </c>
      <c r="C71" s="184" t="n">
        <v>0</v>
      </c>
      <c r="D71" s="185" t="n">
        <v>0</v>
      </c>
      <c r="E71" s="178" t="n">
        <v>208000</v>
      </c>
      <c r="F71" s="178" t="n">
        <v>208000</v>
      </c>
      <c r="G71" s="178" t="n">
        <v>208000</v>
      </c>
      <c r="H71" s="178" t="n">
        <v>208000</v>
      </c>
      <c r="I71" s="178" t="n">
        <v>208000</v>
      </c>
      <c r="J71" s="178" t="n">
        <v>208000</v>
      </c>
      <c r="N71" s="69" t="inlineStr">
        <is>
          <t>通知メッセージ：要相談、（）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Z76"/>
  <sheetViews>
    <sheetView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  <c r="C2" s="0" t="inlineStr">
        <is>
          <t>② CPFなし（サイト流入のみ）</t>
        </is>
      </c>
    </row>
    <row r="4" ht="45.75" customHeight="1" s="158">
      <c r="A4" s="56" t="inlineStr">
        <is>
          <t>株式会社御中_LINEOA施策提案【SIM】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求人応募・支援サービス登録</t>
        </is>
      </c>
      <c r="D8" s="160" t="n">
        <v>17000</v>
      </c>
      <c r="G8" s="143" t="inlineStr">
        <is>
          <t>UU</t>
        </is>
      </c>
      <c r="H8" s="144" t="n">
        <v>3215</v>
      </c>
      <c r="I8" s="145" t="n"/>
      <c r="J8" s="145" t="inlineStr">
        <is>
          <t>想定顧客リスト</t>
        </is>
      </c>
      <c r="K8" s="152" t="n">
        <v>500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-</t>
        </is>
      </c>
      <c r="D9" s="160" t="n">
        <v>0</v>
      </c>
      <c r="G9" s="146" t="inlineStr">
        <is>
          <t>広告・アフィUU</t>
        </is>
      </c>
      <c r="H9" s="147" t="n">
        <v>1600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1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CV（別施策）1</t>
        </is>
      </c>
      <c r="H10" s="147" t="n">
        <v>8</v>
      </c>
      <c r="I10" s="148" t="inlineStr">
        <is>
          <t>リード（イメージ）</t>
        </is>
      </c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inlineStr">
        <is>
          <t>マネタイズ（イメージ）</t>
        </is>
      </c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</t>
        </is>
      </c>
      <c r="F13" s="36" t="inlineStr">
        <is>
          <t>2か月目</t>
        </is>
      </c>
      <c r="G13" s="36" t="inlineStr">
        <is>
          <t>3か月目</t>
        </is>
      </c>
      <c r="H13" s="36" t="inlineStr">
        <is>
          <t>4か月目</t>
        </is>
      </c>
      <c r="I13" s="36" t="inlineStr">
        <is>
          <t>5か月目</t>
        </is>
      </c>
      <c r="J13" s="36" t="inlineStr">
        <is>
          <t>6か月目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>
        <f>+D14</f>
        <v/>
      </c>
      <c r="F14" s="43">
        <f>+E14</f>
        <v/>
      </c>
      <c r="G14" s="43">
        <f>+F14</f>
        <v/>
      </c>
      <c r="H14" s="43">
        <f>+G14</f>
        <v/>
      </c>
      <c r="I14" s="43">
        <f>+H14</f>
        <v/>
      </c>
      <c r="J14" s="43">
        <f>+I14</f>
        <v/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>
        <f>+D15</f>
        <v/>
      </c>
      <c r="F15" s="43">
        <f>+E15</f>
        <v/>
      </c>
      <c r="G15" s="43">
        <f>+F15</f>
        <v/>
      </c>
      <c r="H15" s="43">
        <f>+G15</f>
        <v/>
      </c>
      <c r="I15" s="43">
        <f>+H15</f>
        <v/>
      </c>
      <c r="J15" s="43">
        <f>+I15</f>
        <v/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>
        <f>+D16</f>
        <v/>
      </c>
      <c r="F16" s="43">
        <f>+E16</f>
        <v/>
      </c>
      <c r="G16" s="43">
        <f>+F16</f>
        <v/>
      </c>
      <c r="H16" s="43">
        <f>+G16</f>
        <v/>
      </c>
      <c r="I16" s="43">
        <f>+H16</f>
        <v/>
      </c>
      <c r="J16" s="43">
        <f>+I16</f>
        <v/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 t="n">
        <v>0</v>
      </c>
      <c r="F22" s="63" t="n">
        <v>0</v>
      </c>
      <c r="G22" s="63" t="n">
        <v>0</v>
      </c>
      <c r="H22" s="63" t="n">
        <v>0</v>
      </c>
      <c r="I22" s="63" t="n">
        <v>0</v>
      </c>
      <c r="J22" s="63" t="n">
        <v>0</v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IF(E18=FALSE,0,E15*$P$18*0.08*0.08+(E14-E15)*$P$19*0.12*0.12)</f>
        <v/>
      </c>
      <c r="F23" s="46">
        <f>IF(F18=FALSE,0,F15*$P$18*0.08*0.08+(F14-F15)*$P$19*0.12*0.12)</f>
        <v/>
      </c>
      <c r="G23" s="63">
        <f>F23*1.01</f>
        <v/>
      </c>
      <c r="H23" s="63">
        <f>G23*1.01</f>
        <v/>
      </c>
      <c r="I23" s="63">
        <f>H23*1.01</f>
        <v/>
      </c>
      <c r="J23" s="63">
        <f>I23*1.01</f>
        <v/>
      </c>
      <c r="K23" s="11" t="n"/>
      <c r="L23" s="7" t="n"/>
      <c r="N23" s="69" t="inlineStr">
        <is>
          <t>離脱防止表示率×UU×クリック率×実追加率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+IF(E19=FALSE,0,SUM(H10:H11)*0.15)</f>
        <v/>
      </c>
      <c r="F24" s="63">
        <f>E24*1.01</f>
        <v/>
      </c>
      <c r="G24" s="63">
        <f>F24*1.01</f>
        <v/>
      </c>
      <c r="H24" s="63">
        <f>G24*1.01</f>
        <v/>
      </c>
      <c r="I24" s="63">
        <f>H24*1.01</f>
        <v/>
      </c>
      <c r="J24" s="63">
        <f>I24*1.01</f>
        <v/>
      </c>
      <c r="K24" s="11" t="n"/>
      <c r="L24" s="7" t="n"/>
      <c r="N24" s="69" t="inlineStr">
        <is>
          <t>CV(別施策)*誘導成功率*実追加率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+IF(E20=FALSE,0,SUM($H$10:$H$11)*0.7*0.3)+IF($E$21=FALSE,0,$K$8*0.15*0.15)</f>
        <v/>
      </c>
      <c r="F25" s="46">
        <f>+IF(F20=FALSE,0,SUM($H$10:$H$11)*0.7*0.3)+IF($E$21=FALSE,0,$K$8*0.15*0.15)</f>
        <v/>
      </c>
      <c r="G25" s="46">
        <f>+IF(G20=FALSE,0,SUM($H$10:$H$11)*0.7*0.3)+IF($E$21=FALSE,0,$K$8*0.15*0.15)</f>
        <v/>
      </c>
      <c r="H25" s="46">
        <f>+IF(H20=FALSE,0,SUM($H$10:$H$11)*0.7*0.3)+IF($E$21=FALSE,0,$K$8*0.15*0.15)</f>
        <v/>
      </c>
      <c r="I25" s="46">
        <f>+IF(I20=FALSE,0,SUM($H$10:$H$11)*0.7*0.3)+IF($E$21=FALSE,0,$K$8*0.15*0.15)</f>
        <v/>
      </c>
      <c r="J25" s="46">
        <f>+IF(J20=FALSE,0,SUM($H$10:$H$11)*0.7*0.3)+IF($E$21=FALSE,0,$K$8*0.15*0.15)</f>
        <v/>
      </c>
      <c r="K25" s="11" t="n"/>
      <c r="L25" s="7" t="n"/>
      <c r="N25" s="69" t="inlineStr">
        <is>
          <t>サンクス到達*情報一致率(70%前後)*実追加率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+SUM(E22:E25)+$H$9*$P$16+($H$8-$H$9)*$P$15+IF(P9=FALSE,0,$K$8*0.15*0.08)</f>
        <v/>
      </c>
      <c r="F26" s="46">
        <f>+SUM(F22:F25)+$H$9*$P$16+($H$8-$H$9)*$P$15</f>
        <v/>
      </c>
      <c r="G26" s="46">
        <f>+SUM(G22:G25)+$H$9*$P$16+($H$8-$H$9)*$P$15</f>
        <v/>
      </c>
      <c r="H26" s="46">
        <f>+SUM(H22:H25)+$H$9*$P$16+($H$8-$H$9)*$P$15</f>
        <v/>
      </c>
      <c r="I26" s="46">
        <f>+SUM(I22:I25)+$H$9*$P$16+($H$8-$H$9)*$P$15</f>
        <v/>
      </c>
      <c r="J26" s="46">
        <f>+SUM(J22:J25)+$H$9*$P$16+($H$8-$H$9)*$P$15</f>
        <v/>
      </c>
      <c r="K26" s="11" t="n"/>
      <c r="L26" s="7" t="n"/>
      <c r="N26" s="72" t="inlineStr">
        <is>
          <t>※上記記載に追加して、LP、HPからのLINE誘導を加味する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>
        <f>+E27*1.025</f>
        <v/>
      </c>
      <c r="G27" s="47">
        <f>+F27*1.025</f>
        <v/>
      </c>
      <c r="H27" s="47">
        <f>+G27*1.025</f>
        <v/>
      </c>
      <c r="I27" s="47">
        <f>+H27*1.025</f>
        <v/>
      </c>
      <c r="J27" s="47">
        <f>+I27*1.025</f>
        <v/>
      </c>
      <c r="K27" s="11" t="n"/>
      <c r="L27" s="7" t="n"/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</f>
        <v/>
      </c>
      <c r="F35" s="50">
        <f>+F31+F33+1.05*(F31+F33)</f>
        <v/>
      </c>
      <c r="G35" s="50">
        <f>+G31+G33+1.05*(G31+G33)</f>
        <v/>
      </c>
      <c r="H35" s="50">
        <f>+H31+H33+1.05*(H31+H33)</f>
        <v/>
      </c>
      <c r="I35" s="50">
        <f>+I31+I33+1.05*(I31+I33)</f>
        <v/>
      </c>
      <c r="J35" s="50">
        <f>+J31+J33+1.05*(J31+J33)</f>
        <v/>
      </c>
      <c r="K35" s="11" t="n"/>
      <c r="L35" s="7" t="n"/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0.2</v>
      </c>
      <c r="F36" s="111" t="n">
        <v>0.5</v>
      </c>
      <c r="G36" s="111" t="n">
        <v>0.7</v>
      </c>
      <c r="H36" s="111" t="n">
        <v>0.7</v>
      </c>
      <c r="I36" s="111" t="n">
        <v>0.9</v>
      </c>
      <c r="J36" s="111" t="n">
        <v>1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 t="n">
        <v>0</v>
      </c>
      <c r="F37" s="111" t="n">
        <v>0</v>
      </c>
      <c r="G37" s="111" t="n">
        <v>0</v>
      </c>
      <c r="H37" s="111" t="n">
        <v>0</v>
      </c>
      <c r="I37" s="111" t="n">
        <v>0</v>
      </c>
      <c r="J37" s="111" t="n">
        <v>0</v>
      </c>
      <c r="K37" s="115">
        <f>SUM(E37:J37)</f>
        <v/>
      </c>
      <c r="L37" s="7" t="n"/>
      <c r="N37" s="69" t="inlineStr">
        <is>
          <t>新規向け_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0</v>
      </c>
      <c r="E67" s="178" t="n">
        <v>0</v>
      </c>
      <c r="F67" s="178" t="n">
        <v>0</v>
      </c>
      <c r="G67" s="178" t="n">
        <v>0</v>
      </c>
      <c r="H67" s="178" t="n">
        <v>0</v>
      </c>
      <c r="I67" s="178" t="n">
        <v>0</v>
      </c>
      <c r="J67" s="178" t="n">
        <v>0</v>
      </c>
      <c r="N67" s="69" t="inlineStr">
        <is>
          <t>サンクス誘導：初期10万円/通期5万円　※20%のコストカットOK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0</v>
      </c>
      <c r="F69" s="178" t="n">
        <v>0</v>
      </c>
      <c r="G69" s="178" t="n">
        <v>0</v>
      </c>
      <c r="H69" s="178" t="n">
        <v>0</v>
      </c>
      <c r="I69" s="178" t="n">
        <v>0</v>
      </c>
      <c r="J69" s="178" t="n">
        <v>0</v>
      </c>
      <c r="N69" s="69" t="inlineStr">
        <is>
          <t>コンサル費用固定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0</v>
      </c>
      <c r="E70" s="178" t="n">
        <v>70000</v>
      </c>
      <c r="F70" s="178" t="n">
        <v>70000</v>
      </c>
      <c r="G70" s="178" t="n">
        <v>70000</v>
      </c>
      <c r="H70" s="178" t="n">
        <v>70000</v>
      </c>
      <c r="I70" s="178" t="n">
        <v>70000</v>
      </c>
      <c r="J70" s="178" t="n">
        <v>70000</v>
      </c>
      <c r="N70" s="69" t="inlineStr">
        <is>
          <t>コンサル費用ショット（開発、初期費用）</t>
        </is>
      </c>
    </row>
    <row r="71">
      <c r="A71" s="15" t="n"/>
      <c r="B71" s="6" t="inlineStr">
        <is>
          <t>CPF広告費(Meta転用)</t>
        </is>
      </c>
      <c r="C71" s="184" t="n">
        <v>0</v>
      </c>
      <c r="D71" s="185" t="n">
        <v>0</v>
      </c>
      <c r="E71" s="178" t="n">
        <v>0</v>
      </c>
      <c r="F71" s="178" t="n">
        <v>0</v>
      </c>
      <c r="G71" s="178" t="n">
        <v>0</v>
      </c>
      <c r="H71" s="178" t="n">
        <v>0</v>
      </c>
      <c r="I71" s="178" t="n">
        <v>0</v>
      </c>
      <c r="J71" s="178" t="n">
        <v>0</v>
      </c>
      <c r="N71" s="69" t="inlineStr">
        <is>
          <t>通知メッセージ：要相談、（）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5"/>
  <sheetViews>
    <sheetView topLeftCell="D1" zoomScale="76" workbookViewId="0">
      <selection activeCell="X18" sqref="X18"/>
    </sheetView>
  </sheetViews>
  <sheetFormatPr baseColWidth="8" defaultColWidth="9" defaultRowHeight="18.75"/>
  <cols>
    <col width="41.75" customWidth="1" style="139" min="1" max="1"/>
    <col width="3" customWidth="1" style="5" min="2" max="2"/>
    <col width="26.125" customWidth="1" style="5" min="3" max="6"/>
    <col width="9" customWidth="1" style="5" min="7" max="17"/>
    <col width="10.875" bestFit="1" customWidth="1" style="5" min="18" max="18"/>
    <col width="9" customWidth="1" style="5" min="19" max="19"/>
    <col width="14.875" customWidth="1" style="5" min="20" max="27"/>
    <col width="9" customWidth="1" style="5" min="28" max="16384"/>
  </cols>
  <sheetData>
    <row r="1">
      <c r="E1" s="81" t="inlineStr">
        <is>
          <t>→通数減らすように係数：</t>
        </is>
      </c>
      <c r="F1" s="81" t="n">
        <v>0.6</v>
      </c>
    </row>
    <row r="3">
      <c r="A3" s="82" t="inlineStr">
        <is>
          <t>比較項目</t>
        </is>
      </c>
      <c r="B3" s="82" t="n"/>
      <c r="C3" s="83" t="inlineStr">
        <is>
          <t>DYM実装前</t>
        </is>
      </c>
      <c r="D3" s="84" t="inlineStr">
        <is>
          <t>DYM実装後（③か月）</t>
        </is>
      </c>
      <c r="E3" s="84" t="inlineStr">
        <is>
          <t>DYM実装後（⑥か月）</t>
        </is>
      </c>
      <c r="F3" s="84" t="n"/>
    </row>
    <row r="4">
      <c r="A4" s="85" t="inlineStr">
        <is>
          <t>コスト想定 ※月額（成果報酬プラン）</t>
        </is>
      </c>
      <c r="B4" s="7" t="n"/>
      <c r="C4" s="188">
        <f>+SIM1_!D24</f>
        <v/>
      </c>
      <c r="D4" s="178">
        <f>+SIM1_!G51</f>
        <v/>
      </c>
      <c r="E4" s="178">
        <f>+SIM1_!J51</f>
        <v/>
      </c>
      <c r="F4" s="178" t="n"/>
    </row>
    <row r="5">
      <c r="A5" s="85" t="inlineStr">
        <is>
          <t>コスト想定 ※月額（固定プラン）</t>
        </is>
      </c>
      <c r="B5" s="7" t="n"/>
      <c r="C5" s="188">
        <f>+SIM1_!D25</f>
        <v/>
      </c>
      <c r="D5" s="178">
        <f>+SIM1_!G61</f>
        <v/>
      </c>
      <c r="E5" s="178">
        <f>+SIM1_!J61</f>
        <v/>
      </c>
      <c r="F5" s="177" t="n"/>
    </row>
    <row r="6">
      <c r="A6" s="85" t="inlineStr">
        <is>
          <t>友だち数想定</t>
        </is>
      </c>
      <c r="B6" s="7" t="n"/>
      <c r="C6" s="117">
        <f>+SIM1_!D28</f>
        <v/>
      </c>
      <c r="D6" s="87">
        <f>+SIM1_!G28</f>
        <v/>
      </c>
      <c r="E6" s="87">
        <f>+SIM1_!J28</f>
        <v/>
      </c>
      <c r="F6" s="10" t="n"/>
    </row>
    <row r="7">
      <c r="A7" s="85" t="inlineStr">
        <is>
          <t>ブロック率想定</t>
        </is>
      </c>
      <c r="B7" s="7" t="n"/>
      <c r="C7" s="88">
        <f>+SIM1_!D27</f>
        <v/>
      </c>
      <c r="D7" s="189">
        <f>+D8/D6</f>
        <v/>
      </c>
      <c r="E7" s="189">
        <f>+E8/E6</f>
        <v/>
      </c>
      <c r="F7" s="189" t="n"/>
    </row>
    <row r="8">
      <c r="A8" s="85" t="inlineStr">
        <is>
          <t>友だち数（アクティブ）想定</t>
        </is>
      </c>
      <c r="B8" s="7" t="n"/>
      <c r="C8" s="117">
        <f>+SIM1_!D29</f>
        <v/>
      </c>
      <c r="D8" s="10">
        <f>+SIM1_!G29</f>
        <v/>
      </c>
      <c r="E8" s="10">
        <f>+SIM1_!J29</f>
        <v/>
      </c>
      <c r="F8" s="10" t="n"/>
    </row>
    <row r="9">
      <c r="A9" s="85" t="n"/>
      <c r="B9" s="7" t="n"/>
      <c r="C9" s="7" t="n"/>
      <c r="D9" s="7" t="n"/>
      <c r="E9" s="7" t="n"/>
      <c r="F9" s="7" t="n"/>
    </row>
    <row r="10">
      <c r="A10" s="85" t="inlineStr">
        <is>
          <t>メッセ通数</t>
        </is>
      </c>
      <c r="B10" s="7" t="n"/>
      <c r="C10" s="117">
        <f>+SIM1_!D34</f>
        <v/>
      </c>
      <c r="D10" s="10">
        <f>+SIM1_!G34</f>
        <v/>
      </c>
      <c r="E10" s="10">
        <f>+SIM1_!J34</f>
        <v/>
      </c>
      <c r="F10" s="10" t="n"/>
    </row>
    <row r="11">
      <c r="A11" s="85" t="inlineStr">
        <is>
          <t>サイト流入数（LINEから）</t>
        </is>
      </c>
      <c r="B11" s="7" t="n"/>
      <c r="C11" s="117">
        <f>+SIM1_!D35</f>
        <v/>
      </c>
      <c r="D11" s="10">
        <f>+SIM1_!G35</f>
        <v/>
      </c>
      <c r="E11" s="10">
        <f>+SIM1_!J35</f>
        <v/>
      </c>
      <c r="F11" s="10" t="n"/>
    </row>
    <row r="12">
      <c r="A12" s="85" t="inlineStr">
        <is>
          <t>想定CPC（LINEOA施策）_成果報酬プラン</t>
        </is>
      </c>
      <c r="B12" s="7" t="n"/>
      <c r="C12" s="178">
        <f>+IFERROR(C5/C11,0)</f>
        <v/>
      </c>
      <c r="D12" s="178">
        <f>+D4/D11</f>
        <v/>
      </c>
      <c r="E12" s="178">
        <f>+E4/E11</f>
        <v/>
      </c>
      <c r="F12" s="178" t="n"/>
    </row>
    <row r="13">
      <c r="A13" s="85" t="inlineStr">
        <is>
          <t>想定CPC（LINEOA施策）_固定運用プラン</t>
        </is>
      </c>
      <c r="B13" s="7" t="n"/>
      <c r="C13" s="178">
        <f>+IFERROR(C6/C12,0)</f>
        <v/>
      </c>
      <c r="D13" s="178">
        <f>+D5/D11</f>
        <v/>
      </c>
      <c r="E13" s="178">
        <f>+E5/E11</f>
        <v/>
      </c>
      <c r="F13" s="178" t="n"/>
    </row>
    <row r="14">
      <c r="A14" s="85" t="n"/>
      <c r="B14" s="7" t="n"/>
      <c r="C14" s="7" t="n"/>
      <c r="D14" s="7" t="n"/>
      <c r="E14" s="7" t="n"/>
      <c r="F14" s="7" t="n"/>
      <c r="R14" s="139" t="inlineStr">
        <is>
          <t>■従量計算式↓</t>
        </is>
      </c>
    </row>
    <row r="15">
      <c r="A15" s="85" t="inlineStr">
        <is>
          <t>CV数（もともと）</t>
        </is>
      </c>
      <c r="B15" s="7" t="n"/>
      <c r="C15" s="87">
        <f>+SIM1_!D16</f>
        <v/>
      </c>
      <c r="D15" s="87">
        <f>+SIM1_!E16</f>
        <v/>
      </c>
      <c r="E15" s="87">
        <f>+SIM1_!F16</f>
        <v/>
      </c>
      <c r="F15" s="87" t="n"/>
      <c r="R15" s="5" t="inlineStr">
        <is>
          <t>■料金テーブル</t>
        </is>
      </c>
    </row>
    <row r="16">
      <c r="A16" s="85" t="inlineStr">
        <is>
          <t>CV数（+LINEOA施策）</t>
        </is>
      </c>
      <c r="B16" s="7" t="n"/>
      <c r="C16" s="87">
        <f>SUM(C17:C20)</f>
        <v/>
      </c>
      <c r="D16" s="87">
        <f>SUM(D17:D20)</f>
        <v/>
      </c>
      <c r="E16" s="87">
        <f>SUM(E17:E20)</f>
        <v/>
      </c>
      <c r="F16" s="87" t="n"/>
      <c r="R16" s="5" t="inlineStr">
        <is>
          <t>課金対象配信総数</t>
        </is>
      </c>
      <c r="V16" s="5" t="inlineStr">
        <is>
          <t>費用</t>
        </is>
      </c>
      <c r="Y16" s="35" t="inlineStr">
        <is>
          <t>単価</t>
        </is>
      </c>
    </row>
    <row r="17">
      <c r="A17" s="85" t="inlineStr">
        <is>
          <t>OA施策CV_内訳①_新規CV1</t>
        </is>
      </c>
      <c r="B17" s="7" t="n"/>
      <c r="C17" s="87">
        <f>+SIM1_!D36</f>
        <v/>
      </c>
      <c r="D17" s="87">
        <f>+SIM1_!G36</f>
        <v/>
      </c>
      <c r="E17" s="87">
        <f>+SIM1_!J36</f>
        <v/>
      </c>
      <c r="F17" s="10" t="n"/>
      <c r="R17" s="5" t="n">
        <v>0</v>
      </c>
      <c r="S17" s="5" t="inlineStr">
        <is>
          <t>-</t>
        </is>
      </c>
      <c r="T17" s="34" t="n">
        <v>200000</v>
      </c>
      <c r="V17" s="5" t="n">
        <v>0</v>
      </c>
      <c r="W17" s="5" t="inlineStr">
        <is>
          <t>-</t>
        </is>
      </c>
      <c r="X17" s="34" t="n">
        <v>600000</v>
      </c>
      <c r="Y17" s="35" t="n">
        <v>3</v>
      </c>
    </row>
    <row r="18">
      <c r="A18" s="85" t="inlineStr">
        <is>
          <t>OA施策CV_内訳②_新規CV2</t>
        </is>
      </c>
      <c r="B18" s="7" t="n"/>
      <c r="C18" s="87">
        <f>+SIM1_!D37</f>
        <v/>
      </c>
      <c r="D18" s="87">
        <f>+SIM1_!G37</f>
        <v/>
      </c>
      <c r="E18" s="87">
        <f>+SIM1_!J37</f>
        <v/>
      </c>
      <c r="F18" s="10" t="n"/>
      <c r="R18" s="34" t="n">
        <v>200000</v>
      </c>
      <c r="S18" s="5" t="inlineStr">
        <is>
          <t>-</t>
        </is>
      </c>
      <c r="T18" s="34" t="n">
        <v>15000000</v>
      </c>
      <c r="V18" s="34" t="n">
        <v>600000</v>
      </c>
      <c r="W18" s="5" t="inlineStr">
        <is>
          <t>-</t>
        </is>
      </c>
      <c r="X18" s="34">
        <f>+T18*2.5</f>
        <v/>
      </c>
      <c r="Y18" s="35" t="n">
        <v>2.5</v>
      </c>
    </row>
    <row r="19">
      <c r="A19" s="85" t="inlineStr">
        <is>
          <t>OA施策CV_内訳③_リピCV3</t>
        </is>
      </c>
      <c r="B19" s="7" t="n"/>
      <c r="C19" s="87">
        <f>+SIM1_!D38</f>
        <v/>
      </c>
      <c r="D19" s="87">
        <f>+SIM1_!G38</f>
        <v/>
      </c>
      <c r="E19" s="87">
        <f>+SIM1_!J38</f>
        <v/>
      </c>
      <c r="F19" s="10" t="n"/>
      <c r="R19" s="34" t="n"/>
      <c r="T19" s="34" t="n"/>
      <c r="V19" s="34" t="n"/>
      <c r="X19" s="34" t="n"/>
      <c r="Y19" s="35" t="n"/>
    </row>
    <row r="20">
      <c r="A20" s="85" t="inlineStr">
        <is>
          <t>OA施策CV_内訳④_リピCV4</t>
        </is>
      </c>
      <c r="B20" s="7" t="n"/>
      <c r="C20" s="87">
        <f>+SIM1_!D39</f>
        <v/>
      </c>
      <c r="D20" s="87">
        <f>+SIM1_!G39</f>
        <v/>
      </c>
      <c r="E20" s="87">
        <f>+SIM1_!J39</f>
        <v/>
      </c>
      <c r="F20" s="10" t="n"/>
      <c r="R20" s="34" t="n"/>
      <c r="T20" s="34" t="n"/>
      <c r="V20" s="34" t="n"/>
      <c r="X20" s="34" t="n"/>
      <c r="Y20" s="35" t="n"/>
    </row>
    <row r="21">
      <c r="A21" s="85" t="n"/>
      <c r="B21" s="7" t="n"/>
      <c r="C21" s="7" t="n"/>
      <c r="D21" s="7" t="n"/>
      <c r="E21" s="7" t="n"/>
      <c r="F21" s="7" t="n"/>
      <c r="R21" s="34" t="n"/>
      <c r="T21" s="34" t="n"/>
      <c r="V21" s="34" t="n"/>
      <c r="X21" s="34" t="n"/>
      <c r="Y21" s="35" t="n"/>
    </row>
    <row r="22">
      <c r="A22" s="85" t="inlineStr">
        <is>
          <t>成果報酬プラン_CPA（単純計算）</t>
        </is>
      </c>
      <c r="B22" s="7" t="n"/>
      <c r="C22" s="184">
        <f>+IFERROR(C4/C16,"--")</f>
        <v/>
      </c>
      <c r="D22" s="184">
        <f>+IFERROR(D4/D16,"--")</f>
        <v/>
      </c>
      <c r="E22" s="184">
        <f>+IFERROR(E4/E16,"--")</f>
        <v/>
      </c>
      <c r="F22" s="184" t="n"/>
      <c r="R22" s="34" t="n"/>
      <c r="T22" s="34" t="n"/>
      <c r="V22" s="34" t="n"/>
      <c r="X22" s="34" t="n"/>
      <c r="Y22" s="35" t="n"/>
    </row>
    <row r="23">
      <c r="A23" s="85" t="inlineStr">
        <is>
          <t>固定費プラン_CPA（単純計算）</t>
        </is>
      </c>
      <c r="B23" s="7" t="n"/>
      <c r="C23" s="184">
        <f>+IFERROR(C5/C16,"--")</f>
        <v/>
      </c>
      <c r="D23" s="184">
        <f>+IFERROR(D5/D16,"--")</f>
        <v/>
      </c>
      <c r="E23" s="184">
        <f>+IFERROR(E5/E16,"--")</f>
        <v/>
      </c>
      <c r="F23" s="184" t="n"/>
      <c r="R23" s="34" t="n"/>
      <c r="T23" s="34" t="n"/>
      <c r="V23" s="34" t="n"/>
      <c r="X23" s="34" t="n"/>
      <c r="Y23" s="35" t="n"/>
    </row>
    <row r="24">
      <c r="A24" s="85" t="n"/>
      <c r="B24" s="7" t="n"/>
      <c r="C24" s="7" t="n"/>
      <c r="D24" s="7" t="n"/>
      <c r="E24" s="7" t="n"/>
      <c r="F24" s="7" t="n"/>
      <c r="R24" s="34" t="n"/>
      <c r="T24" s="34" t="n"/>
      <c r="V24" s="34" t="n"/>
      <c r="X24" s="34" t="n"/>
      <c r="Y24" s="35" t="n"/>
    </row>
    <row r="25">
      <c r="A25" s="85" t="inlineStr">
        <is>
          <t>備考_合計コスト(従量課金) ※アカウント費用</t>
        </is>
      </c>
      <c r="B25" s="7" t="n"/>
      <c r="C25" s="10">
        <f>15000+C29*C30</f>
        <v/>
      </c>
      <c r="D25" s="10">
        <f>15000+D29*D30</f>
        <v/>
      </c>
      <c r="E25" s="10">
        <f>15000+E29*E30</f>
        <v/>
      </c>
      <c r="F25" s="10" t="n"/>
      <c r="R25" s="34" t="n"/>
      <c r="T25" s="34" t="n"/>
      <c r="V25" s="34" t="n"/>
      <c r="X25" s="34" t="n"/>
      <c r="Y25" s="35" t="n"/>
    </row>
    <row r="26">
      <c r="R26" s="34" t="n"/>
      <c r="T26" s="34" t="n"/>
      <c r="V26" s="34" t="n"/>
      <c r="X26" s="34" t="n"/>
      <c r="Y26" s="35" t="n"/>
    </row>
    <row r="27">
      <c r="R27" s="34" t="n"/>
      <c r="T27" s="34" t="n"/>
      <c r="V27" s="34" t="n"/>
      <c r="X27" s="34" t="n"/>
      <c r="Y27" s="35" t="n"/>
    </row>
    <row r="28">
      <c r="R28" s="34" t="n"/>
      <c r="T28" s="34" t="n"/>
      <c r="V28" s="34" t="n"/>
      <c r="X28" s="34" t="n"/>
      <c r="Y28" s="35" t="n"/>
    </row>
    <row r="29">
      <c r="A29" s="139" t="inlineStr">
        <is>
          <t>従量課金対象単価</t>
        </is>
      </c>
      <c r="C29" s="5">
        <f>+IF(C10&lt;=30000,0,C10-30000)</f>
        <v/>
      </c>
      <c r="D29" s="91">
        <f>+IF(D10&lt;=30000,0,D10-30000)</f>
        <v/>
      </c>
      <c r="E29" s="91">
        <f>+IF(E10&lt;=30000,0,E10-30000)</f>
        <v/>
      </c>
      <c r="F29" s="91" t="n"/>
      <c r="R29" s="34" t="n"/>
      <c r="T29" s="34" t="n"/>
      <c r="V29" s="34" t="n"/>
      <c r="X29" s="34" t="n"/>
      <c r="Y29" s="35" t="n"/>
    </row>
    <row r="30">
      <c r="A30" s="139" t="inlineStr">
        <is>
          <t>備考単価</t>
        </is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/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/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/>
      </c>
      <c r="R30" s="34" t="n"/>
      <c r="T30" s="34" t="n"/>
      <c r="V30" s="34" t="n"/>
      <c r="X30" s="34" t="n"/>
      <c r="Y30" s="35" t="n"/>
    </row>
    <row r="31">
      <c r="R31" s="34" t="n"/>
      <c r="T31" s="34" t="n"/>
      <c r="V31" s="34" t="n"/>
      <c r="Y31" s="35" t="n"/>
    </row>
    <row r="35">
      <c r="A35" s="92" t="inlineStr">
        <is>
          <t>階層別</t>
        </is>
      </c>
      <c r="B35" s="92" t="n"/>
      <c r="C35" s="93" t="inlineStr">
        <is>
          <t>母数</t>
        </is>
      </c>
      <c r="D35" s="94" t="inlineStr">
        <is>
          <t>誘導率</t>
        </is>
      </c>
      <c r="E35" s="94" t="inlineStr">
        <is>
          <t>想定CVR</t>
        </is>
      </c>
      <c r="F35" s="94" t="inlineStr">
        <is>
          <t>想定CVR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42"/>
  <sheetViews>
    <sheetView workbookViewId="0">
      <selection activeCell="B4" sqref="B4"/>
    </sheetView>
  </sheetViews>
  <sheetFormatPr baseColWidth="8" defaultRowHeight="18.75"/>
  <cols>
    <col width="14.25" customWidth="1" style="158" min="1" max="1"/>
    <col width="14.25" customWidth="1" style="158" min="5" max="5"/>
  </cols>
  <sheetData>
    <row r="2">
      <c r="A2" s="59" t="inlineStr">
        <is>
          <t>友だち数_増加施策</t>
        </is>
      </c>
      <c r="B2" s="59" t="n"/>
      <c r="C2" s="59" t="n"/>
      <c r="D2" s="59" t="n"/>
      <c r="E2" s="59" t="n"/>
      <c r="F2" s="59" t="n"/>
      <c r="G2" s="59" t="n"/>
    </row>
    <row r="3">
      <c r="A3" s="54" t="inlineStr">
        <is>
          <t>離脱防止 ※</t>
        </is>
      </c>
    </row>
    <row r="4">
      <c r="A4" s="0" t="inlineStr">
        <is>
          <t>掲載率</t>
        </is>
      </c>
      <c r="B4" s="0" t="inlineStr">
        <is>
          <t>※サイト構成、要望により変動</t>
        </is>
      </c>
      <c r="E4" s="0" t="n">
        <v>1000</v>
      </c>
    </row>
    <row r="5">
      <c r="A5" s="0" t="inlineStr">
        <is>
          <t>クリック率</t>
        </is>
      </c>
      <c r="B5" s="60" t="n">
        <v>0.08500000000000001</v>
      </c>
    </row>
    <row r="6">
      <c r="A6" s="0" t="inlineStr">
        <is>
          <t>追加率</t>
        </is>
      </c>
      <c r="B6" s="60" t="n">
        <v>0.08</v>
      </c>
    </row>
    <row r="7">
      <c r="E7" s="0">
        <f>+E4*B5*B6</f>
        <v/>
      </c>
    </row>
    <row r="8">
      <c r="A8" s="54" t="inlineStr">
        <is>
          <t>サイト→LINEの導線の改善 ※</t>
        </is>
      </c>
    </row>
    <row r="9">
      <c r="A9" s="0" t="inlineStr">
        <is>
          <t>掲載率</t>
        </is>
      </c>
      <c r="B9" s="0" t="inlineStr">
        <is>
          <t>※サイト構成、要望により変動</t>
        </is>
      </c>
      <c r="E9" s="0" t="n">
        <v>1000</v>
      </c>
    </row>
    <row r="10">
      <c r="A10" s="0" t="inlineStr">
        <is>
          <t>クリック率</t>
        </is>
      </c>
      <c r="B10" s="60" t="n">
        <v>0.005</v>
      </c>
    </row>
    <row r="11">
      <c r="A11" s="0" t="inlineStr">
        <is>
          <t>追加率</t>
        </is>
      </c>
      <c r="B11" s="60" t="n">
        <v>0.08</v>
      </c>
    </row>
    <row r="12">
      <c r="E12" s="0">
        <f>+E9*B10*B11</f>
        <v/>
      </c>
    </row>
    <row r="13">
      <c r="A13" s="54" t="inlineStr">
        <is>
          <t>サンクスページ誘導 ※</t>
        </is>
      </c>
      <c r="D13" s="0" t="inlineStr">
        <is>
          <t>ただCVが増えるわけではない</t>
        </is>
      </c>
    </row>
    <row r="14">
      <c r="A14" s="0" t="inlineStr">
        <is>
          <t>掲載数</t>
        </is>
      </c>
      <c r="B14" s="0" t="inlineStr">
        <is>
          <t>※サイト構成、要望により変動</t>
        </is>
      </c>
      <c r="E14" s="0" t="n">
        <v>1000</v>
      </c>
    </row>
    <row r="15">
      <c r="A15" s="0" t="inlineStr">
        <is>
          <t>クリック率</t>
        </is>
      </c>
      <c r="B15" s="60" t="n">
        <v>0.9</v>
      </c>
      <c r="C15" s="0" t="inlineStr">
        <is>
          <t>※カウントしない</t>
        </is>
      </c>
    </row>
    <row r="16">
      <c r="A16" s="0" t="inlineStr">
        <is>
          <t>追加率</t>
        </is>
      </c>
      <c r="B16" s="60" t="n">
        <v>0.35</v>
      </c>
    </row>
    <row r="17">
      <c r="E17" s="0">
        <f>+E14*B15*B16</f>
        <v/>
      </c>
    </row>
    <row r="18">
      <c r="A18" s="54" t="inlineStr">
        <is>
          <t>通知メッセの改善 ※</t>
        </is>
      </c>
      <c r="D18" s="0" t="inlineStr">
        <is>
          <t>ただCVが増えるわけではない</t>
        </is>
      </c>
    </row>
    <row r="19">
      <c r="A19" s="0" t="inlineStr">
        <is>
          <t>掲載率</t>
        </is>
      </c>
      <c r="B19" s="60" t="n">
        <v>0.7</v>
      </c>
      <c r="C19" s="0" t="inlineStr">
        <is>
          <t>※サイト構成、要望により変動</t>
        </is>
      </c>
      <c r="E19" s="0" t="n">
        <v>1000</v>
      </c>
    </row>
    <row r="20">
      <c r="A20" s="0" t="inlineStr">
        <is>
          <t>クリック率</t>
        </is>
      </c>
      <c r="B20" s="60" t="n">
        <v>1</v>
      </c>
    </row>
    <row r="21">
      <c r="A21" s="0" t="inlineStr">
        <is>
          <t>追加率</t>
        </is>
      </c>
      <c r="B21" s="60" t="n">
        <v>0.2</v>
      </c>
    </row>
    <row r="22">
      <c r="E22" s="0">
        <f>+E19*B20*B21</f>
        <v/>
      </c>
    </row>
    <row r="23">
      <c r="A23" s="59" t="inlineStr">
        <is>
          <t>配信効率改善施策</t>
        </is>
      </c>
      <c r="B23" s="59" t="n"/>
      <c r="C23" s="59" t="inlineStr">
        <is>
          <t>※具体的なセグメントの仕方、企画により変動</t>
        </is>
      </c>
      <c r="D23" s="59" t="n"/>
      <c r="E23" s="59" t="n"/>
      <c r="F23" s="59" t="n"/>
      <c r="G23" s="59" t="n"/>
      <c r="I23" s="67" t="inlineStr">
        <is>
          <t>課金</t>
        </is>
      </c>
      <c r="J23" s="68" t="n"/>
    </row>
    <row r="24">
      <c r="A24" s="54" t="inlineStr">
        <is>
          <t>&gt; 通常メッセ</t>
        </is>
      </c>
      <c r="I24" s="66" t="n">
        <v>1</v>
      </c>
      <c r="J24" s="0" t="inlineStr">
        <is>
          <t>企画投稿（セグメントor一斉配信）</t>
        </is>
      </c>
    </row>
    <row r="25">
      <c r="A25" s="0" t="inlineStr">
        <is>
          <t>開封率</t>
        </is>
      </c>
      <c r="B25" s="190" t="n">
        <v>0.8</v>
      </c>
      <c r="I25" s="66" t="n">
        <v>2</v>
      </c>
      <c r="J25" s="0" t="inlineStr">
        <is>
          <t>追いメッセージ（ステップ、シナリオ）</t>
        </is>
      </c>
    </row>
    <row r="26">
      <c r="A26" s="0" t="inlineStr">
        <is>
          <t>クリック率</t>
        </is>
      </c>
      <c r="B26" s="190" t="n">
        <v>0.06</v>
      </c>
      <c r="I26" s="66" t="n">
        <v>3</v>
      </c>
      <c r="J26" s="0" t="inlineStr">
        <is>
          <t>VOOM投稿　※同時進行の場合が多い</t>
        </is>
      </c>
    </row>
    <row r="27">
      <c r="A27" s="0" t="inlineStr">
        <is>
          <t>CV率</t>
        </is>
      </c>
      <c r="B27" s="190" t="n">
        <v>0.003</v>
      </c>
      <c r="I27" s="66" t="n">
        <v>4</v>
      </c>
      <c r="J27" s="0" t="inlineStr">
        <is>
          <t>通知メッセージ（1通7円くらいの想定）　※機能導入が必要　※ツール費：月8万～</t>
        </is>
      </c>
    </row>
    <row r="29">
      <c r="A29" s="54" t="inlineStr">
        <is>
          <t>&gt; 追いメッセ（ステップ、シナリオ）</t>
        </is>
      </c>
      <c r="I29" s="67" t="inlineStr">
        <is>
          <t>非課金</t>
        </is>
      </c>
      <c r="J29" s="68" t="n"/>
    </row>
    <row r="30">
      <c r="A30" s="0" t="inlineStr">
        <is>
          <t>開封率</t>
        </is>
      </c>
      <c r="B30" s="190" t="n">
        <v>0.75</v>
      </c>
      <c r="I30" s="66" t="n">
        <v>1</v>
      </c>
      <c r="J30" s="0" t="inlineStr">
        <is>
          <t>自動の即時応答</t>
        </is>
      </c>
    </row>
    <row r="31">
      <c r="A31" s="0" t="inlineStr">
        <is>
          <t>クリック率</t>
        </is>
      </c>
      <c r="B31" s="190" t="n">
        <v>0.08</v>
      </c>
      <c r="I31" s="66" t="n">
        <v>2</v>
      </c>
      <c r="J31" s="0" t="inlineStr">
        <is>
          <t>個別チャット対応</t>
        </is>
      </c>
    </row>
    <row r="32">
      <c r="A32" s="0" t="inlineStr">
        <is>
          <t>CV率</t>
        </is>
      </c>
      <c r="B32" s="190" t="n">
        <v>0.006</v>
      </c>
      <c r="I32" s="66" t="n">
        <v>3</v>
      </c>
      <c r="J32" s="0" t="inlineStr">
        <is>
          <t>あいさつメッセージ</t>
        </is>
      </c>
    </row>
    <row r="33">
      <c r="I33" s="66" t="n">
        <v>4</v>
      </c>
      <c r="J33" s="0" t="inlineStr">
        <is>
          <t>（リッチメニュー）</t>
        </is>
      </c>
    </row>
    <row r="34">
      <c r="A34" s="54" t="inlineStr">
        <is>
          <t>&gt; その他（リッチメニュー）</t>
        </is>
      </c>
    </row>
    <row r="35">
      <c r="A35" s="0" t="inlineStr">
        <is>
          <t>開封率</t>
        </is>
      </c>
      <c r="B35" s="191" t="inlineStr">
        <is>
          <t>--</t>
        </is>
      </c>
    </row>
    <row r="36">
      <c r="A36" s="0" t="inlineStr">
        <is>
          <t>クリック率</t>
        </is>
      </c>
      <c r="B36" s="190" t="n">
        <v>0.02</v>
      </c>
    </row>
    <row r="37">
      <c r="A37" s="0" t="inlineStr">
        <is>
          <t>CV率</t>
        </is>
      </c>
      <c r="B37" s="190" t="n">
        <v>0.004</v>
      </c>
    </row>
    <row r="39">
      <c r="A39" s="54" t="inlineStr">
        <is>
          <t>&gt;挨拶メッセ</t>
        </is>
      </c>
      <c r="E39" s="54" t="inlineStr">
        <is>
          <t>&gt;挨拶メッセ（アンケート回答率）</t>
        </is>
      </c>
    </row>
    <row r="40">
      <c r="A40" s="0" t="inlineStr">
        <is>
          <t>開封率</t>
        </is>
      </c>
      <c r="B40" s="191" t="n">
        <v>1</v>
      </c>
      <c r="E40" s="0" t="inlineStr">
        <is>
          <t>開封率</t>
        </is>
      </c>
      <c r="F40" s="191" t="inlineStr">
        <is>
          <t>--</t>
        </is>
      </c>
    </row>
    <row r="41">
      <c r="A41" s="0" t="inlineStr">
        <is>
          <t>クリック率</t>
        </is>
      </c>
      <c r="B41" s="190" t="n">
        <v>0.035</v>
      </c>
      <c r="E41" s="0" t="inlineStr">
        <is>
          <t>回答率</t>
        </is>
      </c>
      <c r="F41" s="190" t="n">
        <v>0.25</v>
      </c>
    </row>
    <row r="42">
      <c r="A42" s="0" t="inlineStr">
        <is>
          <t>CV率</t>
        </is>
      </c>
      <c r="B42" s="190" t="n">
        <v>0.006</v>
      </c>
      <c r="F42" s="19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佐村 徳人</dc:creator>
  <dcterms:created xmlns:dcterms="http://purl.org/dc/terms/" xmlns:xsi="http://www.w3.org/2001/XMLSchema-instance" xsi:type="dcterms:W3CDTF">2025-11-21T11:18:04Z</dcterms:created>
  <dcterms:modified xmlns:dcterms="http://purl.org/dc/terms/" xmlns:xsi="http://www.w3.org/2001/XMLSchema-instance" xsi:type="dcterms:W3CDTF">2026-09-24T05:26:01Z</dcterms:modified>
  <cp:lastModifiedBy>佐村 徳人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0x010100C357D3FFD3874644B9B63D306D91E343</vt:lpwstr>
  </property>
</Properties>
</file>
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" sheetId="1" state="visible" r:id="rId1"/>
    <sheet xmlns:r="http://schemas.openxmlformats.org/officeDocument/2006/relationships" name="SIM2_" sheetId="2" state="visible" r:id="rId2"/>
    <sheet xmlns:r="http://schemas.openxmlformats.org/officeDocument/2006/relationships" name="SIM1_比較" sheetId="3" state="visible" r:id="rId3"/>
    <sheet xmlns:r="http://schemas.openxmlformats.org/officeDocument/2006/relationships" name="SIM考え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  <c r="C2" s="0" t="inlineStr">
        <is>
          <t>① CPFあり（Meta予算をCPFへ転用）</t>
        </is>
      </c>
    </row>
    <row r="4" ht="45.75" customHeight="1" s="158">
      <c r="A4" s="56" t="inlineStr">
        <is>
          <t>株式会社御中_LINEOA施策提案【SIM】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求人応募・支援サービス登録</t>
        </is>
      </c>
      <c r="D8" s="160" t="n">
        <v>17000</v>
      </c>
      <c r="G8" s="143" t="inlineStr">
        <is>
          <t>UU</t>
        </is>
      </c>
      <c r="H8" s="144" t="n">
        <v>3215</v>
      </c>
      <c r="I8" s="145" t="n"/>
      <c r="J8" s="145" t="inlineStr">
        <is>
          <t>想定顧客リスト</t>
        </is>
      </c>
      <c r="K8" s="152" t="n">
        <v>500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-</t>
        </is>
      </c>
      <c r="D9" s="160" t="n">
        <v>0</v>
      </c>
      <c r="G9" s="146" t="inlineStr">
        <is>
          <t>広告・アフィUU</t>
        </is>
      </c>
      <c r="H9" s="147" t="n">
        <v>1600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1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CV（別施策）1</t>
        </is>
      </c>
      <c r="H10" s="147" t="n">
        <v>8</v>
      </c>
      <c r="I10" s="148" t="inlineStr">
        <is>
          <t>リード（イメージ）</t>
        </is>
      </c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inlineStr">
        <is>
          <t>マネタイズ（イメージ）</t>
        </is>
      </c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</t>
        </is>
      </c>
      <c r="F13" s="36" t="inlineStr">
        <is>
          <t>2か月目</t>
        </is>
      </c>
      <c r="G13" s="36" t="inlineStr">
        <is>
          <t>3か月目</t>
        </is>
      </c>
      <c r="H13" s="36" t="inlineStr">
        <is>
          <t>4か月目</t>
        </is>
      </c>
      <c r="I13" s="36" t="inlineStr">
        <is>
          <t>5か月目</t>
        </is>
      </c>
      <c r="J13" s="36" t="inlineStr">
        <is>
          <t>6か月目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>
        <f>+D14</f>
        <v/>
      </c>
      <c r="F14" s="43">
        <f>+E14</f>
        <v/>
      </c>
      <c r="G14" s="43">
        <f>+F14</f>
        <v/>
      </c>
      <c r="H14" s="43">
        <f>+G14</f>
        <v/>
      </c>
      <c r="I14" s="43">
        <f>+H14</f>
        <v/>
      </c>
      <c r="J14" s="43">
        <f>+I14</f>
        <v/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>
        <f>+D15</f>
        <v/>
      </c>
      <c r="F15" s="43">
        <f>+E15</f>
        <v/>
      </c>
      <c r="G15" s="43">
        <f>+F15</f>
        <v/>
      </c>
      <c r="H15" s="43">
        <f>+G15</f>
        <v/>
      </c>
      <c r="I15" s="43">
        <f>+H15</f>
        <v/>
      </c>
      <c r="J15" s="43">
        <f>+I15</f>
        <v/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>
        <f>+D16</f>
        <v/>
      </c>
      <c r="F16" s="43">
        <f>+E16</f>
        <v/>
      </c>
      <c r="G16" s="43">
        <f>+F16</f>
        <v/>
      </c>
      <c r="H16" s="43">
        <f>+G16</f>
        <v/>
      </c>
      <c r="I16" s="43">
        <f>+H16</f>
        <v/>
      </c>
      <c r="J16" s="43">
        <f>+I16</f>
        <v/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1</v>
      </c>
      <c r="F17" s="57" t="b">
        <v>1</v>
      </c>
      <c r="G17" s="57" t="b">
        <v>1</v>
      </c>
      <c r="H17" s="57" t="b">
        <v>1</v>
      </c>
      <c r="I17" s="57" t="b">
        <v>1</v>
      </c>
      <c r="J17" s="57" t="b">
        <v>1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 t="n">
        <v>693</v>
      </c>
      <c r="F22" s="63" t="n">
        <v>693</v>
      </c>
      <c r="G22" s="63" t="n">
        <v>693</v>
      </c>
      <c r="H22" s="63" t="n">
        <v>693</v>
      </c>
      <c r="I22" s="63" t="n">
        <v>693</v>
      </c>
      <c r="J22" s="63" t="n">
        <v>693</v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IF(E18=FALSE,0,E15*$P$18*0.08*0.08+(E14-E15)*$P$19*0.12*0.12)</f>
        <v/>
      </c>
      <c r="F23" s="46">
        <f>IF(F18=FALSE,0,F15*$P$18*0.08*0.08+(F14-F15)*$P$19*0.12*0.12)</f>
        <v/>
      </c>
      <c r="G23" s="63">
        <f>F23*1.01</f>
        <v/>
      </c>
      <c r="H23" s="63">
        <f>G23*1.01</f>
        <v/>
      </c>
      <c r="I23" s="63">
        <f>H23*1.01</f>
        <v/>
      </c>
      <c r="J23" s="63">
        <f>I23*1.01</f>
        <v/>
      </c>
      <c r="K23" s="11" t="n"/>
      <c r="L23" s="7" t="n"/>
      <c r="N23" s="69" t="inlineStr">
        <is>
          <t>離脱防止表示率×UU×クリック率×実追加率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+IF(E19=FALSE,0,SUM(H10:H11)*0.15)</f>
        <v/>
      </c>
      <c r="F24" s="63">
        <f>E24*1.01</f>
        <v/>
      </c>
      <c r="G24" s="63">
        <f>F24*1.01</f>
        <v/>
      </c>
      <c r="H24" s="63">
        <f>G24*1.01</f>
        <v/>
      </c>
      <c r="I24" s="63">
        <f>H24*1.01</f>
        <v/>
      </c>
      <c r="J24" s="63">
        <f>I24*1.01</f>
        <v/>
      </c>
      <c r="K24" s="11" t="n"/>
      <c r="L24" s="7" t="n"/>
      <c r="N24" s="69" t="inlineStr">
        <is>
          <t>CV(別施策)*誘導成功率*実追加率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+IF(E20=FALSE,0,SUM($H$10:$H$11)*0.7*0.3)+IF($E$21=FALSE,0,$K$8*0.15*0.15)</f>
        <v/>
      </c>
      <c r="F25" s="46">
        <f>+IF(F20=FALSE,0,SUM($H$10:$H$11)*0.7*0.3)+IF($E$21=FALSE,0,$K$8*0.15*0.15)</f>
        <v/>
      </c>
      <c r="G25" s="46">
        <f>+IF(G20=FALSE,0,SUM($H$10:$H$11)*0.7*0.3)+IF($E$21=FALSE,0,$K$8*0.15*0.15)</f>
        <v/>
      </c>
      <c r="H25" s="46">
        <f>+IF(H20=FALSE,0,SUM($H$10:$H$11)*0.7*0.3)+IF($E$21=FALSE,0,$K$8*0.15*0.15)</f>
        <v/>
      </c>
      <c r="I25" s="46">
        <f>+IF(I20=FALSE,0,SUM($H$10:$H$11)*0.7*0.3)+IF($E$21=FALSE,0,$K$8*0.15*0.15)</f>
        <v/>
      </c>
      <c r="J25" s="46">
        <f>+IF(J20=FALSE,0,SUM($H$10:$H$11)*0.7*0.3)+IF($E$21=FALSE,0,$K$8*0.15*0.15)</f>
        <v/>
      </c>
      <c r="K25" s="11" t="n"/>
      <c r="L25" s="7" t="n"/>
      <c r="N25" s="69" t="inlineStr">
        <is>
          <t>サンクス到達*情報一致率(70%前後)*実追加率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+SUM(E22:E25)+$H$9*$P$16+($H$8-$H$9)*$P$15+IF(P9=FALSE,0,$K$8*0.15*0.08)</f>
        <v/>
      </c>
      <c r="F26" s="46">
        <f>+SUM(F22:F25)+$H$9*$P$16+($H$8-$H$9)*$P$15</f>
        <v/>
      </c>
      <c r="G26" s="46">
        <f>+SUM(G22:G25)+$H$9*$P$16+($H$8-$H$9)*$P$15</f>
        <v/>
      </c>
      <c r="H26" s="46">
        <f>+SUM(H22:H25)+$H$9*$P$16+($H$8-$H$9)*$P$15</f>
        <v/>
      </c>
      <c r="I26" s="46">
        <f>+SUM(I22:I25)+$H$9*$P$16+($H$8-$H$9)*$P$15</f>
        <v/>
      </c>
      <c r="J26" s="46">
        <f>+SUM(J22:J25)+$H$9*$P$16+($H$8-$H$9)*$P$15</f>
        <v/>
      </c>
      <c r="K26" s="11" t="n"/>
      <c r="L26" s="7" t="n"/>
      <c r="N26" s="72" t="inlineStr">
        <is>
          <t>※上記記載に追加して、LP、HPからのLINE誘導を加味する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>
        <f>+E27*1.025</f>
        <v/>
      </c>
      <c r="G27" s="47">
        <f>+F27*1.025</f>
        <v/>
      </c>
      <c r="H27" s="47">
        <f>+G27*1.025</f>
        <v/>
      </c>
      <c r="I27" s="47">
        <f>+H27*1.025</f>
        <v/>
      </c>
      <c r="J27" s="47">
        <f>+I27*1.025</f>
        <v/>
      </c>
      <c r="K27" s="11" t="n"/>
      <c r="L27" s="7" t="n"/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>
        <v>300</v>
      </c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5</v>
      </c>
      <c r="F36" s="111" t="n">
        <v>9</v>
      </c>
      <c r="G36" s="111" t="n">
        <v>16</v>
      </c>
      <c r="H36" s="111" t="n">
        <v>16</v>
      </c>
      <c r="I36" s="111" t="n">
        <v>20</v>
      </c>
      <c r="J36" s="111" t="n">
        <v>23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 t="n">
        <v>0</v>
      </c>
      <c r="F37" s="111" t="n">
        <v>0</v>
      </c>
      <c r="G37" s="111" t="n">
        <v>0</v>
      </c>
      <c r="H37" s="111" t="n">
        <v>0</v>
      </c>
      <c r="I37" s="111" t="n">
        <v>0</v>
      </c>
      <c r="J37" s="111" t="n">
        <v>0</v>
      </c>
      <c r="K37" s="115">
        <f>SUM(E37:J37)</f>
        <v/>
      </c>
      <c r="L37" s="7" t="n"/>
      <c r="N37" s="69" t="inlineStr">
        <is>
          <t>新規向け_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サンクス誘導：初期10万円/通期5万円　※20%のコストカットOK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0</v>
      </c>
      <c r="F69" s="178" t="n">
        <v>0</v>
      </c>
      <c r="G69" s="178" t="n">
        <v>0</v>
      </c>
      <c r="H69" s="178" t="n">
        <v>0</v>
      </c>
      <c r="I69" s="178" t="n">
        <v>0</v>
      </c>
      <c r="J69" s="178" t="n">
        <v>0</v>
      </c>
      <c r="N69" s="69" t="inlineStr">
        <is>
          <t>コンサル費用固定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70000</v>
      </c>
      <c r="F70" s="178" t="n">
        <v>70000</v>
      </c>
      <c r="G70" s="178" t="n">
        <v>70000</v>
      </c>
      <c r="H70" s="178" t="n">
        <v>70000</v>
      </c>
      <c r="I70" s="178" t="n">
        <v>70000</v>
      </c>
      <c r="J70" s="178" t="n">
        <v>70000</v>
      </c>
      <c r="N70" s="69" t="inlineStr">
        <is>
          <t>コンサル費用ショット（開発、初期費用）</t>
        </is>
      </c>
    </row>
    <row r="71">
      <c r="A71" s="15" t="n"/>
      <c r="B71" s="6" t="inlineStr">
        <is>
          <t>CPF広告費(Meta転用)</t>
        </is>
      </c>
      <c r="C71" s="184" t="n">
        <v>0</v>
      </c>
      <c r="D71" s="185" t="n">
        <v>0</v>
      </c>
      <c r="E71" s="178" t="n">
        <v>208000</v>
      </c>
      <c r="F71" s="178" t="n">
        <v>208000</v>
      </c>
      <c r="G71" s="178" t="n">
        <v>208000</v>
      </c>
      <c r="H71" s="178" t="n">
        <v>208000</v>
      </c>
      <c r="I71" s="178" t="n">
        <v>208000</v>
      </c>
      <c r="J71" s="178" t="n">
        <v>208000</v>
      </c>
      <c r="N71" s="69" t="inlineStr">
        <is>
          <t>通知メッセージ：要相談、（）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  <c r="C2" s="0" t="inlineStr">
        <is>
          <t>② CPFなし（サイト流入のみ）</t>
        </is>
      </c>
    </row>
    <row r="4" ht="45.75" customHeight="1" s="158">
      <c r="A4" s="56" t="inlineStr">
        <is>
          <t>株式会社御中_LINEOA施策提案【SIM】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求人応募・支援サービス登録</t>
        </is>
      </c>
      <c r="D8" s="160" t="n">
        <v>17000</v>
      </c>
      <c r="G8" s="143" t="inlineStr">
        <is>
          <t>UU</t>
        </is>
      </c>
      <c r="H8" s="144" t="n">
        <v>3215</v>
      </c>
      <c r="I8" s="145" t="n"/>
      <c r="J8" s="145" t="inlineStr">
        <is>
          <t>想定顧客リスト</t>
        </is>
      </c>
      <c r="K8" s="152" t="n">
        <v>500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-</t>
        </is>
      </c>
      <c r="D9" s="160" t="n">
        <v>0</v>
      </c>
      <c r="G9" s="146" t="inlineStr">
        <is>
          <t>広告・アフィUU</t>
        </is>
      </c>
      <c r="H9" s="147" t="n">
        <v>1600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1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CV（別施策）1</t>
        </is>
      </c>
      <c r="H10" s="147" t="n">
        <v>8</v>
      </c>
      <c r="I10" s="148" t="inlineStr">
        <is>
          <t>リード（イメージ）</t>
        </is>
      </c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inlineStr">
        <is>
          <t>マネタイズ（イメージ）</t>
        </is>
      </c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</t>
        </is>
      </c>
      <c r="F13" s="36" t="inlineStr">
        <is>
          <t>2か月目</t>
        </is>
      </c>
      <c r="G13" s="36" t="inlineStr">
        <is>
          <t>3か月目</t>
        </is>
      </c>
      <c r="H13" s="36" t="inlineStr">
        <is>
          <t>4か月目</t>
        </is>
      </c>
      <c r="I13" s="36" t="inlineStr">
        <is>
          <t>5か月目</t>
        </is>
      </c>
      <c r="J13" s="36" t="inlineStr">
        <is>
          <t>6か月目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>
        <f>+D14</f>
        <v/>
      </c>
      <c r="F14" s="43">
        <f>+E14</f>
        <v/>
      </c>
      <c r="G14" s="43">
        <f>+F14</f>
        <v/>
      </c>
      <c r="H14" s="43">
        <f>+G14</f>
        <v/>
      </c>
      <c r="I14" s="43">
        <f>+H14</f>
        <v/>
      </c>
      <c r="J14" s="43">
        <f>+I14</f>
        <v/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>
        <f>+D15</f>
        <v/>
      </c>
      <c r="F15" s="43">
        <f>+E15</f>
        <v/>
      </c>
      <c r="G15" s="43">
        <f>+F15</f>
        <v/>
      </c>
      <c r="H15" s="43">
        <f>+G15</f>
        <v/>
      </c>
      <c r="I15" s="43">
        <f>+H15</f>
        <v/>
      </c>
      <c r="J15" s="43">
        <f>+I15</f>
        <v/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>
        <f>+D16</f>
        <v/>
      </c>
      <c r="F16" s="43">
        <f>+E16</f>
        <v/>
      </c>
      <c r="G16" s="43">
        <f>+F16</f>
        <v/>
      </c>
      <c r="H16" s="43">
        <f>+G16</f>
        <v/>
      </c>
      <c r="I16" s="43">
        <f>+H16</f>
        <v/>
      </c>
      <c r="J16" s="43">
        <f>+I16</f>
        <v/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 t="n">
        <v>0</v>
      </c>
      <c r="F22" s="63" t="n">
        <v>0</v>
      </c>
      <c r="G22" s="63" t="n">
        <v>0</v>
      </c>
      <c r="H22" s="63" t="n">
        <v>0</v>
      </c>
      <c r="I22" s="63" t="n">
        <v>0</v>
      </c>
      <c r="J22" s="63" t="n">
        <v>0</v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IF(E18=FALSE,0,E15*$P$18*0.08*0.08+(E14-E15)*$P$19*0.12*0.12)</f>
        <v/>
      </c>
      <c r="F23" s="46">
        <f>IF(F18=FALSE,0,F15*$P$18*0.08*0.08+(F14-F15)*$P$19*0.12*0.12)</f>
        <v/>
      </c>
      <c r="G23" s="63">
        <f>F23*1.01</f>
        <v/>
      </c>
      <c r="H23" s="63">
        <f>G23*1.01</f>
        <v/>
      </c>
      <c r="I23" s="63">
        <f>H23*1.01</f>
        <v/>
      </c>
      <c r="J23" s="63">
        <f>I23*1.01</f>
        <v/>
      </c>
      <c r="K23" s="11" t="n"/>
      <c r="L23" s="7" t="n"/>
      <c r="N23" s="69" t="inlineStr">
        <is>
          <t>離脱防止表示率×UU×クリック率×実追加率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+IF(E19=FALSE,0,SUM(H10:H11)*0.15)</f>
        <v/>
      </c>
      <c r="F24" s="63">
        <f>E24*1.01</f>
        <v/>
      </c>
      <c r="G24" s="63">
        <f>F24*1.01</f>
        <v/>
      </c>
      <c r="H24" s="63">
        <f>G24*1.01</f>
        <v/>
      </c>
      <c r="I24" s="63">
        <f>H24*1.01</f>
        <v/>
      </c>
      <c r="J24" s="63">
        <f>I24*1.01</f>
        <v/>
      </c>
      <c r="K24" s="11" t="n"/>
      <c r="L24" s="7" t="n"/>
      <c r="N24" s="69" t="inlineStr">
        <is>
          <t>CV(別施策)*誘導成功率*実追加率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+IF(E20=FALSE,0,SUM($H$10:$H$11)*0.7*0.3)+IF($E$21=FALSE,0,$K$8*0.15*0.15)</f>
        <v/>
      </c>
      <c r="F25" s="46">
        <f>+IF(F20=FALSE,0,SUM($H$10:$H$11)*0.7*0.3)+IF($E$21=FALSE,0,$K$8*0.15*0.15)</f>
        <v/>
      </c>
      <c r="G25" s="46">
        <f>+IF(G20=FALSE,0,SUM($H$10:$H$11)*0.7*0.3)+IF($E$21=FALSE,0,$K$8*0.15*0.15)</f>
        <v/>
      </c>
      <c r="H25" s="46">
        <f>+IF(H20=FALSE,0,SUM($H$10:$H$11)*0.7*0.3)+IF($E$21=FALSE,0,$K$8*0.15*0.15)</f>
        <v/>
      </c>
      <c r="I25" s="46">
        <f>+IF(I20=FALSE,0,SUM($H$10:$H$11)*0.7*0.3)+IF($E$21=FALSE,0,$K$8*0.15*0.15)</f>
        <v/>
      </c>
      <c r="J25" s="46">
        <f>+IF(J20=FALSE,0,SUM($H$10:$H$11)*0.7*0.3)+IF($E$21=FALSE,0,$K$8*0.15*0.15)</f>
        <v/>
      </c>
      <c r="K25" s="11" t="n"/>
      <c r="L25" s="7" t="n"/>
      <c r="N25" s="69" t="inlineStr">
        <is>
          <t>サンクス到達*情報一致率(70%前後)*実追加率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+SUM(E22:E25)+$H$9*$P$16+($H$8-$H$9)*$P$15+IF(P9=FALSE,0,$K$8*0.15*0.08)</f>
        <v/>
      </c>
      <c r="F26" s="46">
        <f>+SUM(F22:F25)+$H$9*$P$16+($H$8-$H$9)*$P$15</f>
        <v/>
      </c>
      <c r="G26" s="46">
        <f>+SUM(G22:G25)+$H$9*$P$16+($H$8-$H$9)*$P$15</f>
        <v/>
      </c>
      <c r="H26" s="46">
        <f>+SUM(H22:H25)+$H$9*$P$16+($H$8-$H$9)*$P$15</f>
        <v/>
      </c>
      <c r="I26" s="46">
        <f>+SUM(I22:I25)+$H$9*$P$16+($H$8-$H$9)*$P$15</f>
        <v/>
      </c>
      <c r="J26" s="46">
        <f>+SUM(J22:J25)+$H$9*$P$16+($H$8-$H$9)*$P$15</f>
        <v/>
      </c>
      <c r="K26" s="11" t="n"/>
      <c r="L26" s="7" t="n"/>
      <c r="N26" s="72" t="inlineStr">
        <is>
          <t>※上記記載に追加して、LP、HPからのLINE誘導を加味する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>
        <f>+E27*1.025</f>
        <v/>
      </c>
      <c r="G27" s="47">
        <f>+F27*1.025</f>
        <v/>
      </c>
      <c r="H27" s="47">
        <f>+G27*1.025</f>
        <v/>
      </c>
      <c r="I27" s="47">
        <f>+H27*1.025</f>
        <v/>
      </c>
      <c r="J27" s="47">
        <f>+I27*1.025</f>
        <v/>
      </c>
      <c r="K27" s="11" t="n"/>
      <c r="L27" s="7" t="n"/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</f>
        <v/>
      </c>
      <c r="F35" s="50">
        <f>+F31+F33+1.05*(F31+F33)</f>
        <v/>
      </c>
      <c r="G35" s="50">
        <f>+G31+G33+1.05*(G31+G33)</f>
        <v/>
      </c>
      <c r="H35" s="50">
        <f>+H31+H33+1.05*(H31+H33)</f>
        <v/>
      </c>
      <c r="I35" s="50">
        <f>+I31+I33+1.05*(I31+I33)</f>
        <v/>
      </c>
      <c r="J35" s="50">
        <f>+J31+J33+1.05*(J31+J33)</f>
        <v/>
      </c>
      <c r="K35" s="11" t="n"/>
      <c r="L35" s="7" t="n"/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0.2</v>
      </c>
      <c r="F36" s="111" t="n">
        <v>0.5</v>
      </c>
      <c r="G36" s="111" t="n">
        <v>0.7</v>
      </c>
      <c r="H36" s="111" t="n">
        <v>0.7</v>
      </c>
      <c r="I36" s="111" t="n">
        <v>0.9</v>
      </c>
      <c r="J36" s="111" t="n">
        <v>1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 t="n">
        <v>0</v>
      </c>
      <c r="F37" s="111" t="n">
        <v>0</v>
      </c>
      <c r="G37" s="111" t="n">
        <v>0</v>
      </c>
      <c r="H37" s="111" t="n">
        <v>0</v>
      </c>
      <c r="I37" s="111" t="n">
        <v>0</v>
      </c>
      <c r="J37" s="111" t="n">
        <v>0</v>
      </c>
      <c r="K37" s="115">
        <f>SUM(E37:J37)</f>
        <v/>
      </c>
      <c r="L37" s="7" t="n"/>
      <c r="N37" s="69" t="inlineStr">
        <is>
          <t>新規向け_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サンクス誘導：初期10万円/通期5万円　※20%のコストカットOK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0</v>
      </c>
      <c r="F69" s="178" t="n">
        <v>0</v>
      </c>
      <c r="G69" s="178" t="n">
        <v>0</v>
      </c>
      <c r="H69" s="178" t="n">
        <v>0</v>
      </c>
      <c r="I69" s="178" t="n">
        <v>0</v>
      </c>
      <c r="J69" s="178" t="n">
        <v>0</v>
      </c>
      <c r="N69" s="69" t="inlineStr">
        <is>
          <t>コンサル費用固定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70000</v>
      </c>
      <c r="F70" s="178" t="n">
        <v>70000</v>
      </c>
      <c r="G70" s="178" t="n">
        <v>70000</v>
      </c>
      <c r="H70" s="178" t="n">
        <v>70000</v>
      </c>
      <c r="I70" s="178" t="n">
        <v>70000</v>
      </c>
      <c r="J70" s="178" t="n">
        <v>70000</v>
      </c>
      <c r="N70" s="69" t="inlineStr">
        <is>
          <t>コンサル費用ショット（開発、初期費用）</t>
        </is>
      </c>
    </row>
    <row r="71">
      <c r="A71" s="15" t="n"/>
      <c r="B71" s="6" t="inlineStr">
        <is>
          <t>CPF広告費(Meta転用)</t>
        </is>
      </c>
      <c r="C71" s="184" t="n">
        <v>0</v>
      </c>
      <c r="D71" s="185" t="n">
        <v>0</v>
      </c>
      <c r="E71" s="178" t="n">
        <v>0</v>
      </c>
      <c r="F71" s="178" t="n">
        <v>0</v>
      </c>
      <c r="G71" s="178" t="n">
        <v>0</v>
      </c>
      <c r="H71" s="178" t="n">
        <v>0</v>
      </c>
      <c r="I71" s="178" t="n">
        <v>0</v>
      </c>
      <c r="J71" s="178" t="n">
        <v>0</v>
      </c>
      <c r="N71" s="69" t="inlineStr">
        <is>
          <t>通知メッセージ：要相談、（）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+SIM1_!D24</f>
        <v/>
      </c>
      <c r="D4" s="178">
        <f>+SIM1_!G51</f>
        <v/>
      </c>
      <c r="E4" s="178">
        <f>+SIM1_!J51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+SIM1_!D25</f>
        <v/>
      </c>
      <c r="D5" s="178">
        <f>+SIM1_!G61</f>
        <v/>
      </c>
      <c r="E5" s="178">
        <f>+SIM1_!J61</f>
        <v/>
      </c>
      <c r="F5" s="177" t="n"/>
    </row>
    <row r="6">
      <c r="A6" s="85" t="inlineStr">
        <is>
          <t>友だち数想定</t>
        </is>
      </c>
      <c r="B6" s="7" t="n"/>
      <c r="C6" s="117">
        <f>+SIM1_!D28</f>
        <v/>
      </c>
      <c r="D6" s="87">
        <f>+SIM1_!G28</f>
        <v/>
      </c>
      <c r="E6" s="87">
        <f>+SIM1_!J28</f>
        <v/>
      </c>
      <c r="F6" s="10" t="n"/>
    </row>
    <row r="7">
      <c r="A7" s="85" t="inlineStr">
        <is>
          <t>ブロック率想定</t>
        </is>
      </c>
      <c r="B7" s="7" t="n"/>
      <c r="C7" s="88">
        <f>+SIM1_!D27</f>
        <v/>
      </c>
      <c r="D7" s="189">
        <f>+D8/D6</f>
        <v/>
      </c>
      <c r="E7" s="189">
        <f>+E8/E6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+SIM1_!D29</f>
        <v/>
      </c>
      <c r="D8" s="10">
        <f>+SIM1_!G29</f>
        <v/>
      </c>
      <c r="E8" s="10">
        <f>+SIM1_!J29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+SIM1_!D34</f>
        <v/>
      </c>
      <c r="D10" s="10">
        <f>+SIM1_!G34</f>
        <v/>
      </c>
      <c r="E10" s="10">
        <f>+SIM1_!J34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+SIM1_!D35</f>
        <v/>
      </c>
      <c r="D11" s="10">
        <f>+SIM1_!G35</f>
        <v/>
      </c>
      <c r="E11" s="10">
        <f>+SIM1_!J35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+SIM1_!D16</f>
        <v/>
      </c>
      <c r="D15" s="87">
        <f>+SIM1_!E16</f>
        <v/>
      </c>
      <c r="E15" s="87">
        <f>+SIM1_!F16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+SIM1_!D36</f>
        <v/>
      </c>
      <c r="D17" s="87">
        <f>+SIM1_!G36</f>
        <v/>
      </c>
      <c r="E17" s="87">
        <f>+SIM1_!J36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+SIM1_!D37</f>
        <v/>
      </c>
      <c r="D18" s="87">
        <f>+SIM1_!G37</f>
        <v/>
      </c>
      <c r="E18" s="87">
        <f>+SIM1_!J37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+SIM1_!D38</f>
        <v/>
      </c>
      <c r="D19" s="87">
        <f>+SIM1_!G38</f>
        <v/>
      </c>
      <c r="E19" s="87">
        <f>+SIM1_!J38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+SIM1_!D39</f>
        <v/>
      </c>
      <c r="D20" s="87">
        <f>+SIM1_!G39</f>
        <v/>
      </c>
      <c r="E20" s="87">
        <f>+SIM1_!J39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2026-09-24T06:18:17Z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
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8CC4036E-C5A4-4F0E-9C66-16927879D67B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_ポップアップ＋サンクスLINE" sheetId="1" r:id="rId1"/>
    <sheet name="SIM_比較" sheetId="2" r:id="rId2"/>
    <sheet name="SIM考え方" sheetId="3" r:id="rId3"/>
  </sheets>
  <calcPr fullCalcOnLoad="1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17" i="3"/>
  <c r="E12" i="3"/>
  <c r="E7" i="3"/>
  <c r="E20" i="2"/>
  <c r="D20" i="2"/>
  <c r="C20" i="2"/>
  <c r="E19" i="2"/>
  <c r="D19" i="2"/>
  <c r="C19" i="2"/>
  <c r="X18" i="2"/>
  <c r="E18" i="2"/>
  <c r="D18" i="2"/>
  <c r="C18" i="2"/>
  <c r="E17" i="2"/>
  <c r="D17" i="2"/>
  <c r="D16" i="2" s="1"/>
  <c r="C17" i="2"/>
  <c r="C16" i="2"/>
  <c r="E15" i="2"/>
  <c r="D15" i="2"/>
  <c r="C15" i="2"/>
  <c r="E7" i="2"/>
  <c r="D7" i="2"/>
  <c r="C7" i="2"/>
  <c r="C6" i="2"/>
  <c r="C5" i="2"/>
  <c r="C23" i="2" s="1"/>
  <c r="C4" i="2"/>
  <c r="C22" i="2" s="1"/>
  <c r="D73" i="1"/>
  <c r="D55" i="1"/>
  <c r="D61" i="1" s="1"/>
  <c r="J50" i="1"/>
  <c r="I50" i="1"/>
  <c r="H50" i="1"/>
  <c r="G50" i="1"/>
  <c r="F50" i="1"/>
  <c r="E50" i="1"/>
  <c r="D45" i="1"/>
  <c r="D51" i="1" s="1"/>
  <c r="C45" i="1"/>
  <c r="C51" i="1" s="1"/>
  <c r="J40" i="1"/>
  <c r="I40" i="1"/>
  <c r="H40" i="1"/>
  <c r="G40" i="1"/>
  <c r="F40" i="1"/>
  <c r="E40" i="1"/>
  <c r="D40" i="1"/>
  <c r="K39" i="1"/>
  <c r="B39" i="1"/>
  <c r="K38" i="1"/>
  <c r="B38" i="1"/>
  <c r="K37" i="1"/>
  <c r="B37" i="1"/>
  <c r="K36" i="1"/>
  <c r="B36" i="1"/>
  <c r="Q35" i="1"/>
  <c r="P36" i="1" s="1"/>
  <c r="Q34" i="1"/>
  <c r="Q33" i="1"/>
  <c r="Q32" i="1"/>
  <c r="D29" i="1"/>
  <c r="J25" i="1"/>
  <c r="I25" i="1"/>
  <c r="H25" i="1"/>
  <c r="G25" i="1"/>
  <c r="F25" i="1"/>
  <c r="E25" i="1"/>
  <c r="J24" i="1"/>
  <c r="I24" i="1"/>
  <c r="G24" i="1"/>
  <c r="F24" i="1"/>
  <c r="J23" i="1"/>
  <c r="I23" i="1"/>
  <c r="G23" i="1"/>
  <c r="F23" i="1"/>
  <c r="Y19" i="1"/>
  <c r="H16" i="1"/>
  <c r="H24" i="1" s="1"/>
  <c r="E16" i="1"/>
  <c r="E24" i="1" s="1"/>
  <c r="D16" i="1"/>
  <c r="H15" i="1"/>
  <c r="H23" i="1" s="1"/>
  <c r="E15" i="1"/>
  <c r="E23" i="1" s="1"/>
  <c r="D15" i="1"/>
  <c r="H14" i="1"/>
  <c r="E14" i="1"/>
  <c r="D14" i="1"/>
  <c r="E16" i="2" l="1"/>
  <c r="H26" i="1"/>
  <c r="H33" i="1" s="1"/>
  <c r="E26" i="1"/>
  <c r="K40" i="1"/>
  <c r="J26" i="1"/>
  <c r="J33" i="1" s="1"/>
  <c r="I26" i="1"/>
  <c r="I33" i="1" s="1"/>
  <c r="G26" i="1"/>
  <c r="G33" i="1" s="1"/>
  <c r="F26" i="1"/>
  <c r="F33" i="1" s="1"/>
  <c r="C8" i="2"/>
  <c r="D34" i="1"/>
  <c r="D31" i="1"/>
  <c r="D35" i="1" s="1"/>
  <c r="E28" i="1" l="1"/>
  <c r="E33" i="1"/>
  <c r="D75" i="1"/>
  <c r="C10" i="2"/>
  <c r="C29" i="2" s="1"/>
  <c r="C30" i="2" s="1"/>
  <c r="D41" i="1"/>
  <c r="C11" i="2"/>
  <c r="C12" i="2" s="1"/>
  <c r="C13" i="2" s="1"/>
  <c r="F28" i="1" l="1"/>
  <c r="E46" i="1"/>
  <c r="E56" i="1"/>
  <c r="E29" i="1"/>
  <c r="D76" i="1"/>
  <c r="D54" i="1"/>
  <c r="E31" i="1"/>
  <c r="E35" i="1" s="1"/>
  <c r="E34" i="1"/>
  <c r="G28" i="1" l="1"/>
  <c r="G29" i="1" s="1"/>
  <c r="F46" i="1"/>
  <c r="F56" i="1"/>
  <c r="F29" i="1"/>
  <c r="H28" i="1"/>
  <c r="G46" i="1"/>
  <c r="G56" i="1"/>
  <c r="D6" i="2"/>
  <c r="E41" i="1"/>
  <c r="E48" i="1"/>
  <c r="E58" i="1"/>
  <c r="E75" i="1"/>
  <c r="E68" i="1"/>
  <c r="F31" i="1" l="1"/>
  <c r="F35" i="1" s="1"/>
  <c r="F34" i="1"/>
  <c r="I28" i="1"/>
  <c r="H46" i="1"/>
  <c r="H56" i="1"/>
  <c r="H29" i="1"/>
  <c r="G31" i="1"/>
  <c r="G35" i="1" s="1"/>
  <c r="G34" i="1"/>
  <c r="D8" i="2"/>
  <c r="F75" i="1"/>
  <c r="F68" i="1"/>
  <c r="F45" i="1" s="1"/>
  <c r="E76" i="1"/>
  <c r="C25" i="2"/>
  <c r="E45" i="1"/>
  <c r="F48" i="1" l="1"/>
  <c r="F41" i="1"/>
  <c r="F58" i="1"/>
  <c r="E54" i="1"/>
  <c r="E55" i="1" s="1"/>
  <c r="E59" i="1" s="1"/>
  <c r="E44" i="1"/>
  <c r="E51" i="1" s="1"/>
  <c r="J28" i="1"/>
  <c r="I46" i="1"/>
  <c r="I56" i="1"/>
  <c r="I29" i="1"/>
  <c r="H31" i="1"/>
  <c r="H35" i="1" s="1"/>
  <c r="H34" i="1"/>
  <c r="G41" i="1"/>
  <c r="G58" i="1"/>
  <c r="D11" i="2"/>
  <c r="G48" i="1"/>
  <c r="G75" i="1"/>
  <c r="G68" i="1"/>
  <c r="D10" i="2"/>
  <c r="D29" i="2" s="1"/>
  <c r="D30" i="2" s="1"/>
  <c r="F76" i="1"/>
  <c r="E61" i="1" l="1"/>
  <c r="E57" i="1" s="1"/>
  <c r="E73" i="1"/>
  <c r="E47" i="1"/>
  <c r="E49" i="1"/>
  <c r="F44" i="1"/>
  <c r="F51" i="1" s="1"/>
  <c r="F54" i="1"/>
  <c r="J46" i="1"/>
  <c r="J56" i="1"/>
  <c r="E6" i="2"/>
  <c r="J29" i="1"/>
  <c r="I31" i="1"/>
  <c r="I35" i="1" s="1"/>
  <c r="I34" i="1"/>
  <c r="H41" i="1"/>
  <c r="H58" i="1"/>
  <c r="H48" i="1"/>
  <c r="H75" i="1"/>
  <c r="H68" i="1"/>
  <c r="H45" i="1" s="1"/>
  <c r="G76" i="1"/>
  <c r="D25" i="2"/>
  <c r="G45" i="1"/>
  <c r="G54" i="1" l="1"/>
  <c r="G44" i="1"/>
  <c r="G51" i="1" s="1"/>
  <c r="F49" i="1"/>
  <c r="F47" i="1"/>
  <c r="F73" i="1"/>
  <c r="F55" i="1"/>
  <c r="F59" i="1" s="1"/>
  <c r="F61" i="1"/>
  <c r="F57" i="1" s="1"/>
  <c r="J31" i="1"/>
  <c r="J35" i="1" s="1"/>
  <c r="J34" i="1"/>
  <c r="E8" i="2"/>
  <c r="I41" i="1"/>
  <c r="I58" i="1"/>
  <c r="I48" i="1"/>
  <c r="I75" i="1"/>
  <c r="I68" i="1"/>
  <c r="I45" i="1" s="1"/>
  <c r="H76" i="1"/>
  <c r="G73" i="1" l="1"/>
  <c r="G61" i="1"/>
  <c r="G55" i="1"/>
  <c r="G59" i="1" s="1"/>
  <c r="H44" i="1"/>
  <c r="H51" i="1" s="1"/>
  <c r="H54" i="1"/>
  <c r="J41" i="1"/>
  <c r="J58" i="1"/>
  <c r="E11" i="2"/>
  <c r="J48" i="1"/>
  <c r="J75" i="1"/>
  <c r="J68" i="1"/>
  <c r="E10" i="2"/>
  <c r="E29" i="2" s="1"/>
  <c r="E30" i="2" s="1"/>
  <c r="I76" i="1"/>
  <c r="G49" i="1"/>
  <c r="G47" i="1"/>
  <c r="D4" i="2"/>
  <c r="G57" i="1" l="1"/>
  <c r="D5" i="2"/>
  <c r="H47" i="1"/>
  <c r="H49" i="1"/>
  <c r="H73" i="1"/>
  <c r="H61" i="1"/>
  <c r="H57" i="1" s="1"/>
  <c r="H55" i="1"/>
  <c r="H59" i="1" s="1"/>
  <c r="J76" i="1"/>
  <c r="E25" i="2"/>
  <c r="J45" i="1"/>
  <c r="D13" i="2"/>
  <c r="D23" i="2"/>
  <c r="D12" i="2"/>
  <c r="D22" i="2"/>
  <c r="I44" i="1"/>
  <c r="I51" i="1" s="1"/>
  <c r="I54" i="1"/>
  <c r="J44" i="1" l="1"/>
  <c r="J51" i="1" s="1"/>
  <c r="J54" i="1"/>
  <c r="I49" i="1"/>
  <c r="I47" i="1"/>
  <c r="I55" i="1"/>
  <c r="I59" i="1" s="1"/>
  <c r="I61" i="1"/>
  <c r="I57" i="1" s="1"/>
  <c r="I73" i="1"/>
  <c r="J73" i="1" l="1"/>
  <c r="J61" i="1"/>
  <c r="J55" i="1"/>
  <c r="J59" i="1" s="1"/>
  <c r="J49" i="1"/>
  <c r="J47" i="1"/>
  <c r="E4" i="2"/>
  <c r="E5" i="2" l="1"/>
  <c r="J57" i="1"/>
  <c r="E12" i="2"/>
  <c r="E22" i="2"/>
  <c r="E13" i="2" l="1"/>
  <c r="E23" i="2"/>
</calcChain>
</file>

<file path=xl/sharedStrings.xml><?xml version="1.0" encoding="utf-8"?>
<sst xmlns="http://schemas.openxmlformats.org/spreadsheetml/2006/main" count="287" uniqueCount="197">
  <si>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</si>
  <si>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</si>
  <si>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</si>
  <si>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</si>
  <si>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</si>
  <si>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</si>
  <si>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</si>
  <si>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</si>
  <si>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</si>
  <si>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</si>
  <si>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</si>
  <si>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</si>
  <si>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</si>
  <si>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</si>
  <si>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</si>
  <si>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</si>
  <si>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</si>
  <si>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</si>
  <si>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</si>
  <si>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</si>
  <si>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</si>
  <si>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</si>
  <si>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</si>
  <si>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</si>
  <si>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</si>
  <si>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</si>
  <si>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</si>
  <si>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</si>
  <si>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</si>
  <si>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</si>
  <si>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</si>
  <si>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</si>
  <si>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</si>
  <si>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</si>
  <si>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</si>
  <si>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</si>
  <si>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</si>
  <si>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</si>
  <si>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</si>
  <si>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</si>
  <si>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</si>
  <si>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</si>
  <si>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</si>
  <si>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</si>
  <si>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</si>
  <si>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</si>
  <si>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</si>
  <si>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</si>
  <si>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</si>
  <si>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</si>
  <si>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</si>
  <si>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</si>
  <si>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</si>
  <si>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</si>
  <si>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</si>
  <si>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</si>
  <si>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</si>
  <si>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</si>
  <si>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</si>
  <si>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</si>
  <si>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</si>
  <si>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</si>
  <si>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</si>
  <si>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</si>
  <si>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</si>
  <si>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</si>
  <si>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</si>
  <si>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</si>
  <si>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</si>
  <si>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</si>
  <si>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</si>
  <si>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</si>
  <si>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</si>
  <si>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</si>
  <si>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</si>
  <si>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</si>
  <si>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</si>
  <si>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</si>
  <si>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</si>
  <si>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</si>
  <si>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</si>
  <si>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</si>
  <si>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</si>
  <si>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</si>
  <si>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</si>
  <si>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</si>
  <si>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</si>
  <si>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</si>
  <si>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</si>
  <si>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</si>
  <si>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</si>
  <si>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</si>
  <si>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</si>
  <si>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</si>
  <si>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</si>
  <si>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</si>
  <si>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</si>
  <si>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</si>
  <si>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</si>
  <si>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</si>
  <si>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</si>
  <si>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</si>
  <si>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</si>
  <si>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</si>
  <si>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</si>
  <si>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</si>
  <si>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</si>
  <si>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</si>
  <si>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</si>
  <si>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</si>
  <si>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</si>
  <si>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</si>
  <si>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</si>
  <si>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</si>
  <si>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</si>
  <si>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</si>
  <si>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</si>
  <si>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</si>
  <si>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</si>
  <si>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</si>
  <si>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</si>
  <si>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</si>
  <si>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</si>
  <si>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</si>
  <si>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</si>
  <si>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</si>
  <si>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</si>
  <si>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</si>
  <si>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</si>
  <si>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</si>
  <si>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</si>
  <si>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</si>
  <si>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</si>
  <si>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</si>
  <si>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</si>
  <si>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</si>
  <si>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</si>
  <si>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</si>
  <si>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</si>
  <si>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</si>
  <si>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</si>
  <si>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</si>
  <si>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</si>
  <si>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</si>
  <si>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</si>
  <si>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</si>
  <si>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</si>
  <si>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</si>
  <si>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</si>
  <si>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</si>
  <si>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</si>
  <si>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</si>
  <si>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</si>
  <si>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</si>
  <si>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</si>
  <si>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</si>
  <si>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</si>
  <si>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</si>
  <si>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株式会社すなおコンサルティング御中_LINEOA施策提案【SIM】ver1.2（ポップアップツール＋サンクスLINE誘導）</t>
  </si>
  <si>
    <t>セミナー予約</t>
  </si>
  <si>
    <t>LP UU（イベント月）</t>
  </si>
  <si>
    <t>CV①セミナー予約（成果単価 1.2万円）。LINEのリンク経由だけ。サンクスLINEで友だちになった方（予約済み）は数えない</t>
  </si>
  <si>
    <t>サロン入会</t>
  </si>
  <si>
    <t>うち広告</t>
  </si>
  <si>
    <t>CV②サロン入会（成果単価 2.5万円）。LINEのリンク経由だけ</t>
  </si>
  <si>
    <t>セミナー予約（イベント月）</t>
  </si>
  <si>
    <t>イベント月（1・4か月目）：LP UU 仮に3,000（広告クリック 約2,760＋自社のSNS等が少し）・セミナー予約 81件（前回1回分の実績）。広告費はADの予算なので入れていない</t>
  </si>
  <si>
    <t>イベント期</t>
  </si>
  <si>
    <t>平常期</t>
  </si>
  <si>
    <t>1か月目</t>
  </si>
  <si>
    <t>2か月目</t>
  </si>
  <si>
    <t>3か月目</t>
  </si>
  <si>
    <t>4か月目</t>
  </si>
  <si>
    <t>5か月目</t>
  </si>
  <si>
    <t>6か月目</t>
  </si>
  <si>
    <t>平常期も少量の広告が続いている → LP UU 仮に月130（広告 月10万円÷クリック単価765円）</t>
  </si>
  <si>
    <t>ポップアップツール</t>
  </si>
  <si>
    <t>友だち追加広告（CPF）は入れていない</t>
  </si>
  <si>
    <t>ポップアップツール＝LP UU×表示65%×クリック12.5%×追加12.5%（定義テキストの係数）</t>
  </si>
  <si>
    <t>サンクスLINE誘導＝セミナー予約×遷移80%×追加45%（定義テキストの係数）。平常期は予約が無いので0</t>
  </si>
  <si>
    <t>友だちの入口はポップアップツール＋サンクスLINE誘導だけ（資料の「友だちの入口」と同じ）</t>
  </si>
  <si>
    <t>ブロック率：殿村さんの表（28.0%→31.0%）</t>
  </si>
  <si>
    <t>企画配信：イベント期 月4回／平常期 月2回（資料の料金 プラン②と同じ）</t>
  </si>
  <si>
    <t>ステップ配信5通（その月の新しい友だち。セミナーの見どころ→参加特典→予約の案内）</t>
  </si>
  <si>
    <t>セミナー予約＝クリックの0.3〜1.0%前後（目安。細かい件数は殿村さん）</t>
  </si>
  <si>
    <t>サロン入会＝目安では0（クリックが少ないため）。件数は殿村さん</t>
  </si>
  <si>
    <t>従量課金は54行（新料金テーブル）で計算。65行の旧式は二重計上になるため0</t>
  </si>
  <si>
    <t>ポップアップツール：初期1.5万・月3万</t>
  </si>
  <si>
    <t>サンクスLINE誘導</t>
  </si>
  <si>
    <t>サンクスLINE誘導：初期15万・月3万〜</t>
  </si>
  <si>
    <t>アカウント費：FMTの式（開設3万円）</t>
  </si>
  <si>
    <t>LINE運用コンサル（プラン②）</t>
  </si>
  <si>
    <t>LINE運用コンサル（プラン②）：初期10万円〜／平常期 月5〜10万円（10万で計算）／イベント期 月30万円程度</t>
  </si>
  <si>
    <t>セミナー予約（広告・イベント1回あたり）</t>
  </si>
  <si>
    <t>CV数（+LINEOA施策）</t>
  </si>
  <si>
    <t>CV①_セミナー予約</t>
  </si>
  <si>
    <t>CV②_サロン入会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</si>
</sst>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A4" zoomScale="48" zoomScaleNormal="55" workbookViewId="0">
      <selection activeCell="N45" sqref="N45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157</v>
      </c>
      <c r="B2" s="134">
        <v>46314</v>
      </c>
    </row>
    <row r="4" spans="1:25" ht="45.75" customHeight="1" x14ac:dyDescent="0.55000000000000004">
      <c r="A4" s="56" t="inlineStr">
        <is>
          <t xml:space="preserve">株式会社すなおコンサルティング御中_LINEOA施策提案【SIM】ver1.3（ポップアップツール＋サンクスLINE誘導）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153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48</v>
      </c>
      <c r="B7" s="17" t="s">
        <v>53</v>
      </c>
      <c r="C7" s="17" t="s">
        <v>54</v>
      </c>
      <c r="D7" s="17" t="s">
        <v>55</v>
      </c>
    </row>
    <row r="8" spans="1:25" ht="18" thickBot="1" x14ac:dyDescent="0.6">
      <c r="A8" s="137" t="s">
        <v>5</v>
      </c>
      <c r="B8" s="19" t="s">
        <v>6</v>
      </c>
      <c r="C8" s="19" t="s">
        <v>159</v>
      </c>
      <c r="D8" s="33">
        <v>12000</v>
      </c>
      <c r="G8" s="121" t="s">
        <v>160</v>
      </c>
      <c r="H8" s="122">
        <v>3000</v>
      </c>
      <c r="I8" s="123"/>
      <c r="J8" s="123" t="s">
        <v>69</v>
      </c>
      <c r="K8" s="129">
        <v>4000</v>
      </c>
      <c r="N8" s="69" t="s">
        <v>161</v>
      </c>
      <c r="O8" s="35" t="s">
        <v>152</v>
      </c>
    </row>
    <row r="9" spans="1:25" ht="18" thickBot="1" x14ac:dyDescent="0.6">
      <c r="A9" s="138"/>
      <c r="B9" s="19" t="s">
        <v>7</v>
      </c>
      <c r="C9" s="38" t="s">
        <v>162</v>
      </c>
      <c r="D9" s="33">
        <v>0</v>
      </c>
      <c r="G9" s="124" t="s">
        <v>163</v>
      </c>
      <c r="H9" s="125">
        <v>3000</v>
      </c>
      <c r="I9" s="22"/>
      <c r="J9" s="29"/>
      <c r="K9" s="118"/>
      <c r="N9" s="132" t="inlineStr">
        <is>
          <t xml:space="preserve">CV②サロン入会：成果報酬の対象外（入会はLINEから計測できないため。成果単価0円）。資料内のCVとしては数える</t>
        </is>
      </c>
      <c r="O9" s="130" t="s">
        <v>151</v>
      </c>
      <c r="P9" s="131" t="b">
        <v>0</v>
      </c>
    </row>
    <row r="10" spans="1:25" x14ac:dyDescent="0.55000000000000004">
      <c r="A10" s="137" t="s">
        <v>8</v>
      </c>
      <c r="B10" s="19" t="s">
        <v>9</v>
      </c>
      <c r="C10" s="19" t="s">
        <v>159</v>
      </c>
      <c r="D10" s="33">
        <v>12000</v>
      </c>
      <c r="G10" s="124" t="s">
        <v>165</v>
      </c>
      <c r="H10" s="125">
        <v>80</v>
      </c>
      <c r="I10" s="22" t="s">
        <v>150</v>
      </c>
      <c r="J10" s="29"/>
      <c r="K10" s="118"/>
      <c r="N10" s="132" t="inlineStr">
        <is>
          <t xml:space="preserve">イベント月（1・4か月目）：LP UU 仮に3,000（広告クリック 約2,760＋自社のSNS等が少し）・セミナー予約 80件（前回1回分の実績）。広告費はADの予算なので入れていない</t>
        </is>
      </c>
    </row>
    <row r="11" spans="1:25" ht="18" thickBot="1" x14ac:dyDescent="0.6">
      <c r="A11" s="138"/>
      <c r="B11" s="19" t="s">
        <v>10</v>
      </c>
      <c r="C11" s="38" t="s">
        <v>61</v>
      </c>
      <c r="D11" s="33">
        <v>0</v>
      </c>
      <c r="G11" s="126" t="s">
        <v>61</v>
      </c>
      <c r="H11" s="127">
        <v>0</v>
      </c>
      <c r="I11" s="128" t="s">
        <v>149</v>
      </c>
      <c r="J11" s="119"/>
      <c r="K11" s="120"/>
    </row>
    <row r="12" spans="1:25" ht="18" x14ac:dyDescent="0.55000000000000004">
      <c r="E12" t="s">
        <v>167</v>
      </c>
      <c r="F12" t="s">
        <v>168</v>
      </c>
      <c r="G12" t="s">
        <v>168</v>
      </c>
      <c r="H12" t="s">
        <v>167</v>
      </c>
      <c r="I12" t="s">
        <v>168</v>
      </c>
      <c r="J12" t="s">
        <v>168</v>
      </c>
      <c r="O12" s="55" t="s">
        <v>70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28</v>
      </c>
      <c r="E13" s="36" t="s">
        <v>169</v>
      </c>
      <c r="F13" s="36" t="s">
        <v>170</v>
      </c>
      <c r="G13" s="36" t="s">
        <v>171</v>
      </c>
      <c r="H13" s="36" t="s">
        <v>172</v>
      </c>
      <c r="I13" s="36" t="s">
        <v>173</v>
      </c>
      <c r="J13" s="36" t="s">
        <v>174</v>
      </c>
      <c r="K13" s="3" t="s">
        <v>1</v>
      </c>
      <c r="L13" s="4" t="s">
        <v>2</v>
      </c>
      <c r="N13" s="71" t="s">
        <v>120</v>
      </c>
      <c r="O13" s="30" t="s">
        <v>42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31</v>
      </c>
      <c r="B14" s="20" t="s">
        <v>35</v>
      </c>
      <c r="C14" s="99"/>
      <c r="D14" s="42">
        <f>+H8</f>
        <v>3000</v>
      </c>
      <c r="E14" s="43">
        <f>+$H$8</f>
        <v>3000</v>
      </c>
      <c r="F14" s="43">
        <v>300</v>
      </c>
      <c r="G14" s="43">
        <v>300</v>
      </c>
      <c r="H14" s="43">
        <f>+$H$8</f>
        <v>3000</v>
      </c>
      <c r="I14" s="43">
        <v>300</v>
      </c>
      <c r="J14" s="43">
        <v>300</v>
      </c>
      <c r="K14" s="11"/>
      <c r="L14" s="7"/>
      <c r="N14" t="s">
        <v>175</v>
      </c>
    </row>
    <row r="15" spans="1:25" ht="19" x14ac:dyDescent="0.55000000000000004">
      <c r="A15" s="141"/>
      <c r="B15" s="20" t="s">
        <v>34</v>
      </c>
      <c r="C15" s="99"/>
      <c r="D15" s="42">
        <f>+H9</f>
        <v>3000</v>
      </c>
      <c r="E15" s="43">
        <f>+$H$9</f>
        <v>3000</v>
      </c>
      <c r="F15" s="43">
        <v>300</v>
      </c>
      <c r="G15" s="43">
        <v>300</v>
      </c>
      <c r="H15" s="43">
        <f>+$H$9</f>
        <v>3000</v>
      </c>
      <c r="I15" s="43">
        <v>300</v>
      </c>
      <c r="J15" s="43">
        <v>300</v>
      </c>
      <c r="K15" s="11"/>
      <c r="L15" s="7"/>
      <c r="N15" s="69" t="s">
        <v>156</v>
      </c>
      <c r="O15" s="17" t="s">
        <v>32</v>
      </c>
      <c r="P15" s="79">
        <v>5.0000000000000001E-3</v>
      </c>
      <c r="S15" s="29" t="s">
        <v>46</v>
      </c>
    </row>
    <row r="16" spans="1:25" ht="19" x14ac:dyDescent="0.55000000000000004">
      <c r="A16" s="142"/>
      <c r="B16" s="20" t="s">
        <v>147</v>
      </c>
      <c r="C16" s="99"/>
      <c r="D16" s="42">
        <f>+H10</f>
        <v>80</v>
      </c>
      <c r="E16" s="43">
        <f>+$H$10</f>
        <v>80</v>
      </c>
      <c r="F16" s="43">
        <v>0</v>
      </c>
      <c r="G16" s="43">
        <v>0</v>
      </c>
      <c r="H16" s="43">
        <f>+$H$10</f>
        <v>80</v>
      </c>
      <c r="I16" s="43">
        <v>0</v>
      </c>
      <c r="J16" s="43">
        <v>0</v>
      </c>
      <c r="K16" s="11"/>
      <c r="L16" s="7"/>
      <c r="N16" s="69" t="s">
        <v>155</v>
      </c>
      <c r="O16" s="17" t="s">
        <v>33</v>
      </c>
      <c r="P16" s="79">
        <v>2.5000000000000001E-3</v>
      </c>
      <c r="S16" s="5" t="s">
        <v>57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21</v>
      </c>
      <c r="L17" s="9" t="s">
        <v>21</v>
      </c>
      <c r="S17" s="5" t="s">
        <v>58</v>
      </c>
      <c r="W17" s="5" t="s">
        <v>59</v>
      </c>
      <c r="Z17" s="35" t="s">
        <v>60</v>
      </c>
    </row>
    <row r="18" spans="1:26" x14ac:dyDescent="0.55000000000000004">
      <c r="A18" s="141"/>
      <c r="B18" s="8" t="s">
        <v>176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21</v>
      </c>
      <c r="L18" s="9" t="s">
        <v>21</v>
      </c>
      <c r="N18" s="69" t="s">
        <v>154</v>
      </c>
      <c r="O18" s="22" t="s">
        <v>38</v>
      </c>
      <c r="P18" s="78">
        <v>0.65</v>
      </c>
      <c r="S18" s="5">
        <v>0</v>
      </c>
      <c r="T18" s="5" t="s">
        <v>61</v>
      </c>
      <c r="U18" s="34">
        <v>200000</v>
      </c>
      <c r="W18" s="5">
        <v>0</v>
      </c>
      <c r="X18" s="5" t="s">
        <v>61</v>
      </c>
      <c r="Y18" s="34">
        <v>600000</v>
      </c>
      <c r="Z18" s="35">
        <v>3</v>
      </c>
    </row>
    <row r="19" spans="1:26" x14ac:dyDescent="0.55000000000000004">
      <c r="A19" s="141"/>
      <c r="B19" s="8" t="s">
        <v>113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154</v>
      </c>
      <c r="O19" s="22" t="s">
        <v>39</v>
      </c>
      <c r="P19" s="78">
        <v>0.55000000000000004</v>
      </c>
      <c r="S19" s="34">
        <v>200000</v>
      </c>
      <c r="T19" s="5" t="s">
        <v>61</v>
      </c>
      <c r="U19" s="34">
        <v>15000000</v>
      </c>
      <c r="W19" s="34">
        <v>600000</v>
      </c>
      <c r="X19" s="5" t="s">
        <v>61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111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112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21</v>
      </c>
      <c r="L21" s="9" t="s">
        <v>21</v>
      </c>
      <c r="O21" s="25" t="s">
        <v>44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11</v>
      </c>
      <c r="B22" s="6" t="s">
        <v>4</v>
      </c>
      <c r="C22" s="17"/>
      <c r="D22" s="44" t="s">
        <v>20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177</v>
      </c>
      <c r="O22" s="17" t="s">
        <v>40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176</v>
      </c>
      <c r="C23" s="17"/>
      <c r="D23" s="44" t="s">
        <v>20</v>
      </c>
      <c r="E23" s="46">
        <f t="shared" ref="E23:J23" si="0">IF(E18=FALSE,0,E15*$P$18*0.125*0.125+(E14-E15)*$P$19*0.12*0.1)</f>
        <v>30.46875</v>
      </c>
      <c r="F23" s="46">
        <f t="shared" si="0"/>
        <v>3.046875</v>
      </c>
      <c r="G23" s="63">
        <f t="shared" si="0"/>
        <v>3.046875</v>
      </c>
      <c r="H23" s="63">
        <f t="shared" si="0"/>
        <v>30.46875</v>
      </c>
      <c r="I23" s="63">
        <f t="shared" si="0"/>
        <v>3.046875</v>
      </c>
      <c r="J23" s="63">
        <f t="shared" si="0"/>
        <v>3.046875</v>
      </c>
      <c r="K23" s="11"/>
      <c r="L23" s="7"/>
      <c r="N23" s="69" t="s">
        <v>178</v>
      </c>
      <c r="O23" s="17" t="s">
        <v>41</v>
      </c>
      <c r="P23" s="24">
        <v>0.1</v>
      </c>
      <c r="Q23" s="5" t="s">
        <v>117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113</v>
      </c>
      <c r="C24" s="17"/>
      <c r="D24" s="44" t="s">
        <v>20</v>
      </c>
      <c r="E24" s="46">
        <f t="shared" ref="E24:J24" si="1">IF(E19=FALSE,0,E16*0.8*0.45)</f>
        <v>28.8</v>
      </c>
      <c r="F24" s="63">
        <f t="shared" si="1"/>
        <v>0</v>
      </c>
      <c r="G24" s="63">
        <f t="shared" si="1"/>
        <v>0</v>
      </c>
      <c r="H24" s="63">
        <f t="shared" si="1"/>
        <v>28.8</v>
      </c>
      <c r="I24" s="63">
        <f t="shared" si="1"/>
        <v>0</v>
      </c>
      <c r="J24" s="63">
        <f t="shared" si="1"/>
        <v>0</v>
      </c>
      <c r="K24" s="11"/>
      <c r="L24" s="7"/>
      <c r="N24" s="69" t="s">
        <v>179</v>
      </c>
      <c r="O24" s="22" t="s">
        <v>43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67</v>
      </c>
      <c r="C25" s="17"/>
      <c r="D25" s="44" t="s">
        <v>20</v>
      </c>
      <c r="E25" s="46">
        <f>+IF(E20=FALSE,0,SUM($H$10:$H$11)*0.7*0.3)+IF($E$21=FALSE,0,$K$8*0.15*0.15)</f>
        <v>0</v>
      </c>
      <c r="F25" s="46">
        <f t="shared" ref="F25:J25" si="2">+IF(F20=FALSE,0,SUM($H$10:$H$11)*0.7*0.3)+IF($E$21=FALSE,0,$K$8*0.15*0.15)</f>
        <v>0</v>
      </c>
      <c r="G25" s="46">
        <f t="shared" si="2"/>
        <v>0</v>
      </c>
      <c r="H25" s="46">
        <f t="shared" si="2"/>
        <v>0</v>
      </c>
      <c r="I25" s="46">
        <f t="shared" si="2"/>
        <v>0</v>
      </c>
      <c r="J25" s="46">
        <f t="shared" si="2"/>
        <v>0</v>
      </c>
      <c r="K25" s="11"/>
      <c r="L25" s="7"/>
      <c r="N25" s="69" t="s">
        <v>119</v>
      </c>
      <c r="O25" s="25" t="s">
        <v>45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15</v>
      </c>
      <c r="B26" s="145"/>
      <c r="C26" s="23"/>
      <c r="D26" s="44" t="s">
        <v>20</v>
      </c>
      <c r="E26" s="46">
        <f t="shared" ref="E26:J26" si="3">+SUM(E22:E25)</f>
        <v>59.268749999999997</v>
      </c>
      <c r="F26" s="46">
        <f t="shared" si="3"/>
        <v>3.046875</v>
      </c>
      <c r="G26" s="46">
        <f t="shared" si="3"/>
        <v>3.046875</v>
      </c>
      <c r="H26" s="46">
        <f t="shared" si="3"/>
        <v>59.268749999999997</v>
      </c>
      <c r="I26" s="46">
        <f t="shared" si="3"/>
        <v>3.046875</v>
      </c>
      <c r="J26" s="46">
        <f t="shared" si="3"/>
        <v>3.046875</v>
      </c>
      <c r="K26" s="11"/>
      <c r="L26" s="7"/>
      <c r="N26" s="72" t="s">
        <v>180</v>
      </c>
      <c r="O26" s="17" t="s">
        <v>40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14</v>
      </c>
      <c r="B27" s="145"/>
      <c r="C27" s="23"/>
      <c r="D27" s="107">
        <v>0</v>
      </c>
      <c r="E27" s="47">
        <v>0.28000000000000003</v>
      </c>
      <c r="F27" s="47">
        <v>0.28999999999999998</v>
      </c>
      <c r="G27" s="47">
        <v>0.29499999999999998</v>
      </c>
      <c r="H27" s="47">
        <v>0.3</v>
      </c>
      <c r="I27" s="47">
        <v>0.30499999999999999</v>
      </c>
      <c r="J27" s="47">
        <v>0.31</v>
      </c>
      <c r="K27" s="11"/>
      <c r="L27" s="7"/>
      <c r="N27" t="s">
        <v>181</v>
      </c>
      <c r="O27" s="17" t="s">
        <v>41</v>
      </c>
      <c r="P27" s="24">
        <v>0.12</v>
      </c>
      <c r="Q27" s="5" t="s">
        <v>117</v>
      </c>
      <c r="S27" s="34"/>
      <c r="U27" s="34"/>
      <c r="W27" s="34"/>
      <c r="Y27" s="34"/>
      <c r="Z27" s="35"/>
    </row>
    <row r="28" spans="1:26" ht="19" x14ac:dyDescent="0.55000000000000004">
      <c r="A28" s="146" t="s">
        <v>12</v>
      </c>
      <c r="B28" s="147"/>
      <c r="C28" s="101"/>
      <c r="D28" s="106">
        <v>0</v>
      </c>
      <c r="E28" s="49">
        <f>+D28+E26</f>
        <v>59.268749999999997</v>
      </c>
      <c r="F28" s="49">
        <f t="shared" ref="F28:J28" si="4">+E28+F26</f>
        <v>62.315624999999997</v>
      </c>
      <c r="G28" s="49">
        <f t="shared" si="4"/>
        <v>65.362499999999997</v>
      </c>
      <c r="H28" s="49">
        <f t="shared" si="4"/>
        <v>124.63124999999999</v>
      </c>
      <c r="I28" s="49">
        <f t="shared" si="4"/>
        <v>127.67812499999999</v>
      </c>
      <c r="J28" s="49">
        <f t="shared" si="4"/>
        <v>130.72499999999999</v>
      </c>
      <c r="K28" s="12"/>
      <c r="L28" s="7"/>
      <c r="O28" s="22" t="s">
        <v>43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13</v>
      </c>
      <c r="B29" s="149"/>
      <c r="C29" s="102"/>
      <c r="D29" s="108">
        <f>+D28*(1-D27)</f>
        <v>0</v>
      </c>
      <c r="E29" s="50">
        <f>+E28*(1-E27)</f>
        <v>42.673499999999997</v>
      </c>
      <c r="F29" s="50">
        <f t="shared" ref="F29:J29" si="5">+F28*(1-F27)</f>
        <v>44.244093749999998</v>
      </c>
      <c r="G29" s="50">
        <f t="shared" si="5"/>
        <v>46.080562499999999</v>
      </c>
      <c r="H29" s="50">
        <f t="shared" si="5"/>
        <v>87.241874999999993</v>
      </c>
      <c r="I29" s="50">
        <f t="shared" si="5"/>
        <v>88.736296875000008</v>
      </c>
      <c r="J29" s="50">
        <f t="shared" si="5"/>
        <v>90.200249999999983</v>
      </c>
      <c r="K29" s="12"/>
      <c r="L29" s="7"/>
      <c r="N29" s="69" t="s">
        <v>128</v>
      </c>
      <c r="S29" s="34"/>
      <c r="U29" s="34"/>
      <c r="W29" s="34"/>
      <c r="Y29" s="34"/>
      <c r="Z29" s="35"/>
    </row>
    <row r="30" spans="1:26" ht="19" x14ac:dyDescent="0.55000000000000004">
      <c r="A30" s="135" t="s">
        <v>22</v>
      </c>
      <c r="B30" s="136"/>
      <c r="C30" s="30"/>
      <c r="D30" s="48">
        <v>0</v>
      </c>
      <c r="E30" s="45">
        <v>4</v>
      </c>
      <c r="F30" s="45">
        <v>2</v>
      </c>
      <c r="G30" s="45">
        <v>2</v>
      </c>
      <c r="H30" s="45">
        <v>4</v>
      </c>
      <c r="I30" s="45">
        <v>2</v>
      </c>
      <c r="J30" s="45">
        <v>2</v>
      </c>
      <c r="K30" s="11"/>
      <c r="L30" s="7"/>
      <c r="N30" s="69" t="s">
        <v>182</v>
      </c>
      <c r="O30" s="17" t="s">
        <v>118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23</v>
      </c>
      <c r="B31" s="145"/>
      <c r="C31" s="23"/>
      <c r="D31" s="108">
        <f>+D30*D29*0.41*0.07</f>
        <v>0</v>
      </c>
      <c r="E31" s="63">
        <f>+E29*E30*$P$24*$P$22*$P$23*$P$36</f>
        <v>15.594576528960008</v>
      </c>
      <c r="F31" s="63">
        <f>+F29*F30*$P$24*$P$22*$P$23*$P$36</f>
        <v>8.0842666518900028</v>
      </c>
      <c r="G31" s="63">
        <f>+G29*G30*$P$24*$P$22*$P$23*$P$36</f>
        <v>8.419825634220004</v>
      </c>
      <c r="H31" s="63">
        <f>+H29*H30*$P$24*$P$22*$P$23*$P$36*$Q$24</f>
        <v>25.505291972160013</v>
      </c>
      <c r="I31" s="63">
        <f>+I29*I30*$P$24*$P$22*$P$23*$P$36*$Q$24</f>
        <v>12.97109421550801</v>
      </c>
      <c r="J31" s="63">
        <f>+J29*J30*$P$24*$P$22*$P$23*$P$36*$Q$24</f>
        <v>13.185088652736006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29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183</v>
      </c>
      <c r="O32" s="17" t="s">
        <v>121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30</v>
      </c>
      <c r="B33" s="145"/>
      <c r="C33" s="23"/>
      <c r="D33" s="44">
        <v>0</v>
      </c>
      <c r="E33" s="63">
        <f t="shared" ref="E33:J33" si="6">+E26*E32*$P$26*$P$27*$P$36</f>
        <v>37.747288940625012</v>
      </c>
      <c r="F33" s="63">
        <f t="shared" si="6"/>
        <v>1.940504414062501</v>
      </c>
      <c r="G33" s="63">
        <f t="shared" si="6"/>
        <v>1.940504414062501</v>
      </c>
      <c r="H33" s="63">
        <f t="shared" si="6"/>
        <v>37.747288940625012</v>
      </c>
      <c r="I33" s="63">
        <f t="shared" si="6"/>
        <v>1.940504414062501</v>
      </c>
      <c r="J33" s="63">
        <f t="shared" si="6"/>
        <v>1.940504414062501</v>
      </c>
      <c r="K33" s="11"/>
      <c r="L33" s="7"/>
      <c r="O33" s="17" t="s">
        <v>129</v>
      </c>
      <c r="P33" s="75" t="b">
        <v>1</v>
      </c>
      <c r="Q33" s="73">
        <f t="shared" ref="Q33:Q35" si="7">+IF(P33=TRUE,1.1,0.95)</f>
        <v>1.1000000000000001</v>
      </c>
    </row>
    <row r="34" spans="1:17" ht="19" x14ac:dyDescent="0.55000000000000004">
      <c r="A34" s="148" t="s">
        <v>25</v>
      </c>
      <c r="B34" s="149"/>
      <c r="C34" s="102"/>
      <c r="D34" s="108">
        <f>+D29*D30</f>
        <v>0</v>
      </c>
      <c r="E34" s="46">
        <f>+E29*E30*$P$24+E26*E32</f>
        <v>432.89895000000001</v>
      </c>
      <c r="F34" s="46">
        <f>+F29*F30*$P$24+F26*F32</f>
        <v>86.024924999999996</v>
      </c>
      <c r="G34" s="46">
        <f>+G29*G30*$P$24+G26*G32</f>
        <v>88.963274999999996</v>
      </c>
      <c r="H34" s="46">
        <f>+H29*H30*$P$24*$Q$24+H26*H32</f>
        <v>519.68295000000001</v>
      </c>
      <c r="I34" s="46">
        <f>+I29*I30*$P$24*$Q$24+I26*I32</f>
        <v>128.81683500000003</v>
      </c>
      <c r="J34" s="46">
        <f>+J29*J30*$P$24*$Q$24+J26*J32</f>
        <v>130.69069500000001</v>
      </c>
      <c r="K34" s="11"/>
      <c r="L34" s="7"/>
      <c r="O34" s="17" t="s">
        <v>130</v>
      </c>
      <c r="P34" s="75" t="b">
        <v>1</v>
      </c>
      <c r="Q34" s="73">
        <f t="shared" si="7"/>
        <v>1.1000000000000001</v>
      </c>
    </row>
    <row r="35" spans="1:17" ht="19" x14ac:dyDescent="0.55000000000000004">
      <c r="A35" s="148" t="s">
        <v>24</v>
      </c>
      <c r="B35" s="149"/>
      <c r="C35" s="102"/>
      <c r="D35" s="109">
        <f>+D31*1.02</f>
        <v>0</v>
      </c>
      <c r="E35" s="50">
        <f>+E31+E33+1.05*(E31+E33)</f>
        <v>109.35082421264929</v>
      </c>
      <c r="F35" s="50">
        <f t="shared" ref="F35:J35" si="8">+F31+F33+1.05*(F31+F33)</f>
        <v>20.550780685202632</v>
      </c>
      <c r="G35" s="50">
        <f>+G31+G33+1.05*(G31+G33)</f>
        <v>21.238676598979133</v>
      </c>
      <c r="H35" s="50">
        <f t="shared" si="8"/>
        <v>129.66779087120929</v>
      </c>
      <c r="I35" s="50">
        <f t="shared" si="8"/>
        <v>30.568777190619549</v>
      </c>
      <c r="J35" s="50">
        <f t="shared" si="8"/>
        <v>31.00746578693694</v>
      </c>
      <c r="K35" s="11"/>
      <c r="L35" s="7"/>
      <c r="O35" s="17" t="s">
        <v>131</v>
      </c>
      <c r="P35" s="75" t="b">
        <v>1</v>
      </c>
      <c r="Q35" s="73">
        <f t="shared" si="7"/>
        <v>1.1000000000000001</v>
      </c>
    </row>
    <row r="36" spans="1:17" x14ac:dyDescent="0.55000000000000004">
      <c r="A36" s="150" t="s">
        <v>5</v>
      </c>
      <c r="B36" s="6" t="str">
        <f>+C8</f>
        <v>セミナー予約</v>
      </c>
      <c r="C36" s="6"/>
      <c r="D36" s="11">
        <v>0</v>
      </c>
      <c r="E36" s="111">
        <v>3</v>
      </c>
      <c r="F36" s="111">
        <v>0</v>
      </c>
      <c r="G36" s="111">
        <v>1</v>
      </c>
      <c r="H36" s="111">
        <v>4</v>
      </c>
      <c r="I36" s="111">
        <v>0</v>
      </c>
      <c r="J36" s="111">
        <v>1</v>
      </c>
      <c r="K36" s="115">
        <f>SUM(E36:J36)</f>
        <v>9</v>
      </c>
      <c r="L36" s="7"/>
      <c r="N36" s="69" t="s">
        <v>184</v>
      </c>
      <c r="O36" s="17" t="s">
        <v>122</v>
      </c>
      <c r="P36" s="74">
        <f>1*(Q32*Q33*Q34*Q35)</f>
        <v>1.4641000000000006</v>
      </c>
      <c r="Q36" s="73"/>
    </row>
    <row r="37" spans="1:17" x14ac:dyDescent="0.55000000000000004">
      <c r="A37" s="151"/>
      <c r="B37" s="6" t="str">
        <f>+C9</f>
        <v>サロン入会</v>
      </c>
      <c r="C37" s="6"/>
      <c r="D37" s="11">
        <v>0</v>
      </c>
      <c r="E37" s="111">
        <v>1</v>
      </c>
      <c r="F37" s="111">
        <v>1</v>
      </c>
      <c r="G37" s="111">
        <v>0</v>
      </c>
      <c r="H37" s="111">
        <v>1</v>
      </c>
      <c r="I37" s="111">
        <v>1</v>
      </c>
      <c r="J37" s="111">
        <v>0</v>
      </c>
      <c r="K37" s="115">
        <f>SUM(E37:J37)</f>
        <v>4</v>
      </c>
      <c r="L37" s="7"/>
      <c r="N37" s="69" t="inlineStr">
        <is>
          <t xml:space="preserve">サロン入会＝資料内のCVとして数える（成果報酬の対象外）</t>
        </is>
      </c>
    </row>
    <row r="38" spans="1:17" x14ac:dyDescent="0.55000000000000004">
      <c r="A38" s="150" t="s">
        <v>8</v>
      </c>
      <c r="B38" s="6" t="str">
        <f>+C10</f>
        <v>セミナー予約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2</v>
      </c>
      <c r="I38" s="111">
        <v>0</v>
      </c>
      <c r="J38" s="111">
        <v>0</v>
      </c>
      <c r="K38" s="115">
        <f>SUM(E38:J38)</f>
        <v>2</v>
      </c>
      <c r="L38" s="7"/>
      <c r="N38" s="69" t="inlineStr">
        <is>
          <t xml:space="preserve">リピート予約＝2回目以降のイベントのセミナー予約（LINEのリンク経由・過去に予約がある方）。成果単価1.2万円</t>
        </is>
      </c>
      <c r="O38" s="21" t="s">
        <v>36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116</v>
      </c>
      <c r="O39" s="21" t="s">
        <v>37</v>
      </c>
    </row>
    <row r="40" spans="1:17" x14ac:dyDescent="0.55000000000000004">
      <c r="A40" s="152" t="s">
        <v>52</v>
      </c>
      <c r="B40" s="153"/>
      <c r="C40" s="97"/>
      <c r="D40" s="11">
        <f t="shared" ref="D40:J40" si="9">+SUM(D36:D39)</f>
        <v>0</v>
      </c>
      <c r="E40" s="10">
        <f t="shared" si="9"/>
        <v>4</v>
      </c>
      <c r="F40" s="10">
        <f t="shared" si="9"/>
        <v>1</v>
      </c>
      <c r="G40" s="10">
        <f t="shared" si="9"/>
        <v>1</v>
      </c>
      <c r="H40" s="10">
        <f t="shared" si="9"/>
        <v>7</v>
      </c>
      <c r="I40" s="10">
        <f t="shared" si="9"/>
        <v>1</v>
      </c>
      <c r="J40" s="10">
        <f t="shared" si="9"/>
        <v>1</v>
      </c>
      <c r="K40" s="115">
        <f>SUM(E40:J40)</f>
        <v>15</v>
      </c>
      <c r="L40" s="7"/>
      <c r="O40" s="17"/>
    </row>
    <row r="41" spans="1:17" x14ac:dyDescent="0.55000000000000004">
      <c r="B41" s="5" t="s">
        <v>65</v>
      </c>
      <c r="D41" s="18">
        <f t="shared" ref="D41" si="10">+IFERROR(D40/D35,0)</f>
        <v>0</v>
      </c>
      <c r="E41" s="18">
        <f>+IFERROR(E40/E35,0)</f>
        <v>3.6579513952463609E-2</v>
      </c>
      <c r="F41" s="18">
        <f t="shared" ref="F41:J41" si="11">+IFERROR(F40/F35,0)</f>
        <v>4.8659951917059734E-2</v>
      </c>
      <c r="G41" s="18">
        <f t="shared" si="11"/>
        <v>4.708391294248844E-2</v>
      </c>
      <c r="H41" s="18">
        <f t="shared" si="11"/>
        <v>5.3984107795533059E-2</v>
      </c>
      <c r="I41" s="18">
        <f t="shared" si="11"/>
        <v>3.2713117497773635E-2</v>
      </c>
      <c r="J41" s="18">
        <f t="shared" si="11"/>
        <v>3.2250297617720428E-2</v>
      </c>
      <c r="N41" s="69" t="s">
        <v>115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50</v>
      </c>
      <c r="C43" s="5" t="s">
        <v>145</v>
      </c>
      <c r="D43" s="5" t="s">
        <v>146</v>
      </c>
    </row>
    <row r="44" spans="1:17" x14ac:dyDescent="0.55000000000000004">
      <c r="A44" s="144" t="s">
        <v>26</v>
      </c>
      <c r="B44" s="145"/>
      <c r="C44" s="103"/>
      <c r="D44" s="16" t="s">
        <v>21</v>
      </c>
      <c r="E44" s="31">
        <f>+E75*E76</f>
        <v>0</v>
      </c>
      <c r="F44" s="31">
        <f t="shared" ref="F44:J44" si="12">+F75*F76</f>
        <v>0</v>
      </c>
      <c r="G44" s="31">
        <f t="shared" si="12"/>
        <v>0</v>
      </c>
      <c r="H44" s="31">
        <f t="shared" si="12"/>
        <v>0</v>
      </c>
      <c r="I44" s="31">
        <f t="shared" si="12"/>
        <v>0</v>
      </c>
      <c r="J44" s="31">
        <f t="shared" si="12"/>
        <v>0</v>
      </c>
      <c r="K44" s="11"/>
      <c r="L44" s="7"/>
    </row>
    <row r="45" spans="1:17" x14ac:dyDescent="0.55000000000000004">
      <c r="A45" s="144" t="s">
        <v>127</v>
      </c>
      <c r="B45" s="145"/>
      <c r="C45" s="104">
        <f>+SUM(C65:C72)</f>
        <v>0</v>
      </c>
      <c r="D45" s="80">
        <f>+SUM(D65:D72)</f>
        <v>295000</v>
      </c>
      <c r="E45" s="27">
        <f>SUM(E65:E68)+SUM(E71:E72)</f>
      </c>
      <c r="F45" s="27">
        <f>SUM(F65:F68)+SUM(F71:F72)</f>
      </c>
      <c r="G45" s="27">
        <f>SUM(G65:G68)+SUM(G71:G72)</f>
      </c>
      <c r="H45" s="27">
        <f>SUM(H65:H68)+SUM(H71:H72)</f>
      </c>
      <c r="I45" s="27">
        <f>SUM(I65:I68)+SUM(I71:I72)</f>
      </c>
      <c r="J45" s="27">
        <f>SUM(J65:J68)+SUM(J71:J72)</f>
      </c>
      <c r="K45" s="11"/>
      <c r="L45" s="7"/>
      <c r="N45" t="inlineStr">
        <is>
          <t xml:space="preserve">成果報酬プランの月額＝ツール費＋アカウント費（65〜68・71〜72行）。69行のLINE運用コンサルの月額は成果報酬に置き換わるので入れない。初期は全部入れる</t>
        </is>
      </c>
    </row>
    <row r="46" spans="1:17" x14ac:dyDescent="0.55000000000000004">
      <c r="A46" s="144" t="s">
        <v>16</v>
      </c>
      <c r="B46" s="145"/>
      <c r="C46" s="103"/>
      <c r="D46" s="16" t="s">
        <v>21</v>
      </c>
      <c r="E46" s="28">
        <f t="shared" ref="E46:J46" si="14">IFERROR(SUM(E65:E67)/(E28-D28),"-")</f>
        <v>1012.337867763366</v>
      </c>
      <c r="F46" s="28">
        <f t="shared" si="14"/>
        <v>19692.307692307691</v>
      </c>
      <c r="G46" s="28">
        <f t="shared" si="14"/>
        <v>19692.307692307691</v>
      </c>
      <c r="H46" s="28">
        <f t="shared" si="14"/>
        <v>1012.337867763366</v>
      </c>
      <c r="I46" s="28">
        <f t="shared" si="14"/>
        <v>19692.307692307691</v>
      </c>
      <c r="J46" s="28">
        <f t="shared" si="14"/>
        <v>19692.307692307691</v>
      </c>
      <c r="K46" s="11"/>
      <c r="L46" s="7"/>
    </row>
    <row r="47" spans="1:17" x14ac:dyDescent="0.55000000000000004">
      <c r="A47" s="144" t="s">
        <v>17</v>
      </c>
      <c r="B47" s="145"/>
      <c r="C47" s="103"/>
      <c r="D47" s="16" t="s">
        <v>21</v>
      </c>
      <c r="E47" s="28">
        <f t="shared" ref="E47:I47" si="15">+E51/E35</f>
        <v>3667.0962737344767</v>
      </c>
      <c r="F47" s="28">
        <f t="shared" si="15"/>
        <v>8028.8920663148565</v>
      </c>
      <c r="G47" s="28">
        <f t="shared" si="15"/>
        <v>8333.8525908204538</v>
      </c>
      <c r="H47" s="28">
        <f t="shared" si="15"/>
        <v>3370.1507295211354</v>
      </c>
      <c r="I47" s="28">
        <f t="shared" si="15"/>
        <v>5397.6643871326496</v>
      </c>
      <c r="J47" s="28">
        <f>+J51/J35</f>
        <v>5708.3026783365149</v>
      </c>
      <c r="K47" s="11"/>
      <c r="L47" s="7"/>
    </row>
    <row r="48" spans="1:17" x14ac:dyDescent="0.55000000000000004">
      <c r="A48" s="144" t="s">
        <v>19</v>
      </c>
      <c r="B48" s="145"/>
      <c r="C48" s="103"/>
      <c r="D48" s="16" t="s">
        <v>21</v>
      </c>
      <c r="E48" s="32">
        <f t="shared" ref="E48:J48" si="16">+SUM(E36:E39)/E35</f>
        <v>3.6579513952463609E-2</v>
      </c>
      <c r="F48" s="32">
        <f t="shared" si="16"/>
        <v>4.8659951917059734E-2</v>
      </c>
      <c r="G48" s="32">
        <f t="shared" si="16"/>
        <v>4.708391294248844E-2</v>
      </c>
      <c r="H48" s="32">
        <f t="shared" si="16"/>
        <v>5.3984107795533059E-2</v>
      </c>
      <c r="I48" s="32">
        <f t="shared" si="16"/>
        <v>3.2713117497773635E-2</v>
      </c>
      <c r="J48" s="32">
        <f t="shared" si="16"/>
        <v>3.2250297617720428E-2</v>
      </c>
      <c r="K48" s="11"/>
      <c r="L48" s="7"/>
    </row>
    <row r="49" spans="1:12" x14ac:dyDescent="0.55000000000000004">
      <c r="A49" s="152" t="s">
        <v>18</v>
      </c>
      <c r="B49" s="153"/>
      <c r="C49" s="105"/>
      <c r="D49" s="16" t="s">
        <v>21</v>
      </c>
      <c r="E49" s="28">
        <f>+IFERROR(E51/SUM(E36:E39),0)</f>
        <v>100250</v>
      </c>
      <c r="F49" s="28">
        <f t="shared" ref="F49:J49" si="17">+IFERROR(F51/SUM(F36:F39),0)</f>
        <v>165000</v>
      </c>
      <c r="G49" s="28">
        <f t="shared" si="17"/>
        <v>177000</v>
      </c>
      <c r="H49" s="28">
        <f t="shared" si="17"/>
        <v>62428.571428571428</v>
      </c>
      <c r="I49" s="28">
        <f t="shared" si="17"/>
        <v>165000</v>
      </c>
      <c r="J49" s="28">
        <f t="shared" si="17"/>
        <v>177000</v>
      </c>
      <c r="K49" s="11"/>
      <c r="L49" s="7"/>
    </row>
    <row r="50" spans="1:12" x14ac:dyDescent="0.55000000000000004">
      <c r="A50" s="152" t="s">
        <v>114</v>
      </c>
      <c r="B50" s="153"/>
      <c r="C50" s="105"/>
      <c r="D50" s="64" t="s">
        <v>21</v>
      </c>
      <c r="E50" s="65">
        <f>+E36*$D$8+E38*$D$10</f>
        <v>36000</v>
      </c>
      <c r="F50" s="65">
        <f t="shared" ref="F50:J50" si="18">+F36*$D$8+F38*$D$10</f>
        <v>0</v>
      </c>
      <c r="G50" s="65">
        <f t="shared" si="18"/>
        <v>12000</v>
      </c>
      <c r="H50" s="65">
        <f t="shared" si="18"/>
        <v>72000</v>
      </c>
      <c r="I50" s="65">
        <f t="shared" si="18"/>
        <v>0</v>
      </c>
      <c r="J50" s="65">
        <f t="shared" si="18"/>
        <v>12000</v>
      </c>
      <c r="K50" s="11"/>
      <c r="L50" s="7"/>
      <c r="N50" t="inlineStr">
        <is>
          <t xml:space="preserve">成果報酬＝新規のセミナー予約（36行）＋リピート予約（38行）×1.2万円。サロン入会（37行）は入れない</t>
        </is>
      </c>
    </row>
    <row r="51" spans="1:12" x14ac:dyDescent="0.55000000000000004">
      <c r="A51" s="154" t="s">
        <v>68</v>
      </c>
      <c r="B51" s="155"/>
      <c r="C51" s="110">
        <f>+C45</f>
        <v>0</v>
      </c>
      <c r="D51" s="40">
        <f>+D45</f>
        <v>295000</v>
      </c>
      <c r="E51" s="40">
        <f>SUM(E45,E50)+E44</f>
        <v>401000</v>
      </c>
      <c r="F51" s="40">
        <f t="shared" ref="F51:I51" si="19">SUM(F45,F50)+F44</f>
        <v>165000</v>
      </c>
      <c r="G51" s="40">
        <f t="shared" si="19"/>
        <v>177000</v>
      </c>
      <c r="H51" s="40">
        <f t="shared" si="19"/>
        <v>437000</v>
      </c>
      <c r="I51" s="40">
        <f t="shared" si="19"/>
        <v>165000</v>
      </c>
      <c r="J51" s="40">
        <f>SUM(J45,J50)+J44</f>
        <v>177000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66</v>
      </c>
    </row>
    <row r="54" spans="1:12" hidden="1" x14ac:dyDescent="0.55000000000000004">
      <c r="A54" s="144" t="s">
        <v>26</v>
      </c>
      <c r="B54" s="145"/>
      <c r="C54" s="96"/>
      <c r="D54" s="28">
        <f>+D75*D76</f>
        <v>0</v>
      </c>
      <c r="E54" s="28">
        <f t="shared" ref="E54:J54" si="20">+E75*E76</f>
        <v>0</v>
      </c>
      <c r="F54" s="28">
        <f t="shared" si="20"/>
        <v>0</v>
      </c>
      <c r="G54" s="28">
        <f t="shared" si="20"/>
        <v>0</v>
      </c>
      <c r="H54" s="28">
        <f t="shared" si="20"/>
        <v>0</v>
      </c>
      <c r="I54" s="28">
        <f t="shared" si="20"/>
        <v>0</v>
      </c>
      <c r="J54" s="28">
        <f t="shared" si="20"/>
        <v>0</v>
      </c>
      <c r="K54" s="11"/>
      <c r="L54" s="7"/>
    </row>
    <row r="55" spans="1:12" hidden="1" x14ac:dyDescent="0.55000000000000004">
      <c r="A55" s="144" t="s">
        <v>127</v>
      </c>
      <c r="B55" s="145"/>
      <c r="C55" s="96"/>
      <c r="D55" s="27">
        <f>+SUM(D65:D72)</f>
        <v>295000</v>
      </c>
      <c r="E55" s="27">
        <f>SUM(E65:E72)+E54</f>
        <v>365000</v>
      </c>
      <c r="F55" s="27">
        <f t="shared" ref="F55:J55" si="21">SUM(F65:F72)+F54</f>
        <v>165000</v>
      </c>
      <c r="G55" s="27">
        <f t="shared" si="21"/>
        <v>165000</v>
      </c>
      <c r="H55" s="27">
        <f t="shared" si="21"/>
        <v>365000</v>
      </c>
      <c r="I55" s="27">
        <f t="shared" si="21"/>
        <v>165000</v>
      </c>
      <c r="J55" s="27">
        <f t="shared" si="21"/>
        <v>165000</v>
      </c>
      <c r="K55" s="11"/>
      <c r="L55" s="7"/>
    </row>
    <row r="56" spans="1:12" hidden="1" x14ac:dyDescent="0.55000000000000004">
      <c r="A56" s="144" t="s">
        <v>16</v>
      </c>
      <c r="B56" s="145"/>
      <c r="C56" s="96"/>
      <c r="D56" s="39" t="s">
        <v>21</v>
      </c>
      <c r="E56" s="28">
        <f t="shared" ref="E56:J56" si="22">IFERROR(SUM(E65:E67)/(E28-D28),"-")</f>
        <v>1012.337867763366</v>
      </c>
      <c r="F56" s="28">
        <f t="shared" si="22"/>
        <v>19692.307692307691</v>
      </c>
      <c r="G56" s="28">
        <f t="shared" si="22"/>
        <v>19692.307692307691</v>
      </c>
      <c r="H56" s="28">
        <f t="shared" si="22"/>
        <v>1012.337867763366</v>
      </c>
      <c r="I56" s="28">
        <f t="shared" si="22"/>
        <v>19692.307692307691</v>
      </c>
      <c r="J56" s="28">
        <f t="shared" si="22"/>
        <v>19692.307692307691</v>
      </c>
      <c r="K56" s="11"/>
      <c r="L56" s="7"/>
    </row>
    <row r="57" spans="1:12" hidden="1" x14ac:dyDescent="0.55000000000000004">
      <c r="A57" s="144" t="s">
        <v>17</v>
      </c>
      <c r="B57" s="145"/>
      <c r="C57" s="96"/>
      <c r="D57" s="39" t="s">
        <v>21</v>
      </c>
      <c r="E57" s="28">
        <f>+E61/E35</f>
        <v>3337.8806481623042</v>
      </c>
      <c r="F57" s="28">
        <f t="shared" ref="F57:J57" si="23">+F61/F35</f>
        <v>8028.8920663148565</v>
      </c>
      <c r="G57" s="28">
        <f t="shared" si="23"/>
        <v>7768.8456355105927</v>
      </c>
      <c r="H57" s="28">
        <f t="shared" si="23"/>
        <v>2814.885620767081</v>
      </c>
      <c r="I57" s="28">
        <f t="shared" si="23"/>
        <v>5397.6643871326496</v>
      </c>
      <c r="J57" s="28">
        <f t="shared" si="23"/>
        <v>5321.2991069238706</v>
      </c>
      <c r="K57" s="11"/>
      <c r="L57" s="7"/>
    </row>
    <row r="58" spans="1:12" hidden="1" x14ac:dyDescent="0.55000000000000004">
      <c r="A58" s="144" t="s">
        <v>19</v>
      </c>
      <c r="B58" s="145"/>
      <c r="C58" s="96"/>
      <c r="D58" s="39" t="s">
        <v>21</v>
      </c>
      <c r="E58" s="32">
        <f t="shared" ref="E58:J58" si="24">+SUM(E36:E39)/E35</f>
        <v>3.6579513952463609E-2</v>
      </c>
      <c r="F58" s="32">
        <f t="shared" si="24"/>
        <v>4.8659951917059734E-2</v>
      </c>
      <c r="G58" s="32">
        <f t="shared" si="24"/>
        <v>4.708391294248844E-2</v>
      </c>
      <c r="H58" s="32">
        <f t="shared" si="24"/>
        <v>5.3984107795533059E-2</v>
      </c>
      <c r="I58" s="32">
        <f t="shared" si="24"/>
        <v>3.2713117497773635E-2</v>
      </c>
      <c r="J58" s="32">
        <f t="shared" si="24"/>
        <v>3.2250297617720428E-2</v>
      </c>
      <c r="K58" s="11"/>
      <c r="L58" s="7"/>
    </row>
    <row r="59" spans="1:12" hidden="1" x14ac:dyDescent="0.55000000000000004">
      <c r="A59" s="152" t="s">
        <v>18</v>
      </c>
      <c r="B59" s="153"/>
      <c r="C59" s="97"/>
      <c r="D59" s="28"/>
      <c r="E59" s="28">
        <f>+IFERROR(E55/E40,0)</f>
        <v>91250</v>
      </c>
      <c r="F59" s="28">
        <f t="shared" ref="F59:J59" si="25">+IFERROR(F55/F40,0)</f>
        <v>165000</v>
      </c>
      <c r="G59" s="28">
        <f t="shared" si="25"/>
        <v>165000</v>
      </c>
      <c r="H59" s="28">
        <f t="shared" si="25"/>
        <v>52142.857142857145</v>
      </c>
      <c r="I59" s="28">
        <f t="shared" si="25"/>
        <v>165000</v>
      </c>
      <c r="J59" s="28">
        <f t="shared" si="25"/>
        <v>165000</v>
      </c>
      <c r="K59" s="11"/>
      <c r="L59" s="7"/>
    </row>
    <row r="60" spans="1:12" hidden="1" x14ac:dyDescent="0.55000000000000004">
      <c r="A60" s="152" t="s">
        <v>114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54" t="s">
        <v>68</v>
      </c>
      <c r="B61" s="155"/>
      <c r="C61" s="98"/>
      <c r="D61" s="40">
        <f>+D55</f>
        <v>295000</v>
      </c>
      <c r="E61" s="40">
        <f>+SUM(E65:E72)+E54</f>
        <v>365000</v>
      </c>
      <c r="F61" s="40">
        <f t="shared" ref="F61:J61" si="26">+SUM(F65:F72)+F54</f>
        <v>165000</v>
      </c>
      <c r="G61" s="40">
        <f t="shared" si="26"/>
        <v>165000</v>
      </c>
      <c r="H61" s="40">
        <f t="shared" si="26"/>
        <v>365000</v>
      </c>
      <c r="I61" s="40">
        <f t="shared" si="26"/>
        <v>165000</v>
      </c>
      <c r="J61" s="40">
        <f t="shared" si="26"/>
        <v>165000</v>
      </c>
      <c r="K61" s="11"/>
      <c r="L61" s="7"/>
    </row>
    <row r="62" spans="1:12" hidden="1" x14ac:dyDescent="0.55000000000000004"/>
    <row r="64" spans="1:12" x14ac:dyDescent="0.55000000000000004">
      <c r="C64" s="5" t="s">
        <v>145</v>
      </c>
      <c r="D64" s="5" t="s">
        <v>146</v>
      </c>
    </row>
    <row r="65" spans="1:16" ht="18" x14ac:dyDescent="0.55000000000000004">
      <c r="A65" s="52" t="s">
        <v>27</v>
      </c>
      <c r="B65" s="6" t="s">
        <v>26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186</v>
      </c>
    </row>
    <row r="66" spans="1:16" x14ac:dyDescent="0.55000000000000004">
      <c r="A66" s="53" t="s">
        <v>49</v>
      </c>
      <c r="B66" s="6" t="s">
        <v>176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187</v>
      </c>
    </row>
    <row r="67" spans="1:16" x14ac:dyDescent="0.55000000000000004">
      <c r="B67" s="6" t="s">
        <v>188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189</v>
      </c>
    </row>
    <row r="68" spans="1:16" x14ac:dyDescent="0.55000000000000004">
      <c r="A68" s="15"/>
      <c r="B68" s="6" t="s">
        <v>47</v>
      </c>
      <c r="C68" s="90">
        <v>0</v>
      </c>
      <c r="D68" s="51">
        <v>30000</v>
      </c>
      <c r="E68" s="28">
        <f t="shared" ref="E68:J68" si="27">IF(E34&lt;5000,5000,15000)</f>
        <v>5000</v>
      </c>
      <c r="F68" s="28">
        <f t="shared" si="27"/>
        <v>5000</v>
      </c>
      <c r="G68" s="28">
        <f t="shared" si="27"/>
        <v>5000</v>
      </c>
      <c r="H68" s="28">
        <f t="shared" si="27"/>
        <v>5000</v>
      </c>
      <c r="I68" s="28">
        <f t="shared" si="27"/>
        <v>5000</v>
      </c>
      <c r="J68" s="28">
        <f t="shared" si="27"/>
        <v>5000</v>
      </c>
      <c r="N68" s="69" t="s">
        <v>190</v>
      </c>
      <c r="O68" s="17" t="s">
        <v>126</v>
      </c>
      <c r="P68" s="75">
        <v>5000</v>
      </c>
    </row>
    <row r="69" spans="1:16" x14ac:dyDescent="0.55000000000000004">
      <c r="A69" s="15"/>
      <c r="B69" s="6" t="s">
        <v>191</v>
      </c>
      <c r="C69" s="90">
        <v>0</v>
      </c>
      <c r="D69" s="51">
        <v>100000</v>
      </c>
      <c r="E69" s="28">
        <v>300000</v>
      </c>
      <c r="F69" s="28">
        <v>100000</v>
      </c>
      <c r="G69" s="28">
        <v>100000</v>
      </c>
      <c r="H69" s="28">
        <v>300000</v>
      </c>
      <c r="I69" s="28">
        <v>100000</v>
      </c>
      <c r="J69" s="28">
        <v>100000</v>
      </c>
      <c r="N69" s="69" t="s">
        <v>192</v>
      </c>
      <c r="O69" s="5" t="s">
        <v>51</v>
      </c>
    </row>
    <row r="70" spans="1:16" x14ac:dyDescent="0.55000000000000004">
      <c r="A70" s="15"/>
      <c r="B70" s="6" t="s">
        <v>56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125</v>
      </c>
    </row>
    <row r="71" spans="1:16" x14ac:dyDescent="0.55000000000000004">
      <c r="A71" s="15"/>
      <c r="B71" s="6" t="s">
        <v>123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124</v>
      </c>
    </row>
    <row r="72" spans="1:16" x14ac:dyDescent="0.55000000000000004">
      <c r="A72" s="15"/>
      <c r="B72" s="6" t="s">
        <v>62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148</v>
      </c>
      <c r="C73" s="113">
        <v>0</v>
      </c>
      <c r="D73" s="114">
        <f>SUM(D65:D72)</f>
        <v>295000</v>
      </c>
      <c r="E73" s="114">
        <f t="shared" ref="E73:J73" si="28">SUM(E65:E72)+E54</f>
        <v>365000</v>
      </c>
      <c r="F73" s="114">
        <f t="shared" si="28"/>
        <v>165000</v>
      </c>
      <c r="G73" s="114">
        <f t="shared" si="28"/>
        <v>165000</v>
      </c>
      <c r="H73" s="114">
        <f t="shared" si="28"/>
        <v>365000</v>
      </c>
      <c r="I73" s="114">
        <f t="shared" si="28"/>
        <v>165000</v>
      </c>
      <c r="J73" s="114">
        <f t="shared" si="28"/>
        <v>165000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63</v>
      </c>
      <c r="D75" s="41">
        <f t="shared" ref="D75:J75" si="29">+IF(D34&lt;30001,0,D34-30000)</f>
        <v>0</v>
      </c>
      <c r="E75" s="41">
        <f t="shared" si="29"/>
        <v>0</v>
      </c>
      <c r="F75" s="41">
        <f t="shared" si="29"/>
        <v>0</v>
      </c>
      <c r="G75" s="41">
        <f t="shared" si="29"/>
        <v>0</v>
      </c>
      <c r="H75" s="41">
        <f t="shared" si="29"/>
        <v>0</v>
      </c>
      <c r="I75" s="41">
        <f t="shared" si="29"/>
        <v>0</v>
      </c>
      <c r="J75" s="41">
        <f t="shared" si="29"/>
        <v>0</v>
      </c>
    </row>
    <row r="76" spans="1:16" x14ac:dyDescent="0.55000000000000004">
      <c r="B76" s="5" t="s">
        <v>64</v>
      </c>
      <c r="D76" s="5">
        <f t="shared" ref="D76:J76" si="30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0"/>
        <v>3</v>
      </c>
      <c r="F76" s="5">
        <f t="shared" si="30"/>
        <v>3</v>
      </c>
      <c r="G76" s="5">
        <f t="shared" si="30"/>
        <v>3</v>
      </c>
      <c r="H76" s="5">
        <f t="shared" si="30"/>
        <v>3</v>
      </c>
      <c r="I76" s="5">
        <f t="shared" si="30"/>
        <v>3</v>
      </c>
      <c r="J76" s="5">
        <f t="shared" si="30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140</v>
      </c>
      <c r="F1" s="81">
        <v>0.6</v>
      </c>
    </row>
    <row r="3" spans="1:25" x14ac:dyDescent="0.55000000000000004">
      <c r="A3" s="82" t="s">
        <v>77</v>
      </c>
      <c r="B3" s="82"/>
      <c r="C3" s="83" t="s">
        <v>71</v>
      </c>
      <c r="D3" s="84" t="s">
        <v>72</v>
      </c>
      <c r="E3" s="84" t="s">
        <v>73</v>
      </c>
      <c r="F3" s="84"/>
    </row>
    <row r="4" spans="1:25" x14ac:dyDescent="0.55000000000000004">
      <c r="A4" s="85" t="s">
        <v>135</v>
      </c>
      <c r="B4" s="7"/>
      <c r="C4" s="86" t="str">
        <f>+'SIM_ポップアップ＋サンクスLINE'!D24</f>
        <v>--</v>
      </c>
      <c r="D4" s="28">
        <f>+'SIM_ポップアップ＋サンクスLINE'!G51</f>
        <v>177000</v>
      </c>
      <c r="E4" s="28">
        <f>+'SIM_ポップアップ＋サンクスLINE'!J51</f>
        <v>177000</v>
      </c>
      <c r="F4" s="28"/>
    </row>
    <row r="5" spans="1:25" x14ac:dyDescent="0.55000000000000004">
      <c r="A5" s="85" t="s">
        <v>136</v>
      </c>
      <c r="B5" s="7"/>
      <c r="C5" s="86" t="str">
        <f>+'SIM_ポップアップ＋サンクスLINE'!D25</f>
        <v>--</v>
      </c>
      <c r="D5" s="28">
        <f>+'SIM_ポップアップ＋サンクスLINE'!G61</f>
        <v>165000</v>
      </c>
      <c r="E5" s="28">
        <f>+'SIM_ポップアップ＋サンクスLINE'!J61</f>
        <v>165000</v>
      </c>
      <c r="F5" s="27"/>
    </row>
    <row r="6" spans="1:25" x14ac:dyDescent="0.55000000000000004">
      <c r="A6" s="85" t="s">
        <v>74</v>
      </c>
      <c r="B6" s="7"/>
      <c r="C6" s="117">
        <f>+'SIM_ポップアップ＋サンクスLINE'!D28</f>
        <v>0</v>
      </c>
      <c r="D6" s="87">
        <f>+'SIM_ポップアップ＋サンクスLINE'!G28</f>
        <v>65.362499999999997</v>
      </c>
      <c r="E6" s="87">
        <f>+'SIM_ポップアップ＋サンクスLINE'!J28</f>
        <v>130.72499999999999</v>
      </c>
      <c r="F6" s="10"/>
    </row>
    <row r="7" spans="1:25" x14ac:dyDescent="0.55000000000000004">
      <c r="A7" s="85" t="s">
        <v>75</v>
      </c>
      <c r="B7" s="7"/>
      <c r="C7" s="88">
        <f>+'SIM_ポップアップ＋サンクスLINE'!D27</f>
        <v>0</v>
      </c>
      <c r="D7" s="89">
        <f>+'SIM_ポップアップ＋サンクスLINE'!G27</f>
        <v>0.29499999999999998</v>
      </c>
      <c r="E7" s="89">
        <f>+'SIM_ポップアップ＋サンクスLINE'!J27</f>
        <v>0.31</v>
      </c>
      <c r="F7" s="89"/>
    </row>
    <row r="8" spans="1:25" x14ac:dyDescent="0.55000000000000004">
      <c r="A8" s="85" t="s">
        <v>76</v>
      </c>
      <c r="B8" s="7"/>
      <c r="C8" s="117">
        <f>+'SIM_ポップアップ＋サンクスLINE'!D29</f>
        <v>0</v>
      </c>
      <c r="D8" s="10">
        <f>+'SIM_ポップアップ＋サンクスLINE'!G29</f>
        <v>46.080562499999999</v>
      </c>
      <c r="E8" s="10">
        <f>+'SIM_ポップアップ＋サンクスLINE'!J29</f>
        <v>90.200249999999983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78</v>
      </c>
      <c r="B10" s="7"/>
      <c r="C10" s="117">
        <f>+'SIM_ポップアップ＋サンクスLINE'!D34</f>
        <v>0</v>
      </c>
      <c r="D10" s="10">
        <f>+'SIM_ポップアップ＋サンクスLINE'!G34</f>
        <v>88.963274999999996</v>
      </c>
      <c r="E10" s="10">
        <f>+'SIM_ポップアップ＋サンクスLINE'!J34</f>
        <v>130.69069500000001</v>
      </c>
      <c r="F10" s="10"/>
    </row>
    <row r="11" spans="1:25" x14ac:dyDescent="0.55000000000000004">
      <c r="A11" s="85" t="s">
        <v>79</v>
      </c>
      <c r="B11" s="7"/>
      <c r="C11" s="117">
        <f>+'SIM_ポップアップ＋サンクスLINE'!D35</f>
        <v>0</v>
      </c>
      <c r="D11" s="10">
        <f>+'SIM_ポップアップ＋サンクスLINE'!G35</f>
        <v>21.238676598979133</v>
      </c>
      <c r="E11" s="10">
        <f>+'SIM_ポップアップ＋サンクスLINE'!J35</f>
        <v>31.00746578693694</v>
      </c>
      <c r="F11" s="10"/>
    </row>
    <row r="12" spans="1:25" x14ac:dyDescent="0.55000000000000004">
      <c r="A12" s="85" t="s">
        <v>142</v>
      </c>
      <c r="B12" s="7"/>
      <c r="C12" s="28">
        <f>+IFERROR(C5/C11,0)</f>
        <v>0</v>
      </c>
      <c r="D12" s="28">
        <f>+D4/D11</f>
        <v>8333.8525908204538</v>
      </c>
      <c r="E12" s="28">
        <f t="shared" ref="E12" si="0">+E4/E11</f>
        <v>5708.3026783365149</v>
      </c>
      <c r="F12" s="28"/>
    </row>
    <row r="13" spans="1:25" x14ac:dyDescent="0.55000000000000004">
      <c r="A13" s="85" t="s">
        <v>143</v>
      </c>
      <c r="B13" s="7"/>
      <c r="C13" s="28">
        <f>+IFERROR(C6/C12,0)</f>
        <v>0</v>
      </c>
      <c r="D13" s="28">
        <f>+D5/D11</f>
        <v>7768.8456355105927</v>
      </c>
      <c r="E13" s="28">
        <f t="shared" ref="E13" si="1">+E5/E11</f>
        <v>5321.2991069238706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46</v>
      </c>
    </row>
    <row r="15" spans="1:25" x14ac:dyDescent="0.55000000000000004">
      <c r="A15" s="85" t="s">
        <v>193</v>
      </c>
      <c r="B15" s="7"/>
      <c r="C15" s="87">
        <f>+'SIM_ポップアップ＋サンクスLINE'!$H$10</f>
        <v>80</v>
      </c>
      <c r="D15" s="87">
        <f>+'SIM_ポップアップ＋サンクスLINE'!$H$10</f>
        <v>80</v>
      </c>
      <c r="E15" s="87">
        <f>+'SIM_ポップアップ＋サンクスLINE'!$H$10</f>
        <v>80</v>
      </c>
      <c r="F15" s="87"/>
      <c r="R15" s="5" t="s">
        <v>57</v>
      </c>
    </row>
    <row r="16" spans="1:25" x14ac:dyDescent="0.55000000000000004">
      <c r="A16" s="85" t="s">
        <v>194</v>
      </c>
      <c r="B16" s="7"/>
      <c r="C16" s="87">
        <f>SUM(C17:C20)</f>
        <v>0</v>
      </c>
      <c r="D16" s="87">
        <f>SUM(D17:D20)</f>
        <v>1</v>
      </c>
      <c r="E16" s="87">
        <f>SUM(E17:E20)</f>
        <v>1</v>
      </c>
      <c r="F16" s="87"/>
      <c r="R16" s="5" t="s">
        <v>58</v>
      </c>
      <c r="V16" s="5" t="s">
        <v>59</v>
      </c>
      <c r="Y16" s="35" t="s">
        <v>60</v>
      </c>
    </row>
    <row r="17" spans="1:25" x14ac:dyDescent="0.55000000000000004">
      <c r="A17" s="85" t="s">
        <v>195</v>
      </c>
      <c r="B17" s="7"/>
      <c r="C17" s="87">
        <f>+'SIM_ポップアップ＋サンクスLINE'!D36</f>
        <v>0</v>
      </c>
      <c r="D17" s="87">
        <f>+'SIM_ポップアップ＋サンクスLINE'!G36</f>
        <v>1</v>
      </c>
      <c r="E17" s="87">
        <f>+'SIM_ポップアップ＋サンクスLINE'!J36</f>
        <v>1</v>
      </c>
      <c r="F17" s="10"/>
      <c r="R17" s="5">
        <v>0</v>
      </c>
      <c r="S17" s="5" t="s">
        <v>61</v>
      </c>
      <c r="T17" s="34">
        <v>200000</v>
      </c>
      <c r="V17" s="5">
        <v>0</v>
      </c>
      <c r="W17" s="5" t="s">
        <v>61</v>
      </c>
      <c r="X17" s="34">
        <v>600000</v>
      </c>
      <c r="Y17" s="35">
        <v>3</v>
      </c>
    </row>
    <row r="18" spans="1:25" x14ac:dyDescent="0.55000000000000004">
      <c r="A18" s="85" t="s">
        <v>196</v>
      </c>
      <c r="B18" s="7"/>
      <c r="C18" s="87">
        <f>+'SIM_ポップアップ＋サンクスLINE'!D37</f>
        <v>0</v>
      </c>
      <c r="D18" s="87">
        <f>+'SIM_ポップアップ＋サンクスLINE'!G37</f>
        <v>0</v>
      </c>
      <c r="E18" s="87">
        <f>+'SIM_ポップアップ＋サンクスLINE'!J37</f>
        <v>0</v>
      </c>
      <c r="F18" s="10"/>
      <c r="R18" s="34">
        <v>200000</v>
      </c>
      <c r="S18" s="5" t="s">
        <v>61</v>
      </c>
      <c r="T18" s="34">
        <v>15000000</v>
      </c>
      <c r="V18" s="34">
        <v>600000</v>
      </c>
      <c r="W18" s="5" t="s">
        <v>61</v>
      </c>
      <c r="X18" s="34">
        <f>+T18*2.5</f>
        <v>37500000</v>
      </c>
      <c r="Y18" s="35">
        <v>2.5</v>
      </c>
    </row>
    <row r="19" spans="1:25" x14ac:dyDescent="0.55000000000000004">
      <c r="A19" s="85" t="inlineStr">
        <is>
          <t xml:space="preserve">CV③_セミナー予約（リピート）</t>
        </is>
      </c>
      <c r="B19" s="7"/>
      <c r="C19" s="87">
        <f>+'SIM_ポップアップ＋サンクスLINE'!D38</f>
        <v>0</v>
      </c>
      <c r="D19" s="87">
        <f>+'SIM_ポップアップ＋サンクスLINE'!G38</f>
        <v>0</v>
      </c>
      <c r="E19" s="87">
        <f>+'SIM_ポップアップ＋サンクスLINE'!J38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61</v>
      </c>
      <c r="B20" s="7"/>
      <c r="C20" s="87">
        <f>+'SIM_ポップアップ＋サンクスLINE'!D39</f>
        <v>0</v>
      </c>
      <c r="D20" s="87">
        <f>+'SIM_ポップアップ＋サンクスLINE'!G39</f>
        <v>0</v>
      </c>
      <c r="E20" s="87">
        <f>+'SIM_ポップアップ＋サンクスLINE'!J39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137</v>
      </c>
      <c r="B22" s="7"/>
      <c r="C22" s="90" t="str">
        <f>+IFERROR(C4/C16,"--")</f>
        <v>--</v>
      </c>
      <c r="D22" s="90">
        <f t="shared" ref="D22:E22" si="2">+IFERROR(D4/D16,"--")</f>
        <v>177000</v>
      </c>
      <c r="E22" s="90">
        <f t="shared" si="2"/>
        <v>177000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138</v>
      </c>
      <c r="B23" s="7"/>
      <c r="C23" s="90" t="str">
        <f>+IFERROR(C5/C16,"--")</f>
        <v>--</v>
      </c>
      <c r="D23" s="90">
        <f t="shared" ref="D23" si="3">+IFERROR(D5/D16,"--")</f>
        <v>165000</v>
      </c>
      <c r="E23" s="90">
        <f t="shared" ref="E23" si="4">+IFERROR(E5/E16,"--")</f>
        <v>165000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144</v>
      </c>
      <c r="B25" s="7"/>
      <c r="C25" s="10">
        <f>+'SIM_ポップアップ＋サンクスLINE'!E68+C29*C30</f>
        <v>5000</v>
      </c>
      <c r="D25" s="10">
        <f>+'SIM_ポップアップ＋サンクスLINE'!G68+D29*D30</f>
        <v>5000</v>
      </c>
      <c r="E25" s="10">
        <f>+'SIM_ポップアップ＋サンクスLINE'!J68+E29*E30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141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139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110</v>
      </c>
      <c r="B35" s="92"/>
      <c r="C35" s="93" t="s">
        <v>132</v>
      </c>
      <c r="D35" s="94" t="s">
        <v>133</v>
      </c>
      <c r="E35" s="94" t="s">
        <v>134</v>
      </c>
      <c r="F35" s="94" t="s">
        <v>134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80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87</v>
      </c>
    </row>
    <row r="4" spans="1:7" x14ac:dyDescent="0.55000000000000004">
      <c r="A4" t="s">
        <v>85</v>
      </c>
      <c r="B4" t="s">
        <v>86</v>
      </c>
      <c r="E4">
        <v>1000</v>
      </c>
    </row>
    <row r="5" spans="1:7" x14ac:dyDescent="0.55000000000000004">
      <c r="A5" t="s">
        <v>41</v>
      </c>
      <c r="B5" s="60">
        <v>8.5000000000000006E-2</v>
      </c>
    </row>
    <row r="6" spans="1:7" x14ac:dyDescent="0.55000000000000004">
      <c r="A6" t="s">
        <v>89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88</v>
      </c>
    </row>
    <row r="9" spans="1:7" x14ac:dyDescent="0.55000000000000004">
      <c r="A9" t="s">
        <v>85</v>
      </c>
      <c r="B9" t="s">
        <v>86</v>
      </c>
      <c r="E9">
        <v>1000</v>
      </c>
    </row>
    <row r="10" spans="1:7" x14ac:dyDescent="0.55000000000000004">
      <c r="A10" t="s">
        <v>41</v>
      </c>
      <c r="B10" s="60">
        <v>5.0000000000000001E-3</v>
      </c>
    </row>
    <row r="11" spans="1:7" x14ac:dyDescent="0.55000000000000004">
      <c r="A11" t="s">
        <v>89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90</v>
      </c>
      <c r="D13" t="s">
        <v>93</v>
      </c>
    </row>
    <row r="14" spans="1:7" x14ac:dyDescent="0.55000000000000004">
      <c r="A14" t="s">
        <v>91</v>
      </c>
      <c r="B14" t="s">
        <v>86</v>
      </c>
      <c r="E14">
        <v>1000</v>
      </c>
    </row>
    <row r="15" spans="1:7" x14ac:dyDescent="0.55000000000000004">
      <c r="A15" t="s">
        <v>41</v>
      </c>
      <c r="B15" s="60">
        <v>0.9</v>
      </c>
      <c r="C15" t="s">
        <v>92</v>
      </c>
    </row>
    <row r="16" spans="1:7" x14ac:dyDescent="0.55000000000000004">
      <c r="A16" t="s">
        <v>89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94</v>
      </c>
      <c r="D18" t="s">
        <v>93</v>
      </c>
    </row>
    <row r="19" spans="1:10" x14ac:dyDescent="0.55000000000000004">
      <c r="A19" t="s">
        <v>85</v>
      </c>
      <c r="B19" s="60">
        <v>0.7</v>
      </c>
      <c r="C19" t="s">
        <v>86</v>
      </c>
      <c r="E19">
        <v>1000</v>
      </c>
    </row>
    <row r="20" spans="1:10" x14ac:dyDescent="0.55000000000000004">
      <c r="A20" t="s">
        <v>41</v>
      </c>
      <c r="B20" s="60">
        <v>1</v>
      </c>
    </row>
    <row r="21" spans="1:10" x14ac:dyDescent="0.55000000000000004">
      <c r="A21" t="s">
        <v>89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81</v>
      </c>
      <c r="B23" s="59"/>
      <c r="C23" s="59" t="s">
        <v>84</v>
      </c>
      <c r="D23" s="59"/>
      <c r="E23" s="59"/>
      <c r="F23" s="59"/>
      <c r="G23" s="59"/>
      <c r="I23" s="67" t="s">
        <v>100</v>
      </c>
      <c r="J23" s="68"/>
    </row>
    <row r="24" spans="1:10" x14ac:dyDescent="0.55000000000000004">
      <c r="A24" s="54" t="s">
        <v>82</v>
      </c>
      <c r="I24" s="66">
        <v>1</v>
      </c>
      <c r="J24" t="s">
        <v>101</v>
      </c>
    </row>
    <row r="25" spans="1:10" x14ac:dyDescent="0.55000000000000004">
      <c r="A25" t="s">
        <v>40</v>
      </c>
      <c r="B25" s="61">
        <v>0.8</v>
      </c>
      <c r="I25" s="66">
        <v>2</v>
      </c>
      <c r="J25" t="s">
        <v>102</v>
      </c>
    </row>
    <row r="26" spans="1:10" x14ac:dyDescent="0.55000000000000004">
      <c r="A26" t="s">
        <v>41</v>
      </c>
      <c r="B26" s="61">
        <v>0.06</v>
      </c>
      <c r="I26" s="66">
        <v>3</v>
      </c>
      <c r="J26" t="s">
        <v>103</v>
      </c>
    </row>
    <row r="27" spans="1:10" x14ac:dyDescent="0.55000000000000004">
      <c r="A27" t="s">
        <v>83</v>
      </c>
      <c r="B27" s="61">
        <v>3.0000000000000001E-3</v>
      </c>
      <c r="I27" s="66">
        <v>4</v>
      </c>
      <c r="J27" t="s">
        <v>104</v>
      </c>
    </row>
    <row r="29" spans="1:10" x14ac:dyDescent="0.55000000000000004">
      <c r="A29" s="54" t="s">
        <v>99</v>
      </c>
      <c r="I29" s="67" t="s">
        <v>105</v>
      </c>
      <c r="J29" s="68"/>
    </row>
    <row r="30" spans="1:10" x14ac:dyDescent="0.55000000000000004">
      <c r="A30" t="s">
        <v>40</v>
      </c>
      <c r="B30" s="61">
        <v>0.75</v>
      </c>
      <c r="I30" s="66">
        <v>1</v>
      </c>
      <c r="J30" t="s">
        <v>106</v>
      </c>
    </row>
    <row r="31" spans="1:10" x14ac:dyDescent="0.55000000000000004">
      <c r="A31" t="s">
        <v>41</v>
      </c>
      <c r="B31" s="61">
        <v>0.08</v>
      </c>
      <c r="I31" s="66">
        <v>2</v>
      </c>
      <c r="J31" t="s">
        <v>107</v>
      </c>
    </row>
    <row r="32" spans="1:10" x14ac:dyDescent="0.55000000000000004">
      <c r="A32" t="s">
        <v>83</v>
      </c>
      <c r="B32" s="61">
        <v>6.0000000000000001E-3</v>
      </c>
      <c r="I32" s="66">
        <v>3</v>
      </c>
      <c r="J32" t="s">
        <v>108</v>
      </c>
    </row>
    <row r="33" spans="1:10" x14ac:dyDescent="0.55000000000000004">
      <c r="I33" s="66">
        <v>4</v>
      </c>
      <c r="J33" t="s">
        <v>109</v>
      </c>
    </row>
    <row r="34" spans="1:10" x14ac:dyDescent="0.55000000000000004">
      <c r="A34" s="54" t="s">
        <v>95</v>
      </c>
    </row>
    <row r="35" spans="1:10" x14ac:dyDescent="0.55000000000000004">
      <c r="A35" t="s">
        <v>40</v>
      </c>
      <c r="B35" s="62" t="s">
        <v>21</v>
      </c>
    </row>
    <row r="36" spans="1:10" x14ac:dyDescent="0.55000000000000004">
      <c r="A36" t="s">
        <v>41</v>
      </c>
      <c r="B36" s="61">
        <v>0.02</v>
      </c>
    </row>
    <row r="37" spans="1:10" x14ac:dyDescent="0.55000000000000004">
      <c r="A37" t="s">
        <v>83</v>
      </c>
      <c r="B37" s="61">
        <v>4.0000000000000001E-3</v>
      </c>
    </row>
    <row r="39" spans="1:10" x14ac:dyDescent="0.55000000000000004">
      <c r="A39" s="54" t="s">
        <v>96</v>
      </c>
      <c r="E39" s="54" t="s">
        <v>97</v>
      </c>
    </row>
    <row r="40" spans="1:10" x14ac:dyDescent="0.55000000000000004">
      <c r="A40" t="s">
        <v>40</v>
      </c>
      <c r="B40" s="62">
        <v>1</v>
      </c>
      <c r="E40" t="s">
        <v>40</v>
      </c>
      <c r="F40" s="62" t="s">
        <v>21</v>
      </c>
    </row>
    <row r="41" spans="1:10" x14ac:dyDescent="0.55000000000000004">
      <c r="A41" t="s">
        <v>41</v>
      </c>
      <c r="B41" s="61">
        <v>3.5000000000000003E-2</v>
      </c>
      <c r="E41" t="s">
        <v>98</v>
      </c>
      <c r="F41" s="61">
        <v>0.25</v>
      </c>
    </row>
    <row r="42" spans="1:10" x14ac:dyDescent="0.55000000000000004">
      <c r="A42" t="s">
        <v>83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SIM_ポップアップ＋サンクスLINE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2026-10-20T05:46:57Z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
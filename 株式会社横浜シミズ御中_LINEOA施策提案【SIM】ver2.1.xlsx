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72ED57BE-AF90-4E88-B733-C7F944D72E28}" xr6:coauthVersionLast="47" xr6:coauthVersionMax="47" xr10:uidLastSave="{00000000-0000-0000-0000-000000000000}"/>
  <bookViews>
    <workbookView xWindow="-13380" yWindow="-16320" windowWidth="29040" windowHeight="15720" xr2:uid="{02433765-3560-48F5-BC99-B30FC64129A4}"/>
  </bookViews>
  <sheets>
    <sheet name="SIM①_コンサル" sheetId="1" r:id="rId1"/>
    <sheet name="SIM①_比較" sheetId="2" r:id="rId2"/>
    <sheet name="SIM②_成果報酬" sheetId="3" r:id="rId100"/>
    <sheet name="SIM②_比較" sheetId="4" r:id="rId101"/>
    <sheet name="SIM考え方" sheetId="5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<sst xmlns="http://schemas.openxmlformats.org/spreadsheetml/2006/main" count="280" uniqueCount="195">
  <si>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</si>
  <si>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</si>
  <si>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</si>
  <si>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</si>
  <si>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</si>
  <si>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</si>
  <si>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</si>
  <si>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</si>
  <si>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</si>
  <si>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</si>
  <si>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</si>
  <si>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</si>
  <si>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</si>
  <si>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</si>
  <si>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</si>
  <si>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</si>
  <si>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</si>
  <si>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</si>
  <si>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</si>
  <si>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</si>
  <si>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</si>
  <si>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</si>
  <si>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</si>
  <si>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</si>
  <si>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</si>
  <si>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</si>
  <si>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</si>
  <si>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</si>
  <si>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</si>
  <si>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</si>
  <si>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</si>
  <si>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</si>
  <si>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</si>
  <si>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</si>
  <si>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</si>
  <si>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</si>
  <si>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</si>
  <si>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</si>
  <si>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</si>
  <si>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</si>
  <si>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</si>
  <si>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</si>
  <si>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</si>
  <si>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</si>
  <si>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</si>
  <si>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</si>
  <si>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</si>
  <si>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</si>
  <si>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</si>
  <si>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</si>
  <si>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</si>
  <si>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</si>
  <si>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</si>
  <si>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</si>
  <si>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</si>
  <si>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</si>
  <si>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</si>
  <si>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</si>
  <si>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</si>
  <si>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</si>
  <si>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</si>
  <si>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</si>
  <si>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</si>
  <si>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</si>
  <si>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</si>
  <si>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</si>
  <si>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</si>
  <si>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</si>
  <si>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</si>
  <si>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</si>
  <si>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</si>
  <si>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</si>
  <si>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</si>
  <si>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</si>
  <si>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</si>
  <si>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</si>
  <si>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</si>
  <si>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</si>
  <si>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</si>
  <si>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</si>
  <si>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</si>
  <si>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</si>
  <si>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</si>
  <si>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</si>
  <si>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</si>
  <si>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</si>
  <si>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</si>
  <si>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</si>
  <si>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</si>
  <si>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</si>
  <si>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</si>
  <si>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</si>
  <si>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</si>
  <si>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</si>
  <si>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</si>
  <si>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</si>
  <si>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</si>
  <si>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</si>
  <si>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</si>
  <si>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</si>
  <si>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</si>
  <si>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</si>
  <si>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</si>
  <si>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</si>
  <si>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</si>
  <si>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</si>
  <si>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</si>
  <si>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</si>
  <si>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</si>
  <si>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</si>
  <si>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</si>
  <si>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</si>
  <si>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</si>
  <si>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</si>
  <si>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</si>
  <si>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</si>
  <si>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</si>
  <si>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</si>
  <si>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</si>
  <si>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</si>
  <si>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</si>
  <si>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</si>
  <si>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</si>
  <si>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</si>
  <si>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</si>
  <si>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</si>
  <si>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</si>
  <si>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</si>
  <si>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</si>
  <si>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</si>
  <si>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</si>
  <si>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</si>
  <si>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</si>
  <si>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</si>
  <si>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</si>
  <si>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</si>
  <si>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</si>
  <si>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</si>
  <si>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</si>
  <si>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</si>
  <si>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</si>
  <si>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</si>
  <si>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</si>
  <si>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</si>
  <si>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</si>
  <si>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</si>
  <si>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</si>
  <si>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</si>
  <si>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</si>
  <si>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</si>
  <si>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</si>
  <si>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</si>
  <si>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</si>
  <si>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</si>
  <si>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</si>
  <si>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</si>
  <si>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</si>
  <si>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</si>
  <si>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</si>
  <si>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</si>
  <si>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</si>
  <si>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</si>
  <si>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サイトUU</t>
  </si>
  <si>
    <t>うち広告</t>
  </si>
  <si>
    <t>応募（サイト・仮に）</t>
  </si>
  <si>
    <t>1か月目</t>
  </si>
  <si>
    <t>2か月目</t>
  </si>
  <si>
    <t>3か月目</t>
  </si>
  <si>
    <t>4か月目</t>
  </si>
  <si>
    <t>5か月目</t>
  </si>
  <si>
    <t>6か月目</t>
  </si>
  <si>
    <t>求人サイトの月間UU 8,947（与件）。6か月同じ</t>
  </si>
  <si>
    <t>離脱防止ポップアップ</t>
  </si>
  <si>
    <t>離脱防止ポップアップ＝UU×表示65%×クリック12.5%×追加12.5%（定義テキストの係数）</t>
  </si>
  <si>
    <t>サンクスLINE誘導</t>
  </si>
  <si>
    <t>サンクスLINE誘導：初期15万円・月3万円〜</t>
  </si>
  <si>
    <t>アカウント費：FMTの式（開設3万円）</t>
  </si>
  <si>
    <t>CV数（+LINEOA施策）</t>
  </si>
  <si>
    <t>新規応募</t>
  </si>
  <si>
    <t>再応募</t>
  </si>
  <si>
    <t>サイトからの応募は与件に無いので、仮にUUの1.0%（月89件・資料と同じ）</t>
  </si>
  <si>
    <t>サンクスLINE誘導＝応募×遷移80%×追加40%（資料と同じ・定義テキストの係数）</t>
  </si>
  <si>
    <t>ブロック率：1か月目（E27）から、2か月目以降は前の月×1.025（式）</t>
  </si>
  <si>
    <t>企画配信 月4回（週1回。次回イベントの募集・会場の案内）</t>
  </si>
  <si>
    <t>LINE運用（運用代行・効率改善）</t>
  </si>
  <si>
    <t>LINE運用：資料の金額（初期構築10万円・月10万円）</t>
  </si>
  <si>
    <t>CV①_新規応募</t>
  </si>
  <si>
    <t>CV③_再応募</t>
  </si>
  <si>
    <t>株式会社横浜シミズ御中_LINEOA施策提案【SIM】（サイトのLINEボタン＋離脱防止＋サンクスLINE誘導）</t>
  </si>
  <si>
    <t>CV①新規応募：サイトのLINEボタン・離脱防止で友だちになった方（応募前）が、配信から応募した数。サンクスLINE誘導で友だちになった方は応募済みなので、新規応募には数えない</t>
  </si>
  <si>
    <t>サイトのLINEボタン（UUの0.5%・FMTの係数）＋離脱防止ポップアップ＋サンクスLINE誘導</t>
  </si>
  <si>
    <t>ステップ配信 4通（あいさつメッセージの後、友だち追加から14日以内）</t>
  </si>
  <si>
    <t>新規応募：サイトのLINEボタン・離脱防止で友だちになった方が、企画配信・ステップ配信から応募した数</t>
  </si>
  <si>
    <t>再応募：一度勤務した方が、次回イベントの募集から勤務希望を出した数（応募→勤務を経てからなので3か月目から）</t>
  </si>
  <si>
    <t>離脱防止ポップアップ：初期1.5万円・月3万円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</si>
</sst>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00" Type="http://schemas.openxmlformats.org/officeDocument/2006/relationships/worksheet" Target="worksheets/sheet4.xml"/><Relationship Id="rId101" Type="http://schemas.openxmlformats.org/officeDocument/2006/relationships/worksheet" Target="worksheets/sheet5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16" zoomScale="70" zoomScaleNormal="55" workbookViewId="0">
      <selection activeCell="D14" sqref="D14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inlineStr">
        <is>
          <t xml:space="preserve">株式会社横浜シミズ御中_LINEOA施策提案【SIM】コンサル（サイトのLINEボタン＋離脱防止＋サンクスLINE誘導）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47" t="s">
        <v>5</v>
      </c>
      <c r="B8" s="19" t="s">
        <v>6</v>
      </c>
      <c r="C8" s="19" t="s">
        <v>178</v>
      </c>
      <c r="D8" s="33">
        <v>0</v>
      </c>
      <c r="G8" s="121" t="s">
        <v>162</v>
      </c>
      <c r="H8" s="122">
        <v>8947</v>
      </c>
      <c r="I8" s="123"/>
      <c r="J8" s="123" t="s">
        <v>69</v>
      </c>
      <c r="K8" s="129">
        <v>0</v>
      </c>
      <c r="N8" s="69" t="s">
        <v>189</v>
      </c>
      <c r="O8" s="35" t="s">
        <v>156</v>
      </c>
    </row>
    <row r="9" spans="1:25" ht="18" thickBot="1" x14ac:dyDescent="0.6">
      <c r="A9" s="148"/>
      <c r="B9" s="19" t="s">
        <v>7</v>
      </c>
      <c r="C9" s="38" t="s">
        <v>61</v>
      </c>
      <c r="D9" s="33">
        <v>0</v>
      </c>
      <c r="G9" s="124" t="s">
        <v>163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47" t="s">
        <v>8</v>
      </c>
      <c r="B10" s="19" t="s">
        <v>9</v>
      </c>
      <c r="C10" s="19" t="s">
        <v>179</v>
      </c>
      <c r="D10" s="33">
        <v>0</v>
      </c>
      <c r="G10" s="124" t="s">
        <v>164</v>
      </c>
      <c r="H10" s="125">
        <v>89</v>
      </c>
      <c r="I10" s="22" t="s">
        <v>154</v>
      </c>
      <c r="J10" s="29"/>
      <c r="K10" s="118"/>
      <c r="N10" s="132" t="s">
        <v>180</v>
      </c>
    </row>
    <row r="11" spans="1:25" ht="18" thickBot="1" x14ac:dyDescent="0.6">
      <c r="A11" s="14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49" t="s">
        <v>0</v>
      </c>
      <c r="B13" s="149"/>
      <c r="C13" s="95"/>
      <c r="D13" s="13" t="s">
        <v>28</v>
      </c>
      <c r="E13" s="36" t="s">
        <v>165</v>
      </c>
      <c r="F13" s="36" t="s">
        <v>166</v>
      </c>
      <c r="G13" s="36" t="s">
        <v>167</v>
      </c>
      <c r="H13" s="36" t="s">
        <v>168</v>
      </c>
      <c r="I13" s="36" t="s">
        <v>169</v>
      </c>
      <c r="J13" s="36" t="s">
        <v>170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50" t="s">
        <v>31</v>
      </c>
      <c r="B14" s="20" t="s">
        <v>35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  <c r="N14" t="s">
        <v>171</v>
      </c>
    </row>
    <row r="15" spans="1:25" ht="19" x14ac:dyDescent="0.55000000000000004">
      <c r="A15" s="151"/>
      <c r="B15" s="20" t="s">
        <v>34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52"/>
      <c r="B16" s="20" t="s">
        <v>151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5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51"/>
      <c r="B18" s="8" t="s">
        <v>172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5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</c>
      <c r="Z19" s="35">
        <v>2.5</v>
      </c>
    </row>
    <row r="20" spans="1:26" x14ac:dyDescent="0.55000000000000004">
      <c r="A20" s="15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52"/>
      <c r="B21" s="8" t="s">
        <v>113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21</v>
      </c>
      <c r="L21" s="9" t="s">
        <v>21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5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51"/>
      <c r="B23" s="6" t="s">
        <v>172</v>
      </c>
      <c r="C23" s="17"/>
      <c r="D23" s="44" t="s">
        <v>20</v>
      </c>
      <c r="E23" s="46">
        <f t="shared" ref="E23:J23" si="3">IF(E18=FALSE,0,E14*$P$18*0.125*0.125)</f>
      </c>
      <c r="F23" s="46">
        <f t="shared" si="3"/>
      </c>
      <c r="G23" s="63">
        <f t="shared" si="3"/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173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51"/>
      <c r="B24" s="6" t="s">
        <v>114</v>
      </c>
      <c r="C24" s="17"/>
      <c r="D24" s="44" t="s">
        <v>20</v>
      </c>
      <c r="E24" s="46">
        <f t="shared" ref="E24:J24" si="4">IF(E19=FALSE,0,E16*0.8*0.4)</f>
      </c>
      <c r="F24" s="63">
        <f t="shared" si="4"/>
      </c>
      <c r="G24" s="63">
        <f t="shared" si="4"/>
      </c>
      <c r="H24" s="63">
        <f t="shared" si="4"/>
      </c>
      <c r="I24" s="63">
        <f t="shared" si="4"/>
      </c>
      <c r="J24" s="63">
        <f t="shared" si="4"/>
      </c>
      <c r="K24" s="11"/>
      <c r="L24" s="7"/>
      <c r="N24" s="69" t="s">
        <v>181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52"/>
      <c r="B25" s="6" t="s">
        <v>67</v>
      </c>
      <c r="C25" s="17"/>
      <c r="D25" s="44" t="s">
        <v>20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37" t="s">
        <v>15</v>
      </c>
      <c r="B26" s="138"/>
      <c r="C26" s="23"/>
      <c r="D26" s="44" t="s">
        <v>20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s">
        <v>190</v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37" t="s">
        <v>14</v>
      </c>
      <c r="B27" s="138"/>
      <c r="C27" s="23"/>
      <c r="D27" s="107">
        <v>0</v>
      </c>
      <c r="E27" s="47">
        <v>0.32</v>
      </c>
      <c r="F27" s="47">
        <f>+E$27*1.025</f>
      </c>
      <c r="G27" s="47">
        <f>+F$27*1.025</f>
      </c>
      <c r="H27" s="47">
        <f>+G$27*1.025</f>
      </c>
      <c r="I27" s="47">
        <f>+H$27*1.025</f>
      </c>
      <c r="J27" s="47">
        <f>+I$27*1.025</f>
      </c>
      <c r="K27" s="11"/>
      <c r="L27" s="7"/>
      <c r="N27" t="s">
        <v>182</v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54" t="s">
        <v>12</v>
      </c>
      <c r="B28" s="155"/>
      <c r="C28" s="101"/>
      <c r="D28" s="106">
        <v>0</v>
      </c>
      <c r="E28" s="49">
        <f>+D28+E26</f>
      </c>
      <c r="F28" s="49">
        <f t="shared" ref="F28:J28" si="7">+E28+F26</f>
      </c>
      <c r="G28" s="49">
        <f t="shared" si="7"/>
      </c>
      <c r="H28" s="49">
        <f t="shared" si="7"/>
      </c>
      <c r="I28" s="49">
        <f t="shared" si="7"/>
      </c>
      <c r="J28" s="49">
        <f t="shared" si="7"/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3" t="s">
        <v>13</v>
      </c>
      <c r="B29" s="144"/>
      <c r="C29" s="102"/>
      <c r="D29" s="108">
        <f>+D28*(1-D27)</f>
      </c>
      <c r="E29" s="50">
        <f>+E28*(1-E27)</f>
      </c>
      <c r="F29" s="50">
        <f t="shared" ref="F29:J29" si="8">+F28*(1-F27)</f>
      </c>
      <c r="G29" s="50">
        <f t="shared" si="8"/>
      </c>
      <c r="H29" s="50">
        <f t="shared" si="8"/>
      </c>
      <c r="I29" s="50">
        <f t="shared" si="8"/>
      </c>
      <c r="J29" s="50">
        <f t="shared" si="8"/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41" t="s">
        <v>22</v>
      </c>
      <c r="B30" s="142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183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37" t="s">
        <v>23</v>
      </c>
      <c r="B31" s="138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41" t="s">
        <v>29</v>
      </c>
      <c r="B32" s="142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s">
        <v>191</v>
      </c>
      <c r="O32" s="17" t="s">
        <v>125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37" t="s">
        <v>30</v>
      </c>
      <c r="B33" s="138"/>
      <c r="C33" s="23"/>
      <c r="D33" s="44">
        <v>0</v>
      </c>
      <c r="E33" s="63">
        <f>+E29*E32*$P$26*$P$27*$P$28*$P$36</f>
      </c>
      <c r="F33" s="63">
        <f t="shared" ref="F33:G33" si="9">+F29*F32*$P$26*$P$27*$P$28*$P$36</f>
      </c>
      <c r="G33" s="63">
        <f t="shared" si="9"/>
      </c>
      <c r="H33" s="63">
        <f>+H29*H32*$P$26*$P$27*$P$28*$P$36*$Q$28</f>
      </c>
      <c r="I33" s="63">
        <f t="shared" ref="I33:J33" si="10">+I29*I32*$P$26*$P$27*$P$28*$P$36*$Q$28</f>
      </c>
      <c r="J33" s="63">
        <f t="shared" si="10"/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</c>
    </row>
    <row r="34" spans="1:17" ht="19" x14ac:dyDescent="0.55000000000000004">
      <c r="A34" s="143" t="s">
        <v>25</v>
      </c>
      <c r="B34" s="144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134</v>
      </c>
      <c r="P34" s="75" t="b">
        <v>1</v>
      </c>
      <c r="Q34" s="73">
        <f t="shared" si="11"/>
      </c>
    </row>
    <row r="35" spans="1:17" ht="19" x14ac:dyDescent="0.55000000000000004">
      <c r="A35" s="143" t="s">
        <v>24</v>
      </c>
      <c r="B35" s="144"/>
      <c r="C35" s="102"/>
      <c r="D35" s="109">
        <f>+D31*1.02</f>
      </c>
      <c r="E35" s="50">
        <f>+E31+E33+1.05*(E31+E33)</f>
      </c>
      <c r="F35" s="50">
        <f t="shared" ref="F35:J35" si="12">+F31+F33+1.05*(F31+F33)</f>
      </c>
      <c r="G35" s="50">
        <f t="shared" si="12"/>
      </c>
      <c r="H35" s="50">
        <f t="shared" si="12"/>
      </c>
      <c r="I35" s="50">
        <f t="shared" si="12"/>
      </c>
      <c r="J35" s="50">
        <f t="shared" si="12"/>
      </c>
      <c r="K35" s="11"/>
      <c r="L35" s="7"/>
      <c r="O35" s="17" t="s">
        <v>135</v>
      </c>
      <c r="P35" s="75" t="b">
        <v>1</v>
      </c>
      <c r="Q35" s="73">
        <f t="shared" si="11"/>
      </c>
    </row>
    <row r="36" spans="1:17" x14ac:dyDescent="0.55000000000000004">
      <c r="A36" s="145" t="s">
        <v>5</v>
      </c>
      <c r="B36" s="6">
        <f>+C8</f>
      </c>
      <c r="C36" s="6"/>
      <c r="D36" s="11">
        <v>0</v>
      </c>
      <c r="E36" s="111">
        <v>2</v>
      </c>
      <c r="F36" s="111">
        <v>2</v>
      </c>
      <c r="G36" s="111">
        <v>4</v>
      </c>
      <c r="H36" s="111">
        <v>5</v>
      </c>
      <c r="I36" s="111">
        <v>5</v>
      </c>
      <c r="J36" s="111">
        <v>6</v>
      </c>
      <c r="K36" s="115">
        <f>SUM(E36:J36)</f>
      </c>
      <c r="L36" s="7"/>
      <c r="N36" s="69" t="s">
        <v>192</v>
      </c>
      <c r="O36" s="17" t="s">
        <v>126</v>
      </c>
      <c r="P36" s="74">
        <f>1*(Q32*Q33*Q34*Q35)</f>
      </c>
      <c r="Q36" s="73"/>
    </row>
    <row r="37" spans="1:17" x14ac:dyDescent="0.55000000000000004">
      <c r="A37" s="146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117</v>
      </c>
    </row>
    <row r="38" spans="1:17" x14ac:dyDescent="0.55000000000000004">
      <c r="A38" s="145" t="s">
        <v>8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1</v>
      </c>
      <c r="H38" s="111">
        <v>2</v>
      </c>
      <c r="I38" s="111">
        <v>3</v>
      </c>
      <c r="J38" s="111">
        <v>3</v>
      </c>
      <c r="K38" s="115">
        <f>SUM(E38:J38)</f>
      </c>
      <c r="L38" s="7"/>
      <c r="N38" s="69" t="s">
        <v>193</v>
      </c>
      <c r="O38" s="21" t="s">
        <v>36</v>
      </c>
    </row>
    <row r="39" spans="1:17" x14ac:dyDescent="0.55000000000000004">
      <c r="A39" s="146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118</v>
      </c>
      <c r="O39" s="21" t="s">
        <v>37</v>
      </c>
    </row>
    <row r="40" spans="1:17" x14ac:dyDescent="0.55000000000000004">
      <c r="A40" s="139" t="s">
        <v>52</v>
      </c>
      <c r="B40" s="140"/>
      <c r="C40" s="97"/>
      <c r="D40" s="11">
        <f t="shared" ref="D40:J40" si="13">+SUM(D36:D39)</f>
      </c>
      <c r="E40" s="10">
        <f t="shared" si="13"/>
      </c>
      <c r="F40" s="10">
        <f t="shared" si="13"/>
      </c>
      <c r="G40" s="10">
        <f t="shared" si="13"/>
      </c>
      <c r="H40" s="10">
        <f t="shared" si="13"/>
      </c>
      <c r="I40" s="10">
        <f t="shared" si="13"/>
      </c>
      <c r="J40" s="10">
        <f t="shared" si="13"/>
      </c>
      <c r="K40" s="115">
        <f>SUM(E40:J40)</f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</c>
      <c r="E41" s="18">
        <f>+IFERROR(E40/E35,0)</f>
      </c>
      <c r="F41" s="18">
        <f t="shared" ref="F41:J41" si="15">+IFERROR(F40/F35,0)</f>
      </c>
      <c r="G41" s="18">
        <f t="shared" si="15"/>
      </c>
      <c r="H41" s="18">
        <f t="shared" si="15"/>
      </c>
      <c r="I41" s="18">
        <f t="shared" si="15"/>
      </c>
      <c r="J41" s="18">
        <f t="shared" si="15"/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 hidden="1">
      <c r="A43" s="29" t="s">
        <v>50</v>
      </c>
      <c r="C43" s="5" t="s">
        <v>149</v>
      </c>
      <c r="D43" s="5" t="s">
        <v>150</v>
      </c>
    </row>
    <row r="44" spans="1:17" x14ac:dyDescent="0.55000000000000004" hidden="1">
      <c r="A44" s="137" t="s">
        <v>26</v>
      </c>
      <c r="B44" s="138"/>
      <c r="C44" s="103"/>
      <c r="D44" s="16" t="s">
        <v>21</v>
      </c>
      <c r="E44" s="31">
        <f>+E75*E76</f>
      </c>
      <c r="F44" s="31">
        <f t="shared" ref="F44:J44" si="16">+F75*F76</f>
      </c>
      <c r="G44" s="31">
        <f t="shared" si="16"/>
      </c>
      <c r="H44" s="31">
        <f t="shared" si="16"/>
      </c>
      <c r="I44" s="31">
        <f t="shared" si="16"/>
      </c>
      <c r="J44" s="31">
        <f t="shared" si="16"/>
      </c>
      <c r="K44" s="11"/>
      <c r="L44" s="7"/>
    </row>
    <row r="45" spans="1:17" x14ac:dyDescent="0.55000000000000004" hidden="1">
      <c r="A45" s="137" t="s">
        <v>131</v>
      </c>
      <c r="B45" s="138"/>
      <c r="C45" s="104">
        <f>+SUM(C65:C72)</f>
      </c>
      <c r="D45" s="80">
        <f>+SUM(D65:D72)</f>
      </c>
      <c r="E45" s="27">
        <f>SUM(E65:E68)+SUM(E71:E72)</f>
      </c>
      <c r="F45" s="27">
        <f t="shared" ref="F45:J45" si="17">SUM(F65:F68)+SUM(F71:F72)</f>
      </c>
      <c r="G45" s="27">
        <f t="shared" si="17"/>
      </c>
      <c r="H45" s="27">
        <f t="shared" si="17"/>
      </c>
      <c r="I45" s="27">
        <f t="shared" si="17"/>
      </c>
      <c r="J45" s="27">
        <f t="shared" si="17"/>
      </c>
      <c r="K45" s="11"/>
      <c r="L45" s="7"/>
    </row>
    <row r="46" spans="1:17" x14ac:dyDescent="0.55000000000000004" hidden="1">
      <c r="A46" s="137" t="s">
        <v>16</v>
      </c>
      <c r="B46" s="138"/>
      <c r="C46" s="103"/>
      <c r="D46" s="16" t="s">
        <v>21</v>
      </c>
      <c r="E46" s="28">
        <f t="shared" ref="E46:J46" si="18">IFERROR(SUM(E65:E67)/(E28-D28),"-")</f>
      </c>
      <c r="F46" s="28">
        <f t="shared" si="18"/>
      </c>
      <c r="G46" s="28">
        <f t="shared" si="18"/>
      </c>
      <c r="H46" s="28">
        <f t="shared" si="18"/>
      </c>
      <c r="I46" s="28">
        <f t="shared" si="18"/>
      </c>
      <c r="J46" s="28">
        <f t="shared" si="18"/>
      </c>
      <c r="K46" s="11"/>
      <c r="L46" s="7"/>
    </row>
    <row r="47" spans="1:17" x14ac:dyDescent="0.55000000000000004" hidden="1">
      <c r="A47" s="137" t="s">
        <v>17</v>
      </c>
      <c r="B47" s="138"/>
      <c r="C47" s="103"/>
      <c r="D47" s="16" t="s">
        <v>21</v>
      </c>
      <c r="E47" s="28">
        <f t="shared" ref="E47:I47" si="19">+E51/E35</f>
      </c>
      <c r="F47" s="28">
        <f t="shared" si="19"/>
      </c>
      <c r="G47" s="28">
        <f t="shared" si="19"/>
      </c>
      <c r="H47" s="28">
        <f t="shared" si="19"/>
      </c>
      <c r="I47" s="28">
        <f t="shared" si="19"/>
      </c>
      <c r="J47" s="28">
        <f>+J51/J35</f>
      </c>
      <c r="K47" s="11"/>
      <c r="L47" s="7"/>
    </row>
    <row r="48" spans="1:17" x14ac:dyDescent="0.55000000000000004" hidden="1">
      <c r="A48" s="137" t="s">
        <v>19</v>
      </c>
      <c r="B48" s="138"/>
      <c r="C48" s="103"/>
      <c r="D48" s="16" t="s">
        <v>21</v>
      </c>
      <c r="E48" s="32">
        <f t="shared" ref="E48:J48" si="20">+SUM(E36:E39)/E35</f>
      </c>
      <c r="F48" s="32">
        <f t="shared" si="20"/>
      </c>
      <c r="G48" s="32">
        <f t="shared" si="20"/>
      </c>
      <c r="H48" s="32">
        <f t="shared" si="20"/>
      </c>
      <c r="I48" s="32">
        <f t="shared" si="20"/>
      </c>
      <c r="J48" s="32">
        <f t="shared" si="20"/>
      </c>
      <c r="K48" s="11"/>
      <c r="L48" s="7"/>
    </row>
    <row r="49" spans="1:12" x14ac:dyDescent="0.55000000000000004" hidden="1">
      <c r="A49" s="139" t="s">
        <v>18</v>
      </c>
      <c r="B49" s="140"/>
      <c r="C49" s="105"/>
      <c r="D49" s="16" t="s">
        <v>21</v>
      </c>
      <c r="E49" s="28">
        <f>+IFERROR(E51/SUM(E36:E39),0)</f>
      </c>
      <c r="F49" s="28">
        <f t="shared" ref="F49:J49" si="21">+IFERROR(F51/SUM(F36:F39),0)</f>
      </c>
      <c r="G49" s="28">
        <f t="shared" si="21"/>
      </c>
      <c r="H49" s="28">
        <f t="shared" si="21"/>
      </c>
      <c r="I49" s="28">
        <f t="shared" si="21"/>
      </c>
      <c r="J49" s="28">
        <f t="shared" si="21"/>
      </c>
      <c r="K49" s="11"/>
      <c r="L49" s="7"/>
    </row>
    <row r="50" spans="1:12" x14ac:dyDescent="0.55000000000000004" hidden="1">
      <c r="A50" s="139" t="s">
        <v>115</v>
      </c>
      <c r="B50" s="140"/>
      <c r="C50" s="105"/>
      <c r="D50" s="64" t="s">
        <v>21</v>
      </c>
      <c r="E50" s="65">
        <f>+E36*$D$8+E38*$D$10</f>
      </c>
      <c r="F50" s="65">
        <f t="shared" ref="F50:J50" si="22">+F36*$D$8+F38*$D$10</f>
      </c>
      <c r="G50" s="65">
        <f t="shared" si="22"/>
      </c>
      <c r="H50" s="65">
        <f t="shared" si="22"/>
      </c>
      <c r="I50" s="65">
        <f t="shared" si="22"/>
      </c>
      <c r="J50" s="65">
        <f t="shared" si="22"/>
      </c>
      <c r="K50" s="11"/>
      <c r="L50" s="7"/>
    </row>
    <row r="51" spans="1:12" x14ac:dyDescent="0.55000000000000004" hidden="1">
      <c r="A51" s="135" t="s">
        <v>68</v>
      </c>
      <c r="B51" s="136"/>
      <c r="C51" s="110">
        <f>+C45</f>
      </c>
      <c r="D51" s="40">
        <f>+D45</f>
      </c>
      <c r="E51" s="40">
        <f>SUM(E45,E50)+E44</f>
      </c>
      <c r="F51" s="40">
        <f t="shared" ref="F51:I51" si="23">SUM(F45,F50)+F44</f>
      </c>
      <c r="G51" s="40">
        <f t="shared" si="23"/>
      </c>
      <c r="H51" s="40">
        <f t="shared" si="23"/>
      </c>
      <c r="I51" s="40">
        <f t="shared" si="23"/>
      </c>
      <c r="J51" s="40">
        <f>SUM(J45,J50)+J44</f>
      </c>
      <c r="K51" s="11"/>
      <c r="L51" s="7"/>
    </row>
    <row r="52" spans="1:12" x14ac:dyDescent="0.55000000000000004" hidden="1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37" t="s">
        <v>26</v>
      </c>
      <c r="B54" s="138"/>
      <c r="C54" s="96"/>
      <c r="D54" s="28">
        <f>+D75*D76</f>
      </c>
      <c r="E54" s="28">
        <f t="shared" ref="E54:J54" si="24">+E75*E76</f>
      </c>
      <c r="F54" s="28">
        <f t="shared" si="24"/>
      </c>
      <c r="G54" s="28">
        <f t="shared" si="24"/>
      </c>
      <c r="H54" s="28">
        <f t="shared" si="24"/>
      </c>
      <c r="I54" s="28">
        <f t="shared" si="24"/>
      </c>
      <c r="J54" s="28">
        <f t="shared" si="24"/>
      </c>
      <c r="K54" s="11"/>
      <c r="L54" s="7"/>
    </row>
    <row r="55" spans="1:12" hidden="1" x14ac:dyDescent="0.55000000000000004">
      <c r="A55" s="137" t="s">
        <v>131</v>
      </c>
      <c r="B55" s="138"/>
      <c r="C55" s="96"/>
      <c r="D55" s="27">
        <f>+SUM(D65:D72)</f>
      </c>
      <c r="E55" s="27">
        <f>SUM(E65:E72)+E54</f>
      </c>
      <c r="F55" s="27">
        <f t="shared" ref="F55:J55" si="25">SUM(F65:F72)+F54</f>
      </c>
      <c r="G55" s="27">
        <f t="shared" si="25"/>
      </c>
      <c r="H55" s="27">
        <f t="shared" si="25"/>
      </c>
      <c r="I55" s="27">
        <f t="shared" si="25"/>
      </c>
      <c r="J55" s="27">
        <f t="shared" si="25"/>
      </c>
      <c r="K55" s="11"/>
      <c r="L55" s="7"/>
    </row>
    <row r="56" spans="1:12" hidden="1" x14ac:dyDescent="0.55000000000000004">
      <c r="A56" s="137" t="s">
        <v>16</v>
      </c>
      <c r="B56" s="138"/>
      <c r="C56" s="96"/>
      <c r="D56" s="39" t="s">
        <v>21</v>
      </c>
      <c r="E56" s="28">
        <f t="shared" ref="E56:J56" si="26">IFERROR(SUM(E65:E67)/(E28-D28),"-")</f>
      </c>
      <c r="F56" s="28">
        <f t="shared" si="26"/>
      </c>
      <c r="G56" s="28">
        <f t="shared" si="26"/>
      </c>
      <c r="H56" s="28">
        <f t="shared" si="26"/>
      </c>
      <c r="I56" s="28">
        <f t="shared" si="26"/>
      </c>
      <c r="J56" s="28">
        <f t="shared" si="26"/>
      </c>
      <c r="K56" s="11"/>
      <c r="L56" s="7"/>
    </row>
    <row r="57" spans="1:12" hidden="1" x14ac:dyDescent="0.55000000000000004">
      <c r="A57" s="137" t="s">
        <v>17</v>
      </c>
      <c r="B57" s="138"/>
      <c r="C57" s="96"/>
      <c r="D57" s="39" t="s">
        <v>21</v>
      </c>
      <c r="E57" s="28">
        <f>+E61/E35</f>
      </c>
      <c r="F57" s="28">
        <f t="shared" ref="F57:J57" si="27">+F61/F35</f>
      </c>
      <c r="G57" s="28">
        <f t="shared" si="27"/>
      </c>
      <c r="H57" s="28">
        <f t="shared" si="27"/>
      </c>
      <c r="I57" s="28">
        <f t="shared" si="27"/>
      </c>
      <c r="J57" s="28">
        <f t="shared" si="27"/>
      </c>
      <c r="K57" s="11"/>
      <c r="L57" s="7"/>
    </row>
    <row r="58" spans="1:12" hidden="1" x14ac:dyDescent="0.55000000000000004">
      <c r="A58" s="137" t="s">
        <v>19</v>
      </c>
      <c r="B58" s="138"/>
      <c r="C58" s="96"/>
      <c r="D58" s="39" t="s">
        <v>21</v>
      </c>
      <c r="E58" s="32">
        <f t="shared" ref="E58:J58" si="28">+SUM(E36:E39)/E35</f>
      </c>
      <c r="F58" s="32">
        <f t="shared" si="28"/>
      </c>
      <c r="G58" s="32">
        <f t="shared" si="28"/>
      </c>
      <c r="H58" s="32">
        <f t="shared" si="28"/>
      </c>
      <c r="I58" s="32">
        <f t="shared" si="28"/>
      </c>
      <c r="J58" s="32">
        <f t="shared" si="28"/>
      </c>
      <c r="K58" s="11"/>
      <c r="L58" s="7"/>
    </row>
    <row r="59" spans="1:12" hidden="1" x14ac:dyDescent="0.55000000000000004">
      <c r="A59" s="139" t="s">
        <v>18</v>
      </c>
      <c r="B59" s="140"/>
      <c r="C59" s="97"/>
      <c r="D59" s="28"/>
      <c r="E59" s="28">
        <f>+IFERROR(E55/E40,0)</f>
      </c>
      <c r="F59" s="28">
        <f t="shared" ref="F59:J59" si="29">+IFERROR(F55/F40,0)</f>
      </c>
      <c r="G59" s="28">
        <f t="shared" si="29"/>
      </c>
      <c r="H59" s="28">
        <f t="shared" si="29"/>
      </c>
      <c r="I59" s="28">
        <f t="shared" si="29"/>
      </c>
      <c r="J59" s="28">
        <f t="shared" si="29"/>
      </c>
      <c r="K59" s="11"/>
      <c r="L59" s="7"/>
    </row>
    <row r="60" spans="1:12" hidden="1" x14ac:dyDescent="0.55000000000000004">
      <c r="A60" s="139" t="s">
        <v>115</v>
      </c>
      <c r="B60" s="140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35" t="s">
        <v>68</v>
      </c>
      <c r="B61" s="136"/>
      <c r="C61" s="98"/>
      <c r="D61" s="40">
        <f>+D55</f>
      </c>
      <c r="E61" s="40">
        <f>+SUM(E65:E72)+E54</f>
      </c>
      <c r="F61" s="40">
        <f t="shared" ref="F61:J61" si="30">+SUM(F65:F72)+F54</f>
      </c>
      <c r="G61" s="40">
        <f t="shared" si="30"/>
      </c>
      <c r="H61" s="40">
        <f t="shared" si="30"/>
      </c>
      <c r="I61" s="40">
        <f t="shared" si="30"/>
      </c>
      <c r="J61" s="40">
        <f t="shared" si="30"/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172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194</v>
      </c>
    </row>
    <row r="67" spans="1:16" x14ac:dyDescent="0.55000000000000004">
      <c r="B67" s="6" t="s">
        <v>174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175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</c>
      <c r="F68" s="28">
        <f t="shared" si="31"/>
      </c>
      <c r="G68" s="28">
        <f t="shared" si="31"/>
      </c>
      <c r="H68" s="28">
        <f t="shared" si="31"/>
      </c>
      <c r="I68" s="28">
        <f t="shared" si="31"/>
      </c>
      <c r="J68" s="28">
        <f t="shared" si="31"/>
      </c>
      <c r="N68" s="69" t="s">
        <v>176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184</v>
      </c>
      <c r="C69" s="90">
        <v>0</v>
      </c>
      <c r="D69" s="51">
        <v>100000</v>
      </c>
      <c r="E69" s="28">
        <v>150000</v>
      </c>
      <c r="F69" s="28">
        <v>150000</v>
      </c>
      <c r="G69" s="28">
        <v>150000</v>
      </c>
      <c r="H69" s="28">
        <v>150000</v>
      </c>
      <c r="I69" s="28">
        <v>150000</v>
      </c>
      <c r="J69" s="28">
        <v>150000</v>
      </c>
      <c r="N69" s="69" t="s">
        <v>185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</c>
      <c r="E73" s="114">
        <f t="shared" ref="E73:J73" si="32">SUM(E65:E72)+E54</f>
      </c>
      <c r="F73" s="114">
        <f t="shared" si="32"/>
      </c>
      <c r="G73" s="114">
        <f t="shared" si="32"/>
      </c>
      <c r="H73" s="114">
        <f t="shared" si="32"/>
      </c>
      <c r="I73" s="114">
        <f t="shared" si="32"/>
      </c>
      <c r="J73" s="114">
        <f t="shared" si="32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</c>
      <c r="E75" s="41">
        <f t="shared" si="33"/>
      </c>
      <c r="F75" s="41">
        <f t="shared" si="33"/>
      </c>
      <c r="G75" s="41">
        <f t="shared" si="33"/>
      </c>
      <c r="H75" s="41">
        <f t="shared" si="33"/>
      </c>
      <c r="I75" s="41">
        <f t="shared" si="33"/>
      </c>
      <c r="J75" s="41">
        <f t="shared" si="33"/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4"/>
      </c>
      <c r="F76" s="5">
        <f t="shared" si="34"/>
      </c>
      <c r="G76" s="5">
        <f t="shared" si="34"/>
      </c>
      <c r="H76" s="5">
        <f t="shared" si="34"/>
      </c>
      <c r="I76" s="5">
        <f t="shared" si="34"/>
      </c>
      <c r="J76" s="5">
        <f t="shared" si="34"/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 hidden="1">
      <c r="A4" s="85" t="s">
        <v>139</v>
      </c>
      <c r="B4" s="7"/>
      <c r="C4" s="86">
        <f>+'SIM①_コンサル'!D24</f>
      </c>
      <c r="D4" s="28">
        <f>+'SIM①_コンサル'!G51</f>
      </c>
      <c r="E4" s="28">
        <f>+'SIM①_コンサル'!J51</f>
      </c>
      <c r="F4" s="28"/>
    </row>
    <row r="5" spans="1:25" x14ac:dyDescent="0.55000000000000004">
      <c r="A5" s="85" t="s">
        <v>140</v>
      </c>
      <c r="B5" s="7"/>
      <c r="C5" s="86">
        <f>+'SIM①_コンサル'!D25</f>
      </c>
      <c r="D5" s="28">
        <f>+'SIM①_コンサル'!G61</f>
      </c>
      <c r="E5" s="28">
        <f>+'SIM①_コンサル'!J61</f>
      </c>
      <c r="F5" s="27"/>
    </row>
    <row r="6" spans="1:25" x14ac:dyDescent="0.55000000000000004">
      <c r="A6" s="85" t="s">
        <v>74</v>
      </c>
      <c r="B6" s="7"/>
      <c r="C6" s="117">
        <f>+'SIM①_コンサル'!D28</f>
      </c>
      <c r="D6" s="87">
        <f>+'SIM①_コンサル'!G28</f>
      </c>
      <c r="E6" s="87">
        <f>+'SIM①_コンサル'!J28</f>
      </c>
      <c r="F6" s="10"/>
    </row>
    <row r="7" spans="1:25" x14ac:dyDescent="0.55000000000000004">
      <c r="A7" s="85" t="s">
        <v>75</v>
      </c>
      <c r="B7" s="7"/>
      <c r="C7" s="88">
        <f>+'SIM①_コンサル'!D27</f>
      </c>
      <c r="D7" s="89">
        <f>+'SIM①_コンサル'!G27</f>
      </c>
      <c r="E7" s="89">
        <f>+'SIM①_コンサル'!J27</f>
      </c>
      <c r="F7" s="89"/>
    </row>
    <row r="8" spans="1:25" x14ac:dyDescent="0.55000000000000004">
      <c r="A8" s="85" t="s">
        <v>76</v>
      </c>
      <c r="B8" s="7"/>
      <c r="C8" s="117">
        <f>+'SIM①_コンサル'!D29</f>
      </c>
      <c r="D8" s="10">
        <f>+'SIM①_コンサル'!G29</f>
      </c>
      <c r="E8" s="10">
        <f>+'SIM①_コンサル'!J29</f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+'SIM①_コンサル'!D34</f>
      </c>
      <c r="D10" s="10">
        <f>+'SIM①_コンサル'!G34</f>
      </c>
      <c r="E10" s="10">
        <f>+'SIM①_コンサル'!J34</f>
      </c>
      <c r="F10" s="10"/>
    </row>
    <row r="11" spans="1:25" x14ac:dyDescent="0.55000000000000004">
      <c r="A11" s="85" t="s">
        <v>79</v>
      </c>
      <c r="B11" s="7"/>
      <c r="C11" s="117">
        <f>+'SIM①_コンサル'!D35</f>
      </c>
      <c r="D11" s="10">
        <f>+'SIM①_コンサル'!G35</f>
      </c>
      <c r="E11" s="10">
        <f>+'SIM①_コンサル'!J35</f>
      </c>
      <c r="F11" s="10"/>
    </row>
    <row r="12" spans="1:25" x14ac:dyDescent="0.55000000000000004" hidden="1">
      <c r="A12" s="85" t="s">
        <v>146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55000000000000004">
      <c r="A13" s="85" t="s">
        <v>147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164</v>
      </c>
      <c r="B15" s="7"/>
      <c r="C15" s="87">
        <f>+'SIM①_コンサル'!$H$10</f>
      </c>
      <c r="D15" s="87">
        <f>+'SIM①_コンサル'!$H$10</f>
      </c>
      <c r="E15" s="87">
        <f>+'SIM①_コンサル'!$H$10</f>
      </c>
      <c r="F15" s="87"/>
      <c r="R15" s="5" t="s">
        <v>57</v>
      </c>
    </row>
    <row r="16" spans="1:25" x14ac:dyDescent="0.55000000000000004">
      <c r="A16" s="85" t="s">
        <v>177</v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186</v>
      </c>
      <c r="B17" s="7"/>
      <c r="C17" s="87">
        <f>+'SIM①_コンサル'!D36</f>
      </c>
      <c r="D17" s="87">
        <f>+'SIM①_コンサル'!G36</f>
      </c>
      <c r="E17" s="87">
        <f>+'SIM①_コンサル'!J36</f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+'SIM①_コンサル'!D37</f>
      </c>
      <c r="D18" s="87">
        <f>+'SIM①_コンサル'!G37</f>
      </c>
      <c r="E18" s="87">
        <f>+'SIM①_コンサル'!J37</f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</c>
      <c r="Y18" s="35">
        <v>2.5</v>
      </c>
    </row>
    <row r="19" spans="1:25" x14ac:dyDescent="0.55000000000000004">
      <c r="A19" s="85" t="s">
        <v>187</v>
      </c>
      <c r="B19" s="7"/>
      <c r="C19" s="87">
        <f>+'SIM①_コンサル'!D38</f>
      </c>
      <c r="D19" s="87">
        <f>+'SIM①_コンサル'!G38</f>
      </c>
      <c r="E19" s="87">
        <f>+'SIM①_コンサル'!J38</f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+'SIM①_コンサル'!D39</f>
      </c>
      <c r="D20" s="87">
        <f>+'SIM①_コンサル'!G39</f>
      </c>
      <c r="E20" s="87">
        <f>+'SIM①_コンサル'!J39</f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 hidden="1">
      <c r="A22" s="85" t="s">
        <v>141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142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+'SIM①_コンサル'!E68+C29*C30</f>
      </c>
      <c r="D25" s="10">
        <f>+'SIM①_コンサル'!G68+D29*D30</f>
      </c>
      <c r="E25" s="10">
        <f>+'SIM①_コンサル'!J68+E29*E30</f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80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87</v>
      </c>
    </row>
    <row r="4" spans="1:7" x14ac:dyDescent="0.55000000000000004">
      <c r="A4" t="s">
        <v>85</v>
      </c>
      <c r="B4" t="s">
        <v>86</v>
      </c>
      <c r="E4">
        <v>1000</v>
      </c>
    </row>
    <row r="5" spans="1:7" x14ac:dyDescent="0.55000000000000004">
      <c r="A5" t="s">
        <v>41</v>
      </c>
      <c r="B5" s="60">
        <v>8.5000000000000006E-2</v>
      </c>
    </row>
    <row r="6" spans="1:7" x14ac:dyDescent="0.55000000000000004">
      <c r="A6" t="s">
        <v>89</v>
      </c>
      <c r="B6" s="60">
        <v>0.08</v>
      </c>
    </row>
    <row r="7" spans="1:7" x14ac:dyDescent="0.55000000000000004">
      <c r="E7">
        <f>+E4*B5*B6</f>
      </c>
    </row>
    <row r="8" spans="1:7" x14ac:dyDescent="0.55000000000000004">
      <c r="A8" s="54" t="s">
        <v>88</v>
      </c>
    </row>
    <row r="9" spans="1:7" x14ac:dyDescent="0.55000000000000004">
      <c r="A9" t="s">
        <v>85</v>
      </c>
      <c r="B9" t="s">
        <v>86</v>
      </c>
      <c r="E9">
        <v>1000</v>
      </c>
    </row>
    <row r="10" spans="1:7" x14ac:dyDescent="0.55000000000000004">
      <c r="A10" t="s">
        <v>41</v>
      </c>
      <c r="B10" s="60">
        <v>5.0000000000000001E-3</v>
      </c>
    </row>
    <row r="11" spans="1:7" x14ac:dyDescent="0.55000000000000004">
      <c r="A11" t="s">
        <v>89</v>
      </c>
      <c r="B11" s="60">
        <v>0.08</v>
      </c>
    </row>
    <row r="12" spans="1:7" x14ac:dyDescent="0.55000000000000004">
      <c r="E12">
        <f>+E9*B10*B11</f>
      </c>
    </row>
    <row r="13" spans="1:7" x14ac:dyDescent="0.55000000000000004">
      <c r="A13" s="54" t="s">
        <v>90</v>
      </c>
      <c r="D13" t="s">
        <v>93</v>
      </c>
    </row>
    <row r="14" spans="1:7" x14ac:dyDescent="0.55000000000000004">
      <c r="A14" t="s">
        <v>91</v>
      </c>
      <c r="B14" t="s">
        <v>86</v>
      </c>
      <c r="E14">
        <v>1000</v>
      </c>
    </row>
    <row r="15" spans="1:7" x14ac:dyDescent="0.55000000000000004">
      <c r="A15" t="s">
        <v>41</v>
      </c>
      <c r="B15" s="60">
        <v>0.9</v>
      </c>
      <c r="C15" t="s">
        <v>92</v>
      </c>
    </row>
    <row r="16" spans="1:7" x14ac:dyDescent="0.55000000000000004">
      <c r="A16" t="s">
        <v>89</v>
      </c>
      <c r="B16" s="60">
        <v>0.35</v>
      </c>
    </row>
    <row r="17" spans="1:10" x14ac:dyDescent="0.55000000000000004">
      <c r="E17">
        <f>+E14*B15*B16</f>
      </c>
    </row>
    <row r="18" spans="1:10" x14ac:dyDescent="0.55000000000000004">
      <c r="A18" s="54" t="s">
        <v>94</v>
      </c>
      <c r="D18" t="s">
        <v>93</v>
      </c>
    </row>
    <row r="19" spans="1:10" x14ac:dyDescent="0.55000000000000004">
      <c r="A19" t="s">
        <v>85</v>
      </c>
      <c r="B19" s="60">
        <v>0.7</v>
      </c>
      <c r="C19" t="s">
        <v>86</v>
      </c>
      <c r="E19">
        <v>1000</v>
      </c>
    </row>
    <row r="20" spans="1:10" x14ac:dyDescent="0.55000000000000004">
      <c r="A20" t="s">
        <v>41</v>
      </c>
      <c r="B20" s="60">
        <v>1</v>
      </c>
    </row>
    <row r="21" spans="1:10" x14ac:dyDescent="0.55000000000000004">
      <c r="A21" t="s">
        <v>89</v>
      </c>
      <c r="B21" s="60">
        <v>0.2</v>
      </c>
    </row>
    <row r="22" spans="1:10" x14ac:dyDescent="0.55000000000000004">
      <c r="E22">
        <f>+E19*B20*B21</f>
      </c>
    </row>
    <row r="23" spans="1:10" x14ac:dyDescent="0.55000000000000004">
      <c r="A23" s="59" t="s">
        <v>81</v>
      </c>
      <c r="B23" s="59"/>
      <c r="C23" s="59" t="s">
        <v>84</v>
      </c>
      <c r="D23" s="59"/>
      <c r="E23" s="59"/>
      <c r="F23" s="59"/>
      <c r="G23" s="59"/>
      <c r="I23" s="67" t="s">
        <v>100</v>
      </c>
      <c r="J23" s="68"/>
    </row>
    <row r="24" spans="1:10" x14ac:dyDescent="0.55000000000000004">
      <c r="A24" s="54" t="s">
        <v>82</v>
      </c>
      <c r="I24" s="66">
        <v>1</v>
      </c>
      <c r="J24" t="s">
        <v>101</v>
      </c>
    </row>
    <row r="25" spans="1:10" x14ac:dyDescent="0.55000000000000004">
      <c r="A25" t="s">
        <v>40</v>
      </c>
      <c r="B25" s="61">
        <v>0.8</v>
      </c>
      <c r="I25" s="66">
        <v>2</v>
      </c>
      <c r="J25" t="s">
        <v>102</v>
      </c>
    </row>
    <row r="26" spans="1:10" x14ac:dyDescent="0.55000000000000004">
      <c r="A26" t="s">
        <v>41</v>
      </c>
      <c r="B26" s="61">
        <v>0.06</v>
      </c>
      <c r="I26" s="66">
        <v>3</v>
      </c>
      <c r="J26" t="s">
        <v>103</v>
      </c>
    </row>
    <row r="27" spans="1:10" x14ac:dyDescent="0.55000000000000004">
      <c r="A27" t="s">
        <v>83</v>
      </c>
      <c r="B27" s="61">
        <v>3.0000000000000001E-3</v>
      </c>
      <c r="I27" s="66">
        <v>4</v>
      </c>
      <c r="J27" t="s">
        <v>104</v>
      </c>
    </row>
    <row r="29" spans="1:10" x14ac:dyDescent="0.55000000000000004">
      <c r="A29" s="54" t="s">
        <v>99</v>
      </c>
      <c r="I29" s="67" t="s">
        <v>105</v>
      </c>
      <c r="J29" s="68"/>
    </row>
    <row r="30" spans="1:10" x14ac:dyDescent="0.55000000000000004">
      <c r="A30" t="s">
        <v>40</v>
      </c>
      <c r="B30" s="61">
        <v>0.75</v>
      </c>
      <c r="I30" s="66">
        <v>1</v>
      </c>
      <c r="J30" t="s">
        <v>106</v>
      </c>
    </row>
    <row r="31" spans="1:10" x14ac:dyDescent="0.55000000000000004">
      <c r="A31" t="s">
        <v>41</v>
      </c>
      <c r="B31" s="61">
        <v>0.08</v>
      </c>
      <c r="I31" s="66">
        <v>2</v>
      </c>
      <c r="J31" t="s">
        <v>107</v>
      </c>
    </row>
    <row r="32" spans="1:10" x14ac:dyDescent="0.55000000000000004">
      <c r="A32" t="s">
        <v>83</v>
      </c>
      <c r="B32" s="61">
        <v>6.0000000000000001E-3</v>
      </c>
      <c r="I32" s="66">
        <v>3</v>
      </c>
      <c r="J32" t="s">
        <v>108</v>
      </c>
    </row>
    <row r="33" spans="1:10" x14ac:dyDescent="0.55000000000000004">
      <c r="I33" s="66">
        <v>4</v>
      </c>
      <c r="J33" t="s">
        <v>109</v>
      </c>
    </row>
    <row r="34" spans="1:10" x14ac:dyDescent="0.55000000000000004">
      <c r="A34" s="54" t="s">
        <v>95</v>
      </c>
    </row>
    <row r="35" spans="1:10" x14ac:dyDescent="0.55000000000000004">
      <c r="A35" t="s">
        <v>40</v>
      </c>
      <c r="B35" s="62" t="s">
        <v>21</v>
      </c>
    </row>
    <row r="36" spans="1:10" x14ac:dyDescent="0.55000000000000004">
      <c r="A36" t="s">
        <v>41</v>
      </c>
      <c r="B36" s="61">
        <v>0.02</v>
      </c>
    </row>
    <row r="37" spans="1:10" x14ac:dyDescent="0.55000000000000004">
      <c r="A37" t="s">
        <v>83</v>
      </c>
      <c r="B37" s="61">
        <v>4.0000000000000001E-3</v>
      </c>
    </row>
    <row r="39" spans="1:10" x14ac:dyDescent="0.55000000000000004">
      <c r="A39" s="54" t="s">
        <v>96</v>
      </c>
      <c r="E39" s="54" t="s">
        <v>97</v>
      </c>
    </row>
    <row r="40" spans="1:10" x14ac:dyDescent="0.55000000000000004">
      <c r="A40" t="s">
        <v>40</v>
      </c>
      <c r="B40" s="62">
        <v>1</v>
      </c>
      <c r="E40" t="s">
        <v>40</v>
      </c>
      <c r="F40" s="62" t="s">
        <v>21</v>
      </c>
    </row>
    <row r="41" spans="1:10" x14ac:dyDescent="0.55000000000000004">
      <c r="A41" t="s">
        <v>41</v>
      </c>
      <c r="B41" s="61">
        <v>3.5000000000000003E-2</v>
      </c>
      <c r="E41" t="s">
        <v>98</v>
      </c>
      <c r="F41" s="61">
        <v>0.25</v>
      </c>
    </row>
    <row r="42" spans="1:10" x14ac:dyDescent="0.55000000000000004">
      <c r="A42" t="s">
        <v>83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791ED-6154-50EC-9BCF-FD3373B089C3}">
  <dimension ref="A2:Z76"/>
  <sheetViews>
    <sheetView topLeftCell="A16" zoomScale="70" zoomScaleNormal="55" workbookViewId="0">
      <selection activeCell="D14" sqref="D14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inlineStr">
        <is>
          <t xml:space="preserve">株式会社横浜シミズ御中_LINEOA施策提案【SIM】成果報酬（応募1件 6,000円）（サイトのLINEボタン＋離脱防止＋サンクスLINE誘導）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47" t="s">
        <v>5</v>
      </c>
      <c r="B8" s="19" t="s">
        <v>6</v>
      </c>
      <c r="C8" s="19" t="s">
        <v>178</v>
      </c>
      <c r="D8" s="33">
        <v>6000</v>
      </c>
      <c r="G8" s="121" t="s">
        <v>162</v>
      </c>
      <c r="H8" s="122">
        <v>8947</v>
      </c>
      <c r="I8" s="123"/>
      <c r="J8" s="123" t="s">
        <v>69</v>
      </c>
      <c r="K8" s="129">
        <v>0</v>
      </c>
      <c r="N8" s="69" t="s">
        <v>189</v>
      </c>
      <c r="O8" s="35" t="s">
        <v>156</v>
      </c>
    </row>
    <row r="9" spans="1:25" ht="18" thickBot="1" x14ac:dyDescent="0.6">
      <c r="A9" s="148"/>
      <c r="B9" s="19" t="s">
        <v>7</v>
      </c>
      <c r="C9" s="38" t="s">
        <v>61</v>
      </c>
      <c r="D9" s="33">
        <v>0</v>
      </c>
      <c r="G9" s="124" t="s">
        <v>163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47" t="s">
        <v>8</v>
      </c>
      <c r="B10" s="19" t="s">
        <v>9</v>
      </c>
      <c r="C10" s="19" t="s">
        <v>179</v>
      </c>
      <c r="D10" s="33">
        <v>6000</v>
      </c>
      <c r="G10" s="124" t="s">
        <v>164</v>
      </c>
      <c r="H10" s="125">
        <v>89</v>
      </c>
      <c r="I10" s="22" t="s">
        <v>154</v>
      </c>
      <c r="J10" s="29"/>
      <c r="K10" s="118"/>
      <c r="N10" s="132" t="s">
        <v>180</v>
      </c>
    </row>
    <row r="11" spans="1:25" ht="18" thickBot="1" x14ac:dyDescent="0.6">
      <c r="A11" s="14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49" t="s">
        <v>0</v>
      </c>
      <c r="B13" s="149"/>
      <c r="C13" s="95"/>
      <c r="D13" s="13" t="s">
        <v>28</v>
      </c>
      <c r="E13" s="36" t="s">
        <v>165</v>
      </c>
      <c r="F13" s="36" t="s">
        <v>166</v>
      </c>
      <c r="G13" s="36" t="s">
        <v>167</v>
      </c>
      <c r="H13" s="36" t="s">
        <v>168</v>
      </c>
      <c r="I13" s="36" t="s">
        <v>169</v>
      </c>
      <c r="J13" s="36" t="s">
        <v>170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50" t="s">
        <v>31</v>
      </c>
      <c r="B14" s="20" t="s">
        <v>35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  <c r="N14" t="s">
        <v>171</v>
      </c>
    </row>
    <row r="15" spans="1:25" ht="19" x14ac:dyDescent="0.55000000000000004">
      <c r="A15" s="151"/>
      <c r="B15" s="20" t="s">
        <v>34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52"/>
      <c r="B16" s="20" t="s">
        <v>151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5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51"/>
      <c r="B18" s="8" t="s">
        <v>172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5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</c>
      <c r="Z19" s="35">
        <v>2.5</v>
      </c>
    </row>
    <row r="20" spans="1:26" x14ac:dyDescent="0.55000000000000004">
      <c r="A20" s="15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52"/>
      <c r="B21" s="8" t="s">
        <v>113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21</v>
      </c>
      <c r="L21" s="9" t="s">
        <v>21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5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51"/>
      <c r="B23" s="6" t="s">
        <v>172</v>
      </c>
      <c r="C23" s="17"/>
      <c r="D23" s="44" t="s">
        <v>20</v>
      </c>
      <c r="E23" s="46">
        <f t="shared" ref="E23:J23" si="3">IF(E18=FALSE,0,E14*$P$18*0.125*0.125)</f>
      </c>
      <c r="F23" s="46">
        <f t="shared" si="3"/>
      </c>
      <c r="G23" s="63">
        <f t="shared" si="3"/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173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51"/>
      <c r="B24" s="6" t="s">
        <v>114</v>
      </c>
      <c r="C24" s="17"/>
      <c r="D24" s="44" t="s">
        <v>20</v>
      </c>
      <c r="E24" s="46">
        <f t="shared" ref="E24:J24" si="4">IF(E19=FALSE,0,E16*0.8*0.4)</f>
      </c>
      <c r="F24" s="63">
        <f t="shared" si="4"/>
      </c>
      <c r="G24" s="63">
        <f t="shared" si="4"/>
      </c>
      <c r="H24" s="63">
        <f t="shared" si="4"/>
      </c>
      <c r="I24" s="63">
        <f t="shared" si="4"/>
      </c>
      <c r="J24" s="63">
        <f t="shared" si="4"/>
      </c>
      <c r="K24" s="11"/>
      <c r="L24" s="7"/>
      <c r="N24" s="69" t="s">
        <v>181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52"/>
      <c r="B25" s="6" t="s">
        <v>67</v>
      </c>
      <c r="C25" s="17"/>
      <c r="D25" s="44" t="s">
        <v>20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37" t="s">
        <v>15</v>
      </c>
      <c r="B26" s="138"/>
      <c r="C26" s="23"/>
      <c r="D26" s="44" t="s">
        <v>20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s">
        <v>190</v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37" t="s">
        <v>14</v>
      </c>
      <c r="B27" s="138"/>
      <c r="C27" s="23"/>
      <c r="D27" s="107">
        <v>0</v>
      </c>
      <c r="E27" s="47">
        <v>0.32</v>
      </c>
      <c r="F27" s="47">
        <f>+E$27*1.025</f>
      </c>
      <c r="G27" s="47">
        <f>+F$27*1.025</f>
      </c>
      <c r="H27" s="47">
        <f>+G$27*1.025</f>
      </c>
      <c r="I27" s="47">
        <f>+H$27*1.025</f>
      </c>
      <c r="J27" s="47">
        <f>+I$27*1.025</f>
      </c>
      <c r="K27" s="11"/>
      <c r="L27" s="7"/>
      <c r="N27" t="s">
        <v>182</v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54" t="s">
        <v>12</v>
      </c>
      <c r="B28" s="155"/>
      <c r="C28" s="101"/>
      <c r="D28" s="106">
        <v>0</v>
      </c>
      <c r="E28" s="49">
        <f>+D28+E26</f>
      </c>
      <c r="F28" s="49">
        <f t="shared" ref="F28:J28" si="7">+E28+F26</f>
      </c>
      <c r="G28" s="49">
        <f t="shared" si="7"/>
      </c>
      <c r="H28" s="49">
        <f t="shared" si="7"/>
      </c>
      <c r="I28" s="49">
        <f t="shared" si="7"/>
      </c>
      <c r="J28" s="49">
        <f t="shared" si="7"/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3" t="s">
        <v>13</v>
      </c>
      <c r="B29" s="144"/>
      <c r="C29" s="102"/>
      <c r="D29" s="108">
        <f>+D28*(1-D27)</f>
      </c>
      <c r="E29" s="50">
        <f>+E28*(1-E27)</f>
      </c>
      <c r="F29" s="50">
        <f t="shared" ref="F29:J29" si="8">+F28*(1-F27)</f>
      </c>
      <c r="G29" s="50">
        <f t="shared" si="8"/>
      </c>
      <c r="H29" s="50">
        <f t="shared" si="8"/>
      </c>
      <c r="I29" s="50">
        <f t="shared" si="8"/>
      </c>
      <c r="J29" s="50">
        <f t="shared" si="8"/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41" t="s">
        <v>22</v>
      </c>
      <c r="B30" s="142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183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37" t="s">
        <v>23</v>
      </c>
      <c r="B31" s="138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41" t="s">
        <v>29</v>
      </c>
      <c r="B32" s="142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s">
        <v>191</v>
      </c>
      <c r="O32" s="17" t="s">
        <v>125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37" t="s">
        <v>30</v>
      </c>
      <c r="B33" s="138"/>
      <c r="C33" s="23"/>
      <c r="D33" s="44">
        <v>0</v>
      </c>
      <c r="E33" s="63">
        <f>+E29*E32*$P$26*$P$27*$P$28*$P$36</f>
      </c>
      <c r="F33" s="63">
        <f t="shared" ref="F33:G33" si="9">+F29*F32*$P$26*$P$27*$P$28*$P$36</f>
      </c>
      <c r="G33" s="63">
        <f t="shared" si="9"/>
      </c>
      <c r="H33" s="63">
        <f>+H29*H32*$P$26*$P$27*$P$28*$P$36*$Q$28</f>
      </c>
      <c r="I33" s="63">
        <f t="shared" ref="I33:J33" si="10">+I29*I32*$P$26*$P$27*$P$28*$P$36*$Q$28</f>
      </c>
      <c r="J33" s="63">
        <f t="shared" si="10"/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</c>
    </row>
    <row r="34" spans="1:17" ht="19" x14ac:dyDescent="0.55000000000000004">
      <c r="A34" s="143" t="s">
        <v>25</v>
      </c>
      <c r="B34" s="144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134</v>
      </c>
      <c r="P34" s="75" t="b">
        <v>1</v>
      </c>
      <c r="Q34" s="73">
        <f t="shared" si="11"/>
      </c>
    </row>
    <row r="35" spans="1:17" ht="19" x14ac:dyDescent="0.55000000000000004">
      <c r="A35" s="143" t="s">
        <v>24</v>
      </c>
      <c r="B35" s="144"/>
      <c r="C35" s="102"/>
      <c r="D35" s="109">
        <f>+D31*1.02</f>
      </c>
      <c r="E35" s="50">
        <f>+E31+E33+1.05*(E31+E33)</f>
      </c>
      <c r="F35" s="50">
        <f t="shared" ref="F35:J35" si="12">+F31+F33+1.05*(F31+F33)</f>
      </c>
      <c r="G35" s="50">
        <f t="shared" si="12"/>
      </c>
      <c r="H35" s="50">
        <f t="shared" si="12"/>
      </c>
      <c r="I35" s="50">
        <f t="shared" si="12"/>
      </c>
      <c r="J35" s="50">
        <f t="shared" si="12"/>
      </c>
      <c r="K35" s="11"/>
      <c r="L35" s="7"/>
      <c r="O35" s="17" t="s">
        <v>135</v>
      </c>
      <c r="P35" s="75" t="b">
        <v>1</v>
      </c>
      <c r="Q35" s="73">
        <f t="shared" si="11"/>
      </c>
    </row>
    <row r="36" spans="1:17" x14ac:dyDescent="0.55000000000000004">
      <c r="A36" s="145" t="s">
        <v>5</v>
      </c>
      <c r="B36" s="6">
        <f>+C8</f>
      </c>
      <c r="C36" s="6"/>
      <c r="D36" s="11">
        <v>0</v>
      </c>
      <c r="E36" s="111">
        <v>2</v>
      </c>
      <c r="F36" s="111">
        <v>2</v>
      </c>
      <c r="G36" s="111">
        <v>4</v>
      </c>
      <c r="H36" s="111">
        <v>5</v>
      </c>
      <c r="I36" s="111">
        <v>5</v>
      </c>
      <c r="J36" s="111">
        <v>6</v>
      </c>
      <c r="K36" s="115">
        <f>SUM(E36:J36)</f>
      </c>
      <c r="L36" s="7"/>
      <c r="N36" s="69" t="s">
        <v>192</v>
      </c>
      <c r="O36" s="17" t="s">
        <v>126</v>
      </c>
      <c r="P36" s="74">
        <f>1*(Q32*Q33*Q34*Q35)</f>
      </c>
      <c r="Q36" s="73"/>
    </row>
    <row r="37" spans="1:17" x14ac:dyDescent="0.55000000000000004">
      <c r="A37" s="146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117</v>
      </c>
    </row>
    <row r="38" spans="1:17" x14ac:dyDescent="0.55000000000000004">
      <c r="A38" s="145" t="s">
        <v>8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1</v>
      </c>
      <c r="H38" s="111">
        <v>2</v>
      </c>
      <c r="I38" s="111">
        <v>3</v>
      </c>
      <c r="J38" s="111">
        <v>3</v>
      </c>
      <c r="K38" s="115">
        <f>SUM(E38:J38)</f>
      </c>
      <c r="L38" s="7"/>
      <c r="N38" s="69" t="s">
        <v>193</v>
      </c>
      <c r="O38" s="21" t="s">
        <v>36</v>
      </c>
    </row>
    <row r="39" spans="1:17" x14ac:dyDescent="0.55000000000000004">
      <c r="A39" s="146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118</v>
      </c>
      <c r="O39" s="21" t="s">
        <v>37</v>
      </c>
    </row>
    <row r="40" spans="1:17" x14ac:dyDescent="0.55000000000000004">
      <c r="A40" s="139" t="s">
        <v>52</v>
      </c>
      <c r="B40" s="140"/>
      <c r="C40" s="97"/>
      <c r="D40" s="11">
        <f t="shared" ref="D40:J40" si="13">+SUM(D36:D39)</f>
      </c>
      <c r="E40" s="10">
        <f t="shared" si="13"/>
      </c>
      <c r="F40" s="10">
        <f t="shared" si="13"/>
      </c>
      <c r="G40" s="10">
        <f t="shared" si="13"/>
      </c>
      <c r="H40" s="10">
        <f t="shared" si="13"/>
      </c>
      <c r="I40" s="10">
        <f t="shared" si="13"/>
      </c>
      <c r="J40" s="10">
        <f t="shared" si="13"/>
      </c>
      <c r="K40" s="115">
        <f>SUM(E40:J40)</f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</c>
      <c r="E41" s="18">
        <f>+IFERROR(E40/E35,0)</f>
      </c>
      <c r="F41" s="18">
        <f t="shared" ref="F41:J41" si="15">+IFERROR(F40/F35,0)</f>
      </c>
      <c r="G41" s="18">
        <f t="shared" si="15"/>
      </c>
      <c r="H41" s="18">
        <f t="shared" si="15"/>
      </c>
      <c r="I41" s="18">
        <f t="shared" si="15"/>
      </c>
      <c r="J41" s="18">
        <f t="shared" si="15"/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50</v>
      </c>
      <c r="C43" s="5" t="s">
        <v>149</v>
      </c>
      <c r="D43" s="5" t="s">
        <v>150</v>
      </c>
    </row>
    <row r="44" spans="1:17" x14ac:dyDescent="0.55000000000000004">
      <c r="A44" s="137" t="s">
        <v>26</v>
      </c>
      <c r="B44" s="138"/>
      <c r="C44" s="103"/>
      <c r="D44" s="16" t="s">
        <v>21</v>
      </c>
      <c r="E44" s="31">
        <f>+E75*E76</f>
      </c>
      <c r="F44" s="31">
        <f t="shared" ref="F44:J44" si="16">+F75*F76</f>
      </c>
      <c r="G44" s="31">
        <f t="shared" si="16"/>
      </c>
      <c r="H44" s="31">
        <f t="shared" si="16"/>
      </c>
      <c r="I44" s="31">
        <f t="shared" si="16"/>
      </c>
      <c r="J44" s="31">
        <f t="shared" si="16"/>
      </c>
      <c r="K44" s="11"/>
      <c r="L44" s="7"/>
    </row>
    <row r="45" spans="1:17" x14ac:dyDescent="0.55000000000000004">
      <c r="A45" s="137" t="s">
        <v>131</v>
      </c>
      <c r="B45" s="138"/>
      <c r="C45" s="104">
        <f>+SUM(C65:C72)</f>
      </c>
      <c r="D45" s="80">
        <f>+SUM(D65:D72)</f>
      </c>
      <c r="E45" s="27">
        <f>SUM(E65:E68)+SUM(E71:E72)</f>
      </c>
      <c r="F45" s="27">
        <f t="shared" ref="F45:J45" si="17">SUM(F65:F68)+SUM(F71:F72)</f>
      </c>
      <c r="G45" s="27">
        <f t="shared" si="17"/>
      </c>
      <c r="H45" s="27">
        <f t="shared" si="17"/>
      </c>
      <c r="I45" s="27">
        <f t="shared" si="17"/>
      </c>
      <c r="J45" s="27">
        <f t="shared" si="17"/>
      </c>
      <c r="K45" s="11"/>
      <c r="L45" s="7"/>
    </row>
    <row r="46" spans="1:17" x14ac:dyDescent="0.55000000000000004">
      <c r="A46" s="137" t="s">
        <v>16</v>
      </c>
      <c r="B46" s="138"/>
      <c r="C46" s="103"/>
      <c r="D46" s="16" t="s">
        <v>21</v>
      </c>
      <c r="E46" s="28">
        <f t="shared" ref="E46:J46" si="18">IFERROR(SUM(E65:E67)/(E28-D28),"-")</f>
      </c>
      <c r="F46" s="28">
        <f t="shared" si="18"/>
      </c>
      <c r="G46" s="28">
        <f t="shared" si="18"/>
      </c>
      <c r="H46" s="28">
        <f t="shared" si="18"/>
      </c>
      <c r="I46" s="28">
        <f t="shared" si="18"/>
      </c>
      <c r="J46" s="28">
        <f t="shared" si="18"/>
      </c>
      <c r="K46" s="11"/>
      <c r="L46" s="7"/>
    </row>
    <row r="47" spans="1:17" x14ac:dyDescent="0.55000000000000004">
      <c r="A47" s="137" t="s">
        <v>17</v>
      </c>
      <c r="B47" s="138"/>
      <c r="C47" s="103"/>
      <c r="D47" s="16" t="s">
        <v>21</v>
      </c>
      <c r="E47" s="28">
        <f t="shared" ref="E47:I47" si="19">+E51/E35</f>
      </c>
      <c r="F47" s="28">
        <f t="shared" si="19"/>
      </c>
      <c r="G47" s="28">
        <f t="shared" si="19"/>
      </c>
      <c r="H47" s="28">
        <f t="shared" si="19"/>
      </c>
      <c r="I47" s="28">
        <f t="shared" si="19"/>
      </c>
      <c r="J47" s="28">
        <f>+J51/J35</f>
      </c>
      <c r="K47" s="11"/>
      <c r="L47" s="7"/>
    </row>
    <row r="48" spans="1:17" x14ac:dyDescent="0.55000000000000004">
      <c r="A48" s="137" t="s">
        <v>19</v>
      </c>
      <c r="B48" s="138"/>
      <c r="C48" s="103"/>
      <c r="D48" s="16" t="s">
        <v>21</v>
      </c>
      <c r="E48" s="32">
        <f t="shared" ref="E48:J48" si="20">+SUM(E36:E39)/E35</f>
      </c>
      <c r="F48" s="32">
        <f t="shared" si="20"/>
      </c>
      <c r="G48" s="32">
        <f t="shared" si="20"/>
      </c>
      <c r="H48" s="32">
        <f t="shared" si="20"/>
      </c>
      <c r="I48" s="32">
        <f t="shared" si="20"/>
      </c>
      <c r="J48" s="32">
        <f t="shared" si="20"/>
      </c>
      <c r="K48" s="11"/>
      <c r="L48" s="7"/>
    </row>
    <row r="49" spans="1:12" x14ac:dyDescent="0.55000000000000004">
      <c r="A49" s="139" t="s">
        <v>18</v>
      </c>
      <c r="B49" s="140"/>
      <c r="C49" s="105"/>
      <c r="D49" s="16" t="s">
        <v>21</v>
      </c>
      <c r="E49" s="28">
        <f>+IFERROR(E51/SUM(E36:E39),0)</f>
      </c>
      <c r="F49" s="28">
        <f t="shared" ref="F49:J49" si="21">+IFERROR(F51/SUM(F36:F39),0)</f>
      </c>
      <c r="G49" s="28">
        <f t="shared" si="21"/>
      </c>
      <c r="H49" s="28">
        <f t="shared" si="21"/>
      </c>
      <c r="I49" s="28">
        <f t="shared" si="21"/>
      </c>
      <c r="J49" s="28">
        <f t="shared" si="21"/>
      </c>
      <c r="K49" s="11"/>
      <c r="L49" s="7"/>
    </row>
    <row r="50" spans="1:12" x14ac:dyDescent="0.55000000000000004">
      <c r="A50" s="139" t="s">
        <v>115</v>
      </c>
      <c r="B50" s="140"/>
      <c r="C50" s="105"/>
      <c r="D50" s="64" t="s">
        <v>21</v>
      </c>
      <c r="E50" s="65">
        <f>+E36*$D$8+E38*$D$10</f>
      </c>
      <c r="F50" s="65">
        <f t="shared" ref="F50:J50" si="22">+F36*$D$8+F38*$D$10</f>
      </c>
      <c r="G50" s="65">
        <f t="shared" si="22"/>
      </c>
      <c r="H50" s="65">
        <f t="shared" si="22"/>
      </c>
      <c r="I50" s="65">
        <f t="shared" si="22"/>
      </c>
      <c r="J50" s="65">
        <f t="shared" si="22"/>
      </c>
      <c r="K50" s="11"/>
      <c r="L50" s="7"/>
    </row>
    <row r="51" spans="1:12" x14ac:dyDescent="0.55000000000000004">
      <c r="A51" s="135" t="s">
        <v>68</v>
      </c>
      <c r="B51" s="136"/>
      <c r="C51" s="110">
        <f>+C45</f>
      </c>
      <c r="D51" s="40">
        <f>+D45</f>
      </c>
      <c r="E51" s="40">
        <f>SUM(E45,E50)+E44</f>
      </c>
      <c r="F51" s="40">
        <f t="shared" ref="F51:I51" si="23">SUM(F45,F50)+F44</f>
      </c>
      <c r="G51" s="40">
        <f t="shared" si="23"/>
      </c>
      <c r="H51" s="40">
        <f t="shared" si="23"/>
      </c>
      <c r="I51" s="40">
        <f t="shared" si="23"/>
      </c>
      <c r="J51" s="40">
        <f>SUM(J45,J50)+J44</f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37" t="s">
        <v>26</v>
      </c>
      <c r="B54" s="138"/>
      <c r="C54" s="96"/>
      <c r="D54" s="28">
        <f>+D75*D76</f>
      </c>
      <c r="E54" s="28">
        <f t="shared" ref="E54:J54" si="24">+E75*E76</f>
      </c>
      <c r="F54" s="28">
        <f t="shared" si="24"/>
      </c>
      <c r="G54" s="28">
        <f t="shared" si="24"/>
      </c>
      <c r="H54" s="28">
        <f t="shared" si="24"/>
      </c>
      <c r="I54" s="28">
        <f t="shared" si="24"/>
      </c>
      <c r="J54" s="28">
        <f t="shared" si="24"/>
      </c>
      <c r="K54" s="11"/>
      <c r="L54" s="7"/>
    </row>
    <row r="55" spans="1:12" hidden="1" x14ac:dyDescent="0.55000000000000004">
      <c r="A55" s="137" t="s">
        <v>131</v>
      </c>
      <c r="B55" s="138"/>
      <c r="C55" s="96"/>
      <c r="D55" s="27">
        <f>+SUM(D65:D72)</f>
      </c>
      <c r="E55" s="27">
        <f>SUM(E65:E72)+E54</f>
      </c>
      <c r="F55" s="27">
        <f t="shared" ref="F55:J55" si="25">SUM(F65:F72)+F54</f>
      </c>
      <c r="G55" s="27">
        <f t="shared" si="25"/>
      </c>
      <c r="H55" s="27">
        <f t="shared" si="25"/>
      </c>
      <c r="I55" s="27">
        <f t="shared" si="25"/>
      </c>
      <c r="J55" s="27">
        <f t="shared" si="25"/>
      </c>
      <c r="K55" s="11"/>
      <c r="L55" s="7"/>
    </row>
    <row r="56" spans="1:12" hidden="1" x14ac:dyDescent="0.55000000000000004">
      <c r="A56" s="137" t="s">
        <v>16</v>
      </c>
      <c r="B56" s="138"/>
      <c r="C56" s="96"/>
      <c r="D56" s="39" t="s">
        <v>21</v>
      </c>
      <c r="E56" s="28">
        <f t="shared" ref="E56:J56" si="26">IFERROR(SUM(E65:E67)/(E28-D28),"-")</f>
      </c>
      <c r="F56" s="28">
        <f t="shared" si="26"/>
      </c>
      <c r="G56" s="28">
        <f t="shared" si="26"/>
      </c>
      <c r="H56" s="28">
        <f t="shared" si="26"/>
      </c>
      <c r="I56" s="28">
        <f t="shared" si="26"/>
      </c>
      <c r="J56" s="28">
        <f t="shared" si="26"/>
      </c>
      <c r="K56" s="11"/>
      <c r="L56" s="7"/>
    </row>
    <row r="57" spans="1:12" hidden="1" x14ac:dyDescent="0.55000000000000004">
      <c r="A57" s="137" t="s">
        <v>17</v>
      </c>
      <c r="B57" s="138"/>
      <c r="C57" s="96"/>
      <c r="D57" s="39" t="s">
        <v>21</v>
      </c>
      <c r="E57" s="28">
        <f>+E61/E35</f>
      </c>
      <c r="F57" s="28">
        <f t="shared" ref="F57:J57" si="27">+F61/F35</f>
      </c>
      <c r="G57" s="28">
        <f t="shared" si="27"/>
      </c>
      <c r="H57" s="28">
        <f t="shared" si="27"/>
      </c>
      <c r="I57" s="28">
        <f t="shared" si="27"/>
      </c>
      <c r="J57" s="28">
        <f t="shared" si="27"/>
      </c>
      <c r="K57" s="11"/>
      <c r="L57" s="7"/>
    </row>
    <row r="58" spans="1:12" hidden="1" x14ac:dyDescent="0.55000000000000004">
      <c r="A58" s="137" t="s">
        <v>19</v>
      </c>
      <c r="B58" s="138"/>
      <c r="C58" s="96"/>
      <c r="D58" s="39" t="s">
        <v>21</v>
      </c>
      <c r="E58" s="32">
        <f t="shared" ref="E58:J58" si="28">+SUM(E36:E39)/E35</f>
      </c>
      <c r="F58" s="32">
        <f t="shared" si="28"/>
      </c>
      <c r="G58" s="32">
        <f t="shared" si="28"/>
      </c>
      <c r="H58" s="32">
        <f t="shared" si="28"/>
      </c>
      <c r="I58" s="32">
        <f t="shared" si="28"/>
      </c>
      <c r="J58" s="32">
        <f t="shared" si="28"/>
      </c>
      <c r="K58" s="11"/>
      <c r="L58" s="7"/>
    </row>
    <row r="59" spans="1:12" hidden="1" x14ac:dyDescent="0.55000000000000004">
      <c r="A59" s="139" t="s">
        <v>18</v>
      </c>
      <c r="B59" s="140"/>
      <c r="C59" s="97"/>
      <c r="D59" s="28"/>
      <c r="E59" s="28">
        <f>+IFERROR(E55/E40,0)</f>
      </c>
      <c r="F59" s="28">
        <f t="shared" ref="F59:J59" si="29">+IFERROR(F55/F40,0)</f>
      </c>
      <c r="G59" s="28">
        <f t="shared" si="29"/>
      </c>
      <c r="H59" s="28">
        <f t="shared" si="29"/>
      </c>
      <c r="I59" s="28">
        <f t="shared" si="29"/>
      </c>
      <c r="J59" s="28">
        <f t="shared" si="29"/>
      </c>
      <c r="K59" s="11"/>
      <c r="L59" s="7"/>
    </row>
    <row r="60" spans="1:12" hidden="1" x14ac:dyDescent="0.55000000000000004">
      <c r="A60" s="139" t="s">
        <v>115</v>
      </c>
      <c r="B60" s="140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35" t="s">
        <v>68</v>
      </c>
      <c r="B61" s="136"/>
      <c r="C61" s="98"/>
      <c r="D61" s="40">
        <f>+D55</f>
      </c>
      <c r="E61" s="40">
        <f>+SUM(E65:E72)+E54</f>
      </c>
      <c r="F61" s="40">
        <f t="shared" ref="F61:J61" si="30">+SUM(F65:F72)+F54</f>
      </c>
      <c r="G61" s="40">
        <f t="shared" si="30"/>
      </c>
      <c r="H61" s="40">
        <f t="shared" si="30"/>
      </c>
      <c r="I61" s="40">
        <f t="shared" si="30"/>
      </c>
      <c r="J61" s="40">
        <f t="shared" si="30"/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172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194</v>
      </c>
    </row>
    <row r="67" spans="1:16" x14ac:dyDescent="0.55000000000000004">
      <c r="B67" s="6" t="s">
        <v>174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175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</c>
      <c r="F68" s="28">
        <f t="shared" si="31"/>
      </c>
      <c r="G68" s="28">
        <f t="shared" si="31"/>
      </c>
      <c r="H68" s="28">
        <f t="shared" si="31"/>
      </c>
      <c r="I68" s="28">
        <f t="shared" si="31"/>
      </c>
      <c r="J68" s="28">
        <f t="shared" si="31"/>
      </c>
      <c r="N68" s="69" t="s">
        <v>176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184</v>
      </c>
      <c r="C69" s="90">
        <v>0</v>
      </c>
      <c r="D69" s="51">
        <v>100000</v>
      </c>
      <c r="E69" s="28">
        <v>150000</v>
      </c>
      <c r="F69" s="28">
        <v>150000</v>
      </c>
      <c r="G69" s="28">
        <v>150000</v>
      </c>
      <c r="H69" s="28">
        <v>150000</v>
      </c>
      <c r="I69" s="28">
        <v>150000</v>
      </c>
      <c r="J69" s="28">
        <v>150000</v>
      </c>
      <c r="N69" s="69" t="s">
        <v>185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</c>
      <c r="E73" s="114">
        <f t="shared" ref="E73:J73" si="32">SUM(E65:E72)+E54</f>
      </c>
      <c r="F73" s="114">
        <f t="shared" si="32"/>
      </c>
      <c r="G73" s="114">
        <f t="shared" si="32"/>
      </c>
      <c r="H73" s="114">
        <f t="shared" si="32"/>
      </c>
      <c r="I73" s="114">
        <f t="shared" si="32"/>
      </c>
      <c r="J73" s="114">
        <f t="shared" si="32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</c>
      <c r="E75" s="41">
        <f t="shared" si="33"/>
      </c>
      <c r="F75" s="41">
        <f t="shared" si="33"/>
      </c>
      <c r="G75" s="41">
        <f t="shared" si="33"/>
      </c>
      <c r="H75" s="41">
        <f t="shared" si="33"/>
      </c>
      <c r="I75" s="41">
        <f t="shared" si="33"/>
      </c>
      <c r="J75" s="41">
        <f t="shared" si="33"/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4"/>
      </c>
      <c r="F76" s="5">
        <f t="shared" si="34"/>
      </c>
      <c r="G76" s="5">
        <f t="shared" si="34"/>
      </c>
      <c r="H76" s="5">
        <f t="shared" si="34"/>
      </c>
      <c r="I76" s="5">
        <f t="shared" si="34"/>
      </c>
      <c r="J76" s="5">
        <f t="shared" si="34"/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296F2-79D8-5023-B49B-E468DC771929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>
      <c r="A4" s="85" t="s">
        <v>139</v>
      </c>
      <c r="B4" s="7"/>
      <c r="C4" s="86">
        <f>+'SIM②_成果報酬'!D24</f>
      </c>
      <c r="D4" s="28">
        <f>+'SIM②_成果報酬'!G51</f>
      </c>
      <c r="E4" s="28">
        <f>+'SIM②_成果報酬'!J51</f>
      </c>
      <c r="F4" s="28"/>
    </row>
    <row r="5" spans="1:25" x14ac:dyDescent="0.55000000000000004" hidden="1">
      <c r="A5" s="85" t="s">
        <v>140</v>
      </c>
      <c r="B5" s="7"/>
      <c r="C5" s="86">
        <f>+'SIM②_成果報酬'!D25</f>
      </c>
      <c r="D5" s="28">
        <f>+'SIM②_成果報酬'!G61</f>
      </c>
      <c r="E5" s="28">
        <f>+'SIM②_成果報酬'!J61</f>
      </c>
      <c r="F5" s="27"/>
    </row>
    <row r="6" spans="1:25" x14ac:dyDescent="0.55000000000000004">
      <c r="A6" s="85" t="s">
        <v>74</v>
      </c>
      <c r="B6" s="7"/>
      <c r="C6" s="117">
        <f>+'SIM②_成果報酬'!D28</f>
      </c>
      <c r="D6" s="87">
        <f>+'SIM②_成果報酬'!G28</f>
      </c>
      <c r="E6" s="87">
        <f>+'SIM②_成果報酬'!J28</f>
      </c>
      <c r="F6" s="10"/>
    </row>
    <row r="7" spans="1:25" x14ac:dyDescent="0.55000000000000004">
      <c r="A7" s="85" t="s">
        <v>75</v>
      </c>
      <c r="B7" s="7"/>
      <c r="C7" s="88">
        <f>+'SIM②_成果報酬'!D27</f>
      </c>
      <c r="D7" s="89">
        <f>+'SIM②_成果報酬'!G27</f>
      </c>
      <c r="E7" s="89">
        <f>+'SIM②_成果報酬'!J27</f>
      </c>
      <c r="F7" s="89"/>
    </row>
    <row r="8" spans="1:25" x14ac:dyDescent="0.55000000000000004">
      <c r="A8" s="85" t="s">
        <v>76</v>
      </c>
      <c r="B8" s="7"/>
      <c r="C8" s="117">
        <f>+'SIM②_成果報酬'!D29</f>
      </c>
      <c r="D8" s="10">
        <f>+'SIM②_成果報酬'!G29</f>
      </c>
      <c r="E8" s="10">
        <f>+'SIM②_成果報酬'!J29</f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+'SIM②_成果報酬'!D34</f>
      </c>
      <c r="D10" s="10">
        <f>+'SIM②_成果報酬'!G34</f>
      </c>
      <c r="E10" s="10">
        <f>+'SIM②_成果報酬'!J34</f>
      </c>
      <c r="F10" s="10"/>
    </row>
    <row r="11" spans="1:25" x14ac:dyDescent="0.55000000000000004">
      <c r="A11" s="85" t="s">
        <v>79</v>
      </c>
      <c r="B11" s="7"/>
      <c r="C11" s="117">
        <f>+'SIM②_成果報酬'!D35</f>
      </c>
      <c r="D11" s="10">
        <f>+'SIM②_成果報酬'!G35</f>
      </c>
      <c r="E11" s="10">
        <f>+'SIM②_成果報酬'!J35</f>
      </c>
      <c r="F11" s="10"/>
    </row>
    <row r="12" spans="1:25" x14ac:dyDescent="0.55000000000000004">
      <c r="A12" s="85" t="s">
        <v>146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55000000000000004" hidden="1">
      <c r="A13" s="85" t="s">
        <v>147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164</v>
      </c>
      <c r="B15" s="7"/>
      <c r="C15" s="87">
        <f>+'SIM②_成果報酬'!$H$10</f>
      </c>
      <c r="D15" s="87">
        <f>+'SIM②_成果報酬'!$H$10</f>
      </c>
      <c r="E15" s="87">
        <f>+'SIM②_成果報酬'!$H$10</f>
      </c>
      <c r="F15" s="87"/>
      <c r="R15" s="5" t="s">
        <v>57</v>
      </c>
    </row>
    <row r="16" spans="1:25" x14ac:dyDescent="0.55000000000000004">
      <c r="A16" s="85" t="s">
        <v>177</v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186</v>
      </c>
      <c r="B17" s="7"/>
      <c r="C17" s="87">
        <f>+'SIM②_成果報酬'!D36</f>
      </c>
      <c r="D17" s="87">
        <f>+'SIM②_成果報酬'!G36</f>
      </c>
      <c r="E17" s="87">
        <f>+'SIM②_成果報酬'!J36</f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+'SIM②_成果報酬'!D37</f>
      </c>
      <c r="D18" s="87">
        <f>+'SIM②_成果報酬'!G37</f>
      </c>
      <c r="E18" s="87">
        <f>+'SIM②_成果報酬'!J37</f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</c>
      <c r="Y18" s="35">
        <v>2.5</v>
      </c>
    </row>
    <row r="19" spans="1:25" x14ac:dyDescent="0.55000000000000004">
      <c r="A19" s="85" t="s">
        <v>187</v>
      </c>
      <c r="B19" s="7"/>
      <c r="C19" s="87">
        <f>+'SIM②_成果報酬'!D38</f>
      </c>
      <c r="D19" s="87">
        <f>+'SIM②_成果報酬'!G38</f>
      </c>
      <c r="E19" s="87">
        <f>+'SIM②_成果報酬'!J38</f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+'SIM②_成果報酬'!D39</f>
      </c>
      <c r="D20" s="87">
        <f>+'SIM②_成果報酬'!G39</f>
      </c>
      <c r="E20" s="87">
        <f>+'SIM②_成果報酬'!J39</f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141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55000000000000004" hidden="1">
      <c r="A23" s="85" t="s">
        <v>142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+'SIM②_成果報酬'!E68+C29*C30</f>
      </c>
      <c r="D25" s="10">
        <f>+'SIM②_成果報酬'!G68+D29*D30</f>
      </c>
      <c r="E25" s="10">
        <f>+'SIM②_成果報酬'!J68+E29*E30</f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SIM①_コンサル</vt:lpstr>
      <vt:lpstr>SIM①_比較</vt:lpstr>
      <vt:lpstr>SIM②_成果報酬</vt:lpstr>
      <vt:lpstr>SIM②_比較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2026-10-27T08:10:22Z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
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A27D118C-E5AE-48BE-B104-54DFFCAAFE0C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①_月4投稿" sheetId="1" r:id="rId1"/>
    <sheet name="SIM①_比較" sheetId="2" r:id="rId2"/>
    <sheet name="SIM②_月5投稿" sheetId="3" r:id="rId3"/>
    <sheet name="SIM②_比較" sheetId="4" r:id="rId4"/>
    <sheet name="SIM考え方" sheetId="5" r:id="rId5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E22" i="5"/>
  <c r="E17" i="5"/>
  <c r="E12" i="5"/>
  <c r="E7" i="5"/>
  <c r="E20" i="4"/>
  <c r="D20" i="4"/>
  <c r="C20" i="4"/>
  <c r="E19" i="4"/>
  <c r="D19" i="4"/>
  <c r="C19" i="4"/>
  <c r="X18" i="4"/>
  <c r="E18" i="4"/>
  <c r="D18" i="4"/>
  <c r="C18" i="4"/>
  <c r="C17" i="4"/>
  <c r="C16" i="4"/>
  <c r="C7" i="4"/>
  <c r="C6" i="4"/>
  <c r="C5" i="4"/>
  <c r="C4" i="4"/>
  <c r="C22" i="4" s="1"/>
  <c r="D73" i="3"/>
  <c r="D55" i="3"/>
  <c r="D61" i="3" s="1"/>
  <c r="D45" i="3"/>
  <c r="D51" i="3" s="1"/>
  <c r="C45" i="3"/>
  <c r="C51" i="3" s="1"/>
  <c r="D40" i="3"/>
  <c r="K39" i="3"/>
  <c r="B39" i="3"/>
  <c r="K38" i="3"/>
  <c r="B38" i="3"/>
  <c r="K37" i="3"/>
  <c r="B37" i="3"/>
  <c r="B36" i="3"/>
  <c r="Q35" i="3"/>
  <c r="Q34" i="3"/>
  <c r="Q33" i="3"/>
  <c r="Q32" i="3"/>
  <c r="D29" i="3"/>
  <c r="F27" i="3"/>
  <c r="G27" i="3" s="1"/>
  <c r="J25" i="3"/>
  <c r="I25" i="3"/>
  <c r="H25" i="3"/>
  <c r="G25" i="3"/>
  <c r="F25" i="3"/>
  <c r="E25" i="3"/>
  <c r="J24" i="3"/>
  <c r="I24" i="3"/>
  <c r="H24" i="3"/>
  <c r="G24" i="3"/>
  <c r="F24" i="3"/>
  <c r="E24" i="3"/>
  <c r="Y19" i="3"/>
  <c r="D16" i="3"/>
  <c r="D15" i="3"/>
  <c r="E15" i="3" s="1"/>
  <c r="D14" i="3"/>
  <c r="E14" i="3" s="1"/>
  <c r="F14" i="3" s="1"/>
  <c r="G14" i="3" s="1"/>
  <c r="H14" i="3" s="1"/>
  <c r="I14" i="3" s="1"/>
  <c r="J14" i="3" s="1"/>
  <c r="E20" i="2"/>
  <c r="D20" i="2"/>
  <c r="C20" i="2"/>
  <c r="E19" i="2"/>
  <c r="D19" i="2"/>
  <c r="C19" i="2"/>
  <c r="X18" i="2"/>
  <c r="E18" i="2"/>
  <c r="D18" i="2"/>
  <c r="C18" i="2"/>
  <c r="C17" i="2"/>
  <c r="C16" i="2"/>
  <c r="C7" i="2"/>
  <c r="C6" i="2"/>
  <c r="C5" i="2"/>
  <c r="C4" i="2"/>
  <c r="C22" i="2" s="1"/>
  <c r="D73" i="1"/>
  <c r="D55" i="1"/>
  <c r="D61" i="1" s="1"/>
  <c r="D45" i="1"/>
  <c r="D51" i="1" s="1"/>
  <c r="C45" i="1"/>
  <c r="C51" i="1" s="1"/>
  <c r="D40" i="1"/>
  <c r="K39" i="1"/>
  <c r="B39" i="1"/>
  <c r="K38" i="1"/>
  <c r="B38" i="1"/>
  <c r="K37" i="1"/>
  <c r="B37" i="1"/>
  <c r="B36" i="1"/>
  <c r="Q35" i="1"/>
  <c r="Q34" i="1"/>
  <c r="Q33" i="1"/>
  <c r="Q32" i="1"/>
  <c r="D29" i="1"/>
  <c r="F27" i="1"/>
  <c r="G27" i="1" s="1"/>
  <c r="J25" i="1"/>
  <c r="I25" i="1"/>
  <c r="H25" i="1"/>
  <c r="G25" i="1"/>
  <c r="F25" i="1"/>
  <c r="E25" i="1"/>
  <c r="J24" i="1"/>
  <c r="I24" i="1"/>
  <c r="H24" i="1"/>
  <c r="G24" i="1"/>
  <c r="F24" i="1"/>
  <c r="E24" i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P36" i="1" l="1"/>
  <c r="P36" i="3"/>
  <c r="C23" i="4"/>
  <c r="D75" i="3"/>
  <c r="C10" i="4"/>
  <c r="C29" i="4" s="1"/>
  <c r="C30" i="4" s="1"/>
  <c r="D31" i="3"/>
  <c r="D35" i="3" s="1"/>
  <c r="C8" i="4"/>
  <c r="H27" i="3"/>
  <c r="I27" i="3" s="1"/>
  <c r="J27" i="3" s="1"/>
  <c r="E7" i="4" s="1"/>
  <c r="D7" i="4"/>
  <c r="E16" i="3"/>
  <c r="F16" i="3" s="1"/>
  <c r="G16" i="3" s="1"/>
  <c r="C15" i="4"/>
  <c r="F15" i="3"/>
  <c r="E23" i="3"/>
  <c r="E26" i="3" s="1"/>
  <c r="C23" i="2"/>
  <c r="D34" i="1"/>
  <c r="D31" i="1"/>
  <c r="D35" i="1" s="1"/>
  <c r="C8" i="2"/>
  <c r="H27" i="1"/>
  <c r="I27" i="1" s="1"/>
  <c r="J27" i="1" s="1"/>
  <c r="E7" i="2" s="1"/>
  <c r="D7" i="2"/>
  <c r="E16" i="1"/>
  <c r="F16" i="1" s="1"/>
  <c r="G16" i="1" s="1"/>
  <c r="C15" i="2"/>
  <c r="F15" i="1"/>
  <c r="E23" i="1"/>
  <c r="E26" i="1" s="1"/>
  <c r="D76" i="3" l="1"/>
  <c r="D54" i="3" s="1"/>
  <c r="D41" i="3"/>
  <c r="C11" i="4"/>
  <c r="C12" i="4" s="1"/>
  <c r="C13" i="4" s="1"/>
  <c r="D15" i="4"/>
  <c r="H16" i="3"/>
  <c r="I16" i="3" s="1"/>
  <c r="J16" i="3" s="1"/>
  <c r="E15" i="4" s="1"/>
  <c r="G15" i="3"/>
  <c r="H15" i="3" s="1"/>
  <c r="I15" i="3" s="1"/>
  <c r="J15" i="3" s="1"/>
  <c r="F23" i="3"/>
  <c r="E28" i="3"/>
  <c r="E33" i="3"/>
  <c r="C10" i="2"/>
  <c r="C29" i="2" s="1"/>
  <c r="C30" i="2" s="1"/>
  <c r="D75" i="1"/>
  <c r="D41" i="1"/>
  <c r="C11" i="2"/>
  <c r="C12" i="2" s="1"/>
  <c r="C13" i="2" s="1"/>
  <c r="H16" i="1"/>
  <c r="I16" i="1" s="1"/>
  <c r="J16" i="1" s="1"/>
  <c r="E15" i="2" s="1"/>
  <c r="D15" i="2"/>
  <c r="G15" i="1"/>
  <c r="H15" i="1" s="1"/>
  <c r="I15" i="1" s="1"/>
  <c r="J15" i="1" s="1"/>
  <c r="F23" i="1"/>
  <c r="E28" i="1"/>
  <c r="E33" i="1"/>
  <c r="G23" i="3" l="1"/>
  <c r="F26" i="3"/>
  <c r="F33" i="3" s="1"/>
  <c r="F28" i="3"/>
  <c r="E29" i="3"/>
  <c r="E56" i="3"/>
  <c r="E46" i="3"/>
  <c r="D76" i="1"/>
  <c r="D54" i="1" s="1"/>
  <c r="G23" i="1"/>
  <c r="F26" i="1"/>
  <c r="E29" i="1"/>
  <c r="E46" i="1"/>
  <c r="E56" i="1"/>
  <c r="H23" i="3" l="1"/>
  <c r="G26" i="3"/>
  <c r="F29" i="3"/>
  <c r="F56" i="3"/>
  <c r="F46" i="3"/>
  <c r="E31" i="3"/>
  <c r="E35" i="3" s="1"/>
  <c r="E34" i="3"/>
  <c r="H23" i="1"/>
  <c r="G26" i="1"/>
  <c r="G33" i="1" s="1"/>
  <c r="E31" i="1"/>
  <c r="E35" i="1" s="1"/>
  <c r="E36" i="1" s="1"/>
  <c r="E34" i="1"/>
  <c r="F33" i="1"/>
  <c r="F28" i="1"/>
  <c r="I23" i="3" l="1"/>
  <c r="H26" i="3"/>
  <c r="H33" i="3" s="1"/>
  <c r="F31" i="3"/>
  <c r="F35" i="3" s="1"/>
  <c r="F34" i="3"/>
  <c r="E36" i="3"/>
  <c r="E68" i="3"/>
  <c r="E75" i="3"/>
  <c r="I23" i="1"/>
  <c r="H26" i="1"/>
  <c r="H33" i="1" s="1"/>
  <c r="E68" i="1"/>
  <c r="E75" i="1"/>
  <c r="F56" i="1"/>
  <c r="F46" i="1"/>
  <c r="F29" i="1"/>
  <c r="G28" i="1"/>
  <c r="G33" i="3"/>
  <c r="G28" i="3"/>
  <c r="E48" i="1" l="1"/>
  <c r="E58" i="1"/>
  <c r="J23" i="3"/>
  <c r="J26" i="3" s="1"/>
  <c r="J33" i="3" s="1"/>
  <c r="I26" i="3"/>
  <c r="I33" i="3" s="1"/>
  <c r="F36" i="3"/>
  <c r="F68" i="3"/>
  <c r="F45" i="3" s="1"/>
  <c r="F75" i="3"/>
  <c r="E40" i="3"/>
  <c r="E50" i="3"/>
  <c r="C25" i="4"/>
  <c r="E45" i="3"/>
  <c r="E76" i="3"/>
  <c r="J23" i="1"/>
  <c r="J26" i="1" s="1"/>
  <c r="J33" i="1" s="1"/>
  <c r="I26" i="1"/>
  <c r="I33" i="1" s="1"/>
  <c r="E50" i="1"/>
  <c r="E40" i="1"/>
  <c r="C25" i="2"/>
  <c r="E45" i="1"/>
  <c r="E76" i="1"/>
  <c r="F31" i="1"/>
  <c r="F35" i="1" s="1"/>
  <c r="F36" i="1" s="1"/>
  <c r="F34" i="1"/>
  <c r="H28" i="1"/>
  <c r="G29" i="1"/>
  <c r="G46" i="1"/>
  <c r="G56" i="1"/>
  <c r="D6" i="2"/>
  <c r="D6" i="4"/>
  <c r="G46" i="3"/>
  <c r="G56" i="3"/>
  <c r="G29" i="3"/>
  <c r="H28" i="3"/>
  <c r="E48" i="3"/>
  <c r="E58" i="3"/>
  <c r="E44" i="3" l="1"/>
  <c r="E51" i="3" s="1"/>
  <c r="E54" i="3"/>
  <c r="F40" i="3"/>
  <c r="F41" i="3" s="1"/>
  <c r="F50" i="3"/>
  <c r="F76" i="3"/>
  <c r="E41" i="3"/>
  <c r="E41" i="1"/>
  <c r="F48" i="1"/>
  <c r="F58" i="1"/>
  <c r="F68" i="1"/>
  <c r="F45" i="1" s="1"/>
  <c r="F75" i="1"/>
  <c r="I28" i="1"/>
  <c r="H29" i="1"/>
  <c r="H46" i="1"/>
  <c r="H56" i="1"/>
  <c r="G31" i="1"/>
  <c r="G35" i="1" s="1"/>
  <c r="G36" i="1" s="1"/>
  <c r="G34" i="1"/>
  <c r="D8" i="2"/>
  <c r="G31" i="3"/>
  <c r="G35" i="3" s="1"/>
  <c r="G34" i="3"/>
  <c r="D8" i="4"/>
  <c r="I28" i="3"/>
  <c r="H29" i="3"/>
  <c r="H56" i="3"/>
  <c r="H46" i="3"/>
  <c r="F48" i="3"/>
  <c r="F58" i="3"/>
  <c r="E44" i="1"/>
  <c r="E51" i="1" s="1"/>
  <c r="E54" i="1"/>
  <c r="E47" i="3" l="1"/>
  <c r="E49" i="3"/>
  <c r="E61" i="3"/>
  <c r="E57" i="3" s="1"/>
  <c r="E55" i="3"/>
  <c r="E59" i="3" s="1"/>
  <c r="E73" i="3"/>
  <c r="F50" i="1"/>
  <c r="F40" i="1"/>
  <c r="F76" i="1"/>
  <c r="J28" i="1"/>
  <c r="I29" i="1"/>
  <c r="I46" i="1"/>
  <c r="I56" i="1"/>
  <c r="H31" i="1"/>
  <c r="H35" i="1" s="1"/>
  <c r="H36" i="1" s="1"/>
  <c r="H34" i="1"/>
  <c r="D11" i="2"/>
  <c r="G68" i="1"/>
  <c r="D10" i="2"/>
  <c r="D29" i="2" s="1"/>
  <c r="D30" i="2" s="1"/>
  <c r="G75" i="1"/>
  <c r="G36" i="3"/>
  <c r="G58" i="3" s="1"/>
  <c r="G48" i="3"/>
  <c r="D11" i="4"/>
  <c r="G68" i="3"/>
  <c r="G75" i="3"/>
  <c r="D10" i="4"/>
  <c r="D29" i="4" s="1"/>
  <c r="D30" i="4" s="1"/>
  <c r="J28" i="3"/>
  <c r="I29" i="3"/>
  <c r="I56" i="3"/>
  <c r="I46" i="3"/>
  <c r="H31" i="3"/>
  <c r="H35" i="3" s="1"/>
  <c r="H34" i="3"/>
  <c r="E49" i="1"/>
  <c r="E47" i="1"/>
  <c r="E55" i="1"/>
  <c r="E59" i="1" s="1"/>
  <c r="E73" i="1"/>
  <c r="E61" i="1"/>
  <c r="E57" i="1" s="1"/>
  <c r="F54" i="3"/>
  <c r="F44" i="3"/>
  <c r="F51" i="3" s="1"/>
  <c r="F54" i="1" l="1"/>
  <c r="F44" i="1"/>
  <c r="F51" i="1" s="1"/>
  <c r="F41" i="1"/>
  <c r="J29" i="1"/>
  <c r="J46" i="1"/>
  <c r="J56" i="1"/>
  <c r="E6" i="2"/>
  <c r="I31" i="1"/>
  <c r="I35" i="1" s="1"/>
  <c r="I36" i="1" s="1"/>
  <c r="I34" i="1"/>
  <c r="H58" i="1"/>
  <c r="H48" i="1"/>
  <c r="H68" i="1"/>
  <c r="H45" i="1" s="1"/>
  <c r="H75" i="1"/>
  <c r="G50" i="1"/>
  <c r="G40" i="1"/>
  <c r="D17" i="2"/>
  <c r="D16" i="2" s="1"/>
  <c r="G45" i="1"/>
  <c r="D25" i="2"/>
  <c r="G76" i="1"/>
  <c r="G54" i="1" s="1"/>
  <c r="G44" i="1"/>
  <c r="G40" i="3"/>
  <c r="G50" i="3"/>
  <c r="D17" i="4"/>
  <c r="D16" i="4" s="1"/>
  <c r="D25" i="4"/>
  <c r="G45" i="3"/>
  <c r="G76" i="3"/>
  <c r="J29" i="3"/>
  <c r="J46" i="3"/>
  <c r="J56" i="3"/>
  <c r="E6" i="4"/>
  <c r="I31" i="3"/>
  <c r="I35" i="3" s="1"/>
  <c r="I34" i="3"/>
  <c r="H36" i="3"/>
  <c r="H68" i="3"/>
  <c r="H45" i="3" s="1"/>
  <c r="H75" i="3"/>
  <c r="F55" i="3"/>
  <c r="F59" i="3" s="1"/>
  <c r="F73" i="3"/>
  <c r="F61" i="3"/>
  <c r="F57" i="3" s="1"/>
  <c r="F49" i="3"/>
  <c r="F47" i="3"/>
  <c r="G58" i="1"/>
  <c r="G48" i="1"/>
  <c r="G54" i="3" l="1"/>
  <c r="G44" i="3"/>
  <c r="G51" i="3" s="1"/>
  <c r="F47" i="1"/>
  <c r="F49" i="1"/>
  <c r="F61" i="1"/>
  <c r="F57" i="1" s="1"/>
  <c r="F73" i="1"/>
  <c r="F55" i="1"/>
  <c r="F59" i="1" s="1"/>
  <c r="G51" i="1"/>
  <c r="G49" i="1" s="1"/>
  <c r="J31" i="1"/>
  <c r="J35" i="1" s="1"/>
  <c r="J36" i="1" s="1"/>
  <c r="J34" i="1"/>
  <c r="E8" i="2"/>
  <c r="I48" i="1"/>
  <c r="I58" i="1"/>
  <c r="I68" i="1"/>
  <c r="I45" i="1" s="1"/>
  <c r="I75" i="1"/>
  <c r="H40" i="1"/>
  <c r="H41" i="1" s="1"/>
  <c r="H50" i="1"/>
  <c r="H76" i="1"/>
  <c r="G61" i="1"/>
  <c r="G73" i="1"/>
  <c r="G55" i="1"/>
  <c r="G59" i="1" s="1"/>
  <c r="G41" i="3"/>
  <c r="G61" i="3"/>
  <c r="G73" i="3"/>
  <c r="G55" i="3"/>
  <c r="G59" i="3" s="1"/>
  <c r="J31" i="3"/>
  <c r="J35" i="3" s="1"/>
  <c r="J34" i="3"/>
  <c r="E8" i="4"/>
  <c r="I36" i="3"/>
  <c r="I68" i="3"/>
  <c r="I45" i="3" s="1"/>
  <c r="I75" i="3"/>
  <c r="H40" i="3"/>
  <c r="H50" i="3"/>
  <c r="H76" i="3"/>
  <c r="G41" i="1"/>
  <c r="H58" i="3"/>
  <c r="H48" i="3"/>
  <c r="D4" i="4" l="1"/>
  <c r="G47" i="3"/>
  <c r="G49" i="3"/>
  <c r="I48" i="3"/>
  <c r="I58" i="3"/>
  <c r="H54" i="1"/>
  <c r="H44" i="1"/>
  <c r="H51" i="1" s="1"/>
  <c r="G47" i="1"/>
  <c r="D4" i="2"/>
  <c r="J58" i="1"/>
  <c r="J48" i="1"/>
  <c r="E11" i="2"/>
  <c r="J68" i="1"/>
  <c r="E10" i="2"/>
  <c r="E29" i="2" s="1"/>
  <c r="E30" i="2" s="1"/>
  <c r="J75" i="1"/>
  <c r="K36" i="1"/>
  <c r="I50" i="1"/>
  <c r="I40" i="1"/>
  <c r="I76" i="1"/>
  <c r="H61" i="1"/>
  <c r="H57" i="1" s="1"/>
  <c r="H73" i="1"/>
  <c r="H55" i="1"/>
  <c r="H59" i="1" s="1"/>
  <c r="D5" i="2"/>
  <c r="G57" i="1"/>
  <c r="D5" i="4"/>
  <c r="G57" i="3"/>
  <c r="E11" i="4"/>
  <c r="J36" i="3"/>
  <c r="J68" i="3"/>
  <c r="J75" i="3"/>
  <c r="E10" i="4"/>
  <c r="E29" i="4" s="1"/>
  <c r="E30" i="4" s="1"/>
  <c r="I40" i="3"/>
  <c r="I41" i="3" s="1"/>
  <c r="I50" i="3"/>
  <c r="I76" i="3"/>
  <c r="I44" i="3"/>
  <c r="I51" i="3" s="1"/>
  <c r="I54" i="3"/>
  <c r="H41" i="3"/>
  <c r="H54" i="3"/>
  <c r="H44" i="3"/>
  <c r="H51" i="3" s="1"/>
  <c r="D12" i="4" l="1"/>
  <c r="D22" i="4"/>
  <c r="I44" i="1"/>
  <c r="I51" i="1" s="1"/>
  <c r="I54" i="1"/>
  <c r="H47" i="1"/>
  <c r="H49" i="1"/>
  <c r="D12" i="2"/>
  <c r="D22" i="2"/>
  <c r="J50" i="1"/>
  <c r="J40" i="1"/>
  <c r="E17" i="2"/>
  <c r="E16" i="2" s="1"/>
  <c r="E25" i="2"/>
  <c r="J45" i="1"/>
  <c r="J76" i="1"/>
  <c r="I41" i="1"/>
  <c r="I61" i="1"/>
  <c r="I57" i="1" s="1"/>
  <c r="I73" i="1"/>
  <c r="I55" i="1"/>
  <c r="I59" i="1" s="1"/>
  <c r="D13" i="2"/>
  <c r="D23" i="2"/>
  <c r="D13" i="4"/>
  <c r="D23" i="4"/>
  <c r="K36" i="3"/>
  <c r="J50" i="3"/>
  <c r="J40" i="3"/>
  <c r="E17" i="4"/>
  <c r="E16" i="4" s="1"/>
  <c r="E25" i="4"/>
  <c r="J45" i="3"/>
  <c r="J76" i="3"/>
  <c r="I49" i="3"/>
  <c r="I47" i="3"/>
  <c r="I61" i="3"/>
  <c r="I57" i="3" s="1"/>
  <c r="I73" i="3"/>
  <c r="I55" i="3"/>
  <c r="I59" i="3" s="1"/>
  <c r="H55" i="3"/>
  <c r="H59" i="3" s="1"/>
  <c r="H73" i="3"/>
  <c r="H61" i="3"/>
  <c r="H57" i="3" s="1"/>
  <c r="H49" i="3"/>
  <c r="H47" i="3"/>
  <c r="J48" i="3"/>
  <c r="J58" i="3"/>
  <c r="J44" i="3" l="1"/>
  <c r="J51" i="3" s="1"/>
  <c r="J54" i="3"/>
  <c r="I47" i="1"/>
  <c r="I49" i="1"/>
  <c r="J41" i="1"/>
  <c r="K40" i="1"/>
  <c r="J54" i="1"/>
  <c r="J61" i="1" s="1"/>
  <c r="J44" i="1"/>
  <c r="J51" i="1" s="1"/>
  <c r="J73" i="1"/>
  <c r="J55" i="1"/>
  <c r="J59" i="1" s="1"/>
  <c r="K40" i="3"/>
  <c r="J41" i="3"/>
  <c r="E4" i="4"/>
  <c r="J47" i="3"/>
  <c r="J49" i="3"/>
  <c r="J61" i="3" l="1"/>
  <c r="J73" i="3"/>
  <c r="J55" i="3"/>
  <c r="J59" i="3" s="1"/>
  <c r="E4" i="2"/>
  <c r="J47" i="1"/>
  <c r="J49" i="1"/>
  <c r="E5" i="2"/>
  <c r="J57" i="1"/>
  <c r="E22" i="4"/>
  <c r="E12" i="4"/>
  <c r="E5" i="4"/>
  <c r="J57" i="3"/>
  <c r="E12" i="2" l="1"/>
  <c r="E22" i="2"/>
  <c r="E13" i="2"/>
  <c r="E23" i="2"/>
  <c r="E13" i="4"/>
  <c r="E23" i="4"/>
</calcChain>
</file>

<file path=xl/sharedStrings.xml><?xml version="1.0" encoding="utf-8"?>
<sst xmlns="http://schemas.openxmlformats.org/spreadsheetml/2006/main" count="507" uniqueCount="201">
  <si>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</si>
  <si>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</si>
  <si>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</si>
  <si>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</si>
  <si>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</si>
  <si>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</si>
  <si>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</si>
  <si>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</si>
  <si>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</si>
  <si>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</si>
  <si>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</si>
  <si>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</si>
  <si>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</si>
  <si>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</si>
  <si>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</si>
  <si>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</si>
  <si>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</si>
  <si>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</si>
  <si>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</si>
  <si>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</si>
  <si>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</si>
  <si>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</si>
  <si>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</si>
  <si>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</si>
  <si>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</si>
  <si>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</si>
  <si>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</si>
  <si>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</si>
  <si>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</si>
  <si>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</si>
  <si>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</si>
  <si>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</si>
  <si>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</si>
  <si>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</si>
  <si>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</si>
  <si>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</si>
  <si>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</si>
  <si>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</si>
  <si>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</si>
  <si>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</si>
  <si>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</si>
  <si>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</si>
  <si>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</si>
  <si>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</si>
  <si>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</si>
  <si>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</si>
  <si>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</si>
  <si>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</si>
  <si>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</si>
  <si>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</si>
  <si>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</si>
  <si>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</si>
  <si>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</si>
  <si>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</si>
  <si>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</si>
  <si>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</si>
  <si>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</si>
  <si>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</si>
  <si>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</si>
  <si>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</si>
  <si>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</si>
  <si>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</si>
  <si>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</si>
  <si>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</si>
  <si>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</si>
  <si>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</si>
  <si>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</si>
  <si>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</si>
  <si>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</si>
  <si>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</si>
  <si>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</si>
  <si>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</si>
  <si>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</si>
  <si>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</si>
  <si>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</si>
  <si>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</si>
  <si>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</si>
  <si>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</si>
  <si>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</si>
  <si>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</si>
  <si>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</si>
  <si>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</si>
  <si>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</si>
  <si>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</si>
  <si>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</si>
  <si>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</si>
  <si>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</si>
  <si>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</si>
  <si>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</si>
  <si>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</si>
  <si>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</si>
  <si>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</si>
  <si>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</si>
  <si>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</si>
  <si>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</si>
  <si>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</si>
  <si>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</si>
  <si>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</si>
  <si>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</si>
  <si>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</si>
  <si>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</si>
  <si>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</si>
  <si>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</si>
  <si>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</si>
  <si>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</si>
  <si>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</si>
  <si>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</si>
  <si>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</si>
  <si>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</si>
  <si>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</si>
  <si>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</si>
  <si>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</si>
  <si>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</si>
  <si>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</si>
  <si>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</si>
  <si>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</si>
  <si>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</si>
  <si>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</si>
  <si>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</si>
  <si>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</si>
  <si>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</si>
  <si>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</si>
  <si>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</si>
  <si>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</si>
  <si>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</si>
  <si>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</si>
  <si>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</si>
  <si>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</si>
  <si>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</si>
  <si>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</si>
  <si>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</si>
  <si>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</si>
  <si>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</si>
  <si>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</si>
  <si>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</si>
  <si>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</si>
  <si>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</si>
  <si>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</si>
  <si>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</si>
  <si>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</si>
  <si>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</si>
  <si>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</si>
  <si>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</si>
  <si>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</si>
  <si>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</si>
  <si>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</si>
  <si>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</si>
  <si>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</si>
  <si>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</si>
  <si>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</si>
  <si>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</si>
  <si>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</si>
  <si>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</si>
  <si>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</si>
  <si>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</si>
  <si>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</si>
  <si>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</si>
  <si>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</si>
  <si>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</si>
  <si>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</si>
  <si>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</si>
  <si>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</si>
  <si>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Ver.</t>
    <phoneticPr fontId="2"/>
  </si>
  <si>
    <t>応募</t>
  </si>
  <si>
    <t>CV＝応募（サイトの「ENTRY」と求人ページの「応募」は同じ登録フォーム）。LINE経由は計測用のフォームで数える。成果報酬型の単価 4,000円（仮）</t>
  </si>
  <si>
    <t>応募（月）</t>
  </si>
  <si>
    <t>サイトからの応募は与件に無いので、仮に月400件（広告費 月約250万円÷1件あたり約6,000円の目安）＝サンクスLINEの母数</t>
  </si>
  <si>
    <t>1か月目</t>
  </si>
  <si>
    <t>2か月目</t>
  </si>
  <si>
    <t>3か月目</t>
  </si>
  <si>
    <t>4か月目</t>
  </si>
  <si>
    <t>5か月目</t>
  </si>
  <si>
    <t>6か月目</t>
  </si>
  <si>
    <t>広告UUは不明なので0（UU全体をサイトのLINEボタン0.5%・ポップアップの式で計算）</t>
  </si>
  <si>
    <t>ポップアップ＝UU×表示55%×クリック12%×追加12%（FMTの式）</t>
  </si>
  <si>
    <t>友だち追加広告（CPF）は入れていない</t>
  </si>
  <si>
    <t>サンクスLINE誘導＝応募×遷移80%×追加45%。マイページ登録（応募）の完了画面からLINEへ</t>
  </si>
  <si>
    <t>サイトのLINEボタン（UU×0.5%・FMTのP15）＋ポップアップ＋サンクスLINE</t>
  </si>
  <si>
    <t>ブロック率：今は不明なので仮に40%。その後は前の月×1.02</t>
  </si>
  <si>
    <t>今の友だち 79,904人（プロフィールの表示・2026年10月）</t>
  </si>
  <si>
    <t>企画配信 月4本（開始時期・エリア別に出し分け。対象は有効な友だちの80%、4か月目から反応しない方を外してさらに8割）。今は週1回（月4本）</t>
  </si>
  <si>
    <t>ステップ配信5通（友だち追加から15日以内）。対象＝その月の新しい友だち（サンクスLINEで追加した応募済みの方は除く）</t>
  </si>
  <si>
    <t>応募＝想定クリック×0.3〜0.6%（運用が育つ想定で月ごとに上げる）。サンクスLINEで追加した方は応募済みなので数えない</t>
  </si>
  <si>
    <t>成果報酬型の固定費＝ツール・アカウント費・通数費（コンサル費は入れない）。成果報酬＝応募×単価</t>
  </si>
  <si>
    <t>通数費は54行（新料金テーブル）で計算</t>
  </si>
  <si>
    <t>ポップアップ</t>
  </si>
  <si>
    <t>ポップアップ：初期1.5万円・月3万円（プランの月額に込み）</t>
  </si>
  <si>
    <t>サンクスLINE誘導</t>
  </si>
  <si>
    <t>サンクスLINE誘導：初期15万円・月3万円〜</t>
  </si>
  <si>
    <t>アカウント費：FMTの式。初期は0（アカウントは既にある）</t>
  </si>
  <si>
    <t>LINE運用コンサル</t>
  </si>
  <si>
    <t>LINE運用コンサル：初期15万円（運用設計・構築）・月額20万円（ポップアップは別に初期1.5万円・月額3万円）</t>
  </si>
  <si>
    <t>応募（サイト全体・月）</t>
  </si>
  <si>
    <t>応募（+LINEOA施策）</t>
  </si>
  <si>
    <t>CV①_応募（LINE経由）</t>
  </si>
  <si>
    <t>株式会社ワクトリ御中_LINEOA施策提案【SIM】プラン②（月5投稿）：ポップアップ</t>
  </si>
  <si>
    <t>サンクスLINE誘導はオプション（このプランのSIMには入れていない）</t>
  </si>
  <si>
    <t>企画配信 月5本（開始時期・エリア別に出し分け。対象は有効な友だちの80%、4か月目から反応しない方を外してさらに8割）。今は週1回（月4本）</t>
  </si>
  <si>
    <t>サンクスLINE誘導：オプション（初期15万円・月3万円〜）</t>
  </si>
  <si>
    <t>LINE運用コンサル：初期20万円（運用設計・構築）・月額30万円（ポップアップは別に初期1.5万円・月額3万円）</t>
  </si>
  <si>
    <t>株式会社ワクトリ御中_LINEOA施策提案【SIM】プラン①（月4投稿）：ポップアップ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</si>
</sst>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42" zoomScaleNormal="55" workbookViewId="0">
      <selection activeCell="D33" sqref="D33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200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163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164</v>
      </c>
      <c r="O8" s="35" t="s">
        <v>158</v>
      </c>
    </row>
    <row r="9" spans="1:25" ht="18" thickBot="1" x14ac:dyDescent="0.6">
      <c r="A9" s="13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165</v>
      </c>
      <c r="H10" s="125">
        <v>400</v>
      </c>
      <c r="I10" s="22" t="s">
        <v>156</v>
      </c>
      <c r="J10" s="29"/>
      <c r="K10" s="118"/>
      <c r="N10" s="132" t="s">
        <v>166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167</v>
      </c>
      <c r="F13" s="36" t="s">
        <v>168</v>
      </c>
      <c r="G13" s="36" t="s">
        <v>169</v>
      </c>
      <c r="H13" s="36" t="s">
        <v>170</v>
      </c>
      <c r="I13" s="36" t="s">
        <v>171</v>
      </c>
      <c r="J13" s="36" t="s">
        <v>172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173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174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116</v>
      </c>
      <c r="C24" s="17"/>
      <c r="D24" s="44" t="s">
        <v>21</v>
      </c>
      <c r="E24" s="46">
        <f t="shared" ref="E24:J24" si="4">IF(E19=FALSE,0,$H$10*0.8*0.45)</f>
        <v>0</v>
      </c>
      <c r="F24" s="63">
        <f t="shared" si="4"/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176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  <v>1109.66004</v>
      </c>
      <c r="F26" s="46">
        <f t="shared" ref="F26:J26" si="6">+SUM(F22:F25)+$H$9*$P$16+($H$8-$H$9)*$P$15</f>
        <v>1109.66004</v>
      </c>
      <c r="G26" s="46">
        <f>+SUM(G22:G25)+$H$9*$P$16+($H$8-$H$9)*$P$15</f>
        <v>1116.4622904</v>
      </c>
      <c r="H26" s="46">
        <f t="shared" si="6"/>
        <v>1123.3325633040001</v>
      </c>
      <c r="I26" s="46">
        <f t="shared" si="6"/>
        <v>1130.2715389370401</v>
      </c>
      <c r="J26" s="46">
        <f t="shared" si="6"/>
        <v>1137.2799043264106</v>
      </c>
      <c r="K26" s="11"/>
      <c r="L26" s="7"/>
      <c r="N26" s="72" t="s">
        <v>177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0.42099999999999999</v>
      </c>
      <c r="E27" s="107">
        <v>0.42099999999999999</v>
      </c>
      <c r="F27" s="47">
        <f>ROUND(E27*1.02,3)</f>
        <v>0.42899999999999999</v>
      </c>
      <c r="G27" s="47">
        <f>ROUND(F27*1.02,3)</f>
        <v>0.438</v>
      </c>
      <c r="H27" s="47">
        <f>ROUND(G27*1.02,3)</f>
        <v>0.44700000000000001</v>
      </c>
      <c r="I27" s="47">
        <f>ROUND(H27*1.02,3)</f>
        <v>0.45600000000000002</v>
      </c>
      <c r="J27" s="47">
        <f>ROUND(I27*1.02,3)</f>
        <v>0.46500000000000002</v>
      </c>
      <c r="K27" s="11"/>
      <c r="L27" s="7"/>
      <c r="N27" t="s">
        <v>178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79904</v>
      </c>
      <c r="E28" s="49">
        <f>+D28+E26</f>
        <v>81013.660040000002</v>
      </c>
      <c r="F28" s="49">
        <f t="shared" ref="F28:J28" si="7">+E28+F26</f>
        <v>82123.320080000005</v>
      </c>
      <c r="G28" s="49">
        <f t="shared" si="7"/>
        <v>83239.782370400004</v>
      </c>
      <c r="H28" s="49">
        <f t="shared" si="7"/>
        <v>84363.114933703997</v>
      </c>
      <c r="I28" s="49">
        <f t="shared" si="7"/>
        <v>85493.386472641039</v>
      </c>
      <c r="J28" s="49">
        <f t="shared" si="7"/>
        <v>86630.666376967449</v>
      </c>
      <c r="K28" s="12"/>
      <c r="L28" s="7"/>
      <c r="N28" t="s">
        <v>179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  <v>46264.415999999997</v>
      </c>
      <c r="E29" s="50">
        <f>+E28*(1-E27)</f>
        <v>46906.909163159995</v>
      </c>
      <c r="F29" s="50">
        <f t="shared" ref="F29:J29" si="8">+F28*(1-F27)</f>
        <v>46892.415765680002</v>
      </c>
      <c r="G29" s="50">
        <f t="shared" si="8"/>
        <v>46780.757692164807</v>
      </c>
      <c r="H29" s="50">
        <f t="shared" si="8"/>
        <v>46652.802558338306</v>
      </c>
      <c r="I29" s="50">
        <f t="shared" si="8"/>
        <v>46508.402241116732</v>
      </c>
      <c r="J29" s="50">
        <f t="shared" si="8"/>
        <v>46347.406511677575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4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180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+D30*D29*0.75*0.41*0.07</f>
      </c>
      <c r="E31" s="63">
        <f>+E29*E30*$P$24*$P$22*$P$23*$P$36</f>
        <v>12856.223148122503</v>
      </c>
      <c r="F31" s="63">
        <f>+F29*F30*$P$24*$P$22*$P$23*$P$36</f>
        <v>12852.250804698013</v>
      </c>
      <c r="G31" s="63">
        <f>+G29*G30*$P$24*$P$22*$P$23*$P$36</f>
        <v>12821.647613504847</v>
      </c>
      <c r="H31" s="63">
        <f>+H29*H30*$P$24*$P$22*$P$23*$P$36*$Q$24</f>
        <v>10229.262185475316</v>
      </c>
      <c r="I31" s="63">
        <f>+I29*I30*$P$24*$P$22*$P$23*$P$36*$Q$24</f>
        <v>10197.600449769765</v>
      </c>
      <c r="J31" s="63">
        <f>+J29*J30*$P$24*$P$22*$P$23*$P$36*$Q$24</f>
        <v>10162.299943972379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8" t="s">
        <v>26</v>
      </c>
      <c r="B34" s="149"/>
      <c r="C34" s="102"/>
      <c r="D34" s="108">
        <f>+D29*D30*0.75</f>
      </c>
      <c r="E34" s="46">
        <f>+E29*E30*$P$24+E26*E32</f>
        <v>118124.88219158399</v>
      </c>
      <c r="F34" s="46">
        <f>+F29*F30*$P$24+F26*F32</f>
        <v>118090.09803763201</v>
      </c>
      <c r="G34" s="46">
        <f>+G29*G30*$P$24+G26*G32</f>
        <v>117856.12991319555</v>
      </c>
      <c r="H34" s="46">
        <f>+H29*H30*$P$24*$Q$24+H26*H32</f>
        <v>95190.043728529563</v>
      </c>
      <c r="I34" s="46">
        <f>+I29*I30*$P$24*$Q$24+I26*I32</f>
        <v>94947.489997629338</v>
      </c>
      <c r="J34" s="46">
        <f>+J29*J30*$P$24*$Q$24+J26*J32</f>
        <v>94673.420024053004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8" t="s">
        <v>25</v>
      </c>
      <c r="B35" s="149"/>
      <c r="C35" s="102"/>
      <c r="D35" s="109">
        <f>+D31*1.02</f>
        <v>5417.3780559359993</v>
      </c>
      <c r="E35" s="50">
        <f>+E31+E33+1.05*(E31+E33)</f>
        <v>27804.042002326081</v>
      </c>
      <c r="F35" s="50">
        <f t="shared" ref="F35:J35" si="11">+F31+F33+1.05*(F31+F33)</f>
        <v>27795.898698305871</v>
      </c>
      <c r="G35" s="50">
        <f t="shared" si="11"/>
        <v>27742.043250497274</v>
      </c>
      <c r="H35" s="50">
        <f t="shared" si="11"/>
        <v>22436.623028115493</v>
      </c>
      <c r="I35" s="50">
        <f t="shared" si="11"/>
        <v>22380.77607404867</v>
      </c>
      <c r="J35" s="50">
        <f t="shared" si="11"/>
        <v>22317.56023733487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50" t="s">
        <v>6</v>
      </c>
      <c r="B36" s="6" t="str">
        <f>+C8</f>
        <v>応募</v>
      </c>
      <c r="C36" s="6"/>
      <c r="D36" s="11">
        <v>0</v>
      </c>
      <c r="E36" s="111">
        <f>ROUND(E35*0.004,0)</f>
        <v>111</v>
      </c>
      <c r="F36" s="111">
        <f>ROUND(F35*0.0045,0)</f>
        <v>125</v>
      </c>
      <c r="G36" s="111">
        <f>ROUND(G35*0.0055,0)</f>
        <v>153</v>
      </c>
      <c r="H36" s="111">
        <f>ROUND(H35*0.0065,0)</f>
        <v>146</v>
      </c>
      <c r="I36" s="111">
        <f>ROUND(I35*0.0075,0)</f>
        <v>168</v>
      </c>
      <c r="J36" s="111">
        <f>ROUND(J35*0.009,0)</f>
        <v>201</v>
      </c>
      <c r="K36" s="115">
        <f>SUM(E36:J36)</f>
        <v>904</v>
      </c>
      <c r="L36" s="7"/>
      <c r="N36" s="69" t="s">
        <v>182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51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50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2">+SUM(D36:D39)</f>
        <v>0</v>
      </c>
      <c r="E40" s="10">
        <f t="shared" si="12"/>
        <v>111</v>
      </c>
      <c r="F40" s="10">
        <f t="shared" si="12"/>
        <v>125</v>
      </c>
      <c r="G40" s="10">
        <f t="shared" si="12"/>
        <v>153</v>
      </c>
      <c r="H40" s="10">
        <f t="shared" si="12"/>
        <v>146</v>
      </c>
      <c r="I40" s="10">
        <f t="shared" si="12"/>
        <v>168</v>
      </c>
      <c r="J40" s="10">
        <f t="shared" si="12"/>
        <v>201</v>
      </c>
      <c r="K40" s="115">
        <f>SUM(E40:J40)</f>
        <v>904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3.9922253027352556E-3</v>
      </c>
      <c r="F41" s="18">
        <f t="shared" ref="F41:J41" si="14">+IFERROR(F40/F35,0)</f>
        <v>4.4970663246667614E-3</v>
      </c>
      <c r="G41" s="18">
        <f t="shared" si="14"/>
        <v>5.5150948550719125E-3</v>
      </c>
      <c r="H41" s="18">
        <f t="shared" si="14"/>
        <v>6.507218123558361E-3</v>
      </c>
      <c r="I41" s="18">
        <f t="shared" si="14"/>
        <v>7.5064421110402043E-3</v>
      </c>
      <c r="J41" s="18">
        <f t="shared" si="14"/>
        <v>9.0063608146444558E-3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  <v>264374.646574752</v>
      </c>
      <c r="F44" s="31">
        <f t="shared" ref="F44:J44" si="15">+F75*F76</f>
        <v>264270.29411289602</v>
      </c>
      <c r="G44" s="31">
        <f t="shared" si="15"/>
        <v>263568.38973958662</v>
      </c>
      <c r="H44" s="31">
        <f t="shared" si="15"/>
        <v>195570.13118558869</v>
      </c>
      <c r="I44" s="31">
        <f t="shared" si="15"/>
        <v>194842.46999288801</v>
      </c>
      <c r="J44" s="31">
        <f t="shared" si="15"/>
        <v>194020.260072159</v>
      </c>
      <c r="K44" s="11"/>
      <c r="L44" s="7"/>
    </row>
    <row r="45" spans="1:17" ht="18" x14ac:dyDescent="0.55000000000000004">
      <c r="A45" s="144" t="s">
        <v>132</v>
      </c>
      <c r="B45" s="145"/>
      <c r="C45" s="104">
        <f>+SUM(C65:C72)</f>
        <v>0</v>
      </c>
      <c r="D45" s="80">
        <f>+SUM(D65:D72)</f>
        <v>215000</v>
      </c>
      <c r="E45" s="27">
        <f t="shared" ref="E45:J45" si="16">SUM(E65:E68)+SUM(E71:E72)</f>
        <v>45000</v>
      </c>
      <c r="F45" s="27">
        <f t="shared" si="16"/>
        <v>45000</v>
      </c>
      <c r="G45" s="27">
        <f t="shared" si="16"/>
        <v>45000</v>
      </c>
      <c r="H45" s="27">
        <f t="shared" si="16"/>
        <v>45000</v>
      </c>
      <c r="I45" s="27">
        <f t="shared" si="16"/>
        <v>45000</v>
      </c>
      <c r="J45" s="27">
        <f t="shared" si="16"/>
        <v>45000</v>
      </c>
      <c r="K45" s="11"/>
      <c r="L45" s="7"/>
      <c r="N45" t="s">
        <v>183</v>
      </c>
    </row>
    <row r="46" spans="1:17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7">+SUM(E65:E67)/(E28-D28)</f>
        <v>27.035307137850914</v>
      </c>
      <c r="F46" s="28">
        <f t="shared" si="17"/>
        <v>27.035307137850914</v>
      </c>
      <c r="G46" s="28">
        <f t="shared" si="17"/>
        <v>26.870589591746796</v>
      </c>
      <c r="H46" s="28">
        <f t="shared" si="17"/>
        <v>26.70624976076785</v>
      </c>
      <c r="I46" s="28">
        <f t="shared" si="17"/>
        <v>26.542294454493064</v>
      </c>
      <c r="J46" s="28">
        <f t="shared" si="17"/>
        <v>26.378730412693315</v>
      </c>
      <c r="K46" s="11"/>
      <c r="L46" s="7"/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8">+E51/E35</f>
        <v>11.126966595319837</v>
      </c>
      <c r="F47" s="28">
        <f t="shared" si="18"/>
        <v>11.126472198999117</v>
      </c>
      <c r="G47" s="28">
        <f t="shared" si="18"/>
        <v>11.122770841115157</v>
      </c>
      <c r="H47" s="28">
        <f t="shared" si="18"/>
        <v>10.72220765505257</v>
      </c>
      <c r="I47" s="28">
        <f t="shared" si="18"/>
        <v>10.716450099824472</v>
      </c>
      <c r="J47" s="28">
        <f>+J51/J35</f>
        <v>10.709963702587162</v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9">+SUM(E36:E39)/E35</f>
        <v>3.9922253027352556E-3</v>
      </c>
      <c r="F48" s="32">
        <f t="shared" si="19"/>
        <v>4.4970663246667614E-3</v>
      </c>
      <c r="G48" s="32">
        <f t="shared" si="19"/>
        <v>5.5150948550719125E-3</v>
      </c>
      <c r="H48" s="32">
        <f t="shared" si="19"/>
        <v>6.507218123558361E-3</v>
      </c>
      <c r="I48" s="32">
        <f t="shared" si="19"/>
        <v>7.5064421110402043E-3</v>
      </c>
      <c r="J48" s="32">
        <f t="shared" si="19"/>
        <v>9.0063608146444558E-3</v>
      </c>
      <c r="K48" s="11"/>
      <c r="L48" s="7"/>
    </row>
    <row r="49" spans="1:14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  <v>2787.1589781509188</v>
      </c>
      <c r="F49" s="28">
        <f t="shared" ref="F49:J49" si="20">+IFERROR(F51/SUM(F36:F39),0)</f>
        <v>2474.1623529031681</v>
      </c>
      <c r="G49" s="28">
        <f t="shared" si="20"/>
        <v>2016.7868610430498</v>
      </c>
      <c r="H49" s="28">
        <f t="shared" si="20"/>
        <v>1647.7406245588265</v>
      </c>
      <c r="I49" s="28">
        <f t="shared" si="20"/>
        <v>1427.6337499576669</v>
      </c>
      <c r="J49" s="28">
        <f t="shared" si="20"/>
        <v>1189.1555227470596</v>
      </c>
      <c r="K49" s="11"/>
      <c r="L49" s="7"/>
    </row>
    <row r="50" spans="1:14" x14ac:dyDescent="0.55000000000000004">
      <c r="A50" s="152" t="s">
        <v>117</v>
      </c>
      <c r="B50" s="153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54" t="s">
        <v>70</v>
      </c>
      <c r="B51" s="155"/>
      <c r="C51" s="110">
        <f>+C45</f>
        <v>0</v>
      </c>
      <c r="D51" s="40">
        <f>+D45</f>
        <v>215000</v>
      </c>
      <c r="E51" s="40">
        <f>SUM(E45,E50)+E44</f>
        <v>309374.646574752</v>
      </c>
      <c r="F51" s="40">
        <f t="shared" ref="F51:I51" si="22">SUM(F45,F50)+F44</f>
        <v>309270.29411289602</v>
      </c>
      <c r="G51" s="40">
        <f t="shared" si="22"/>
        <v>308568.38973958662</v>
      </c>
      <c r="H51" s="40">
        <f t="shared" si="22"/>
        <v>240570.13118558869</v>
      </c>
      <c r="I51" s="40">
        <f t="shared" si="22"/>
        <v>239842.46999288801</v>
      </c>
      <c r="J51" s="40">
        <f>SUM(J45,J50)+J44</f>
        <v>239020.260072159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44" t="s">
        <v>27</v>
      </c>
      <c r="B54" s="145"/>
      <c r="C54" s="96"/>
      <c r="D54" s="28">
        <f>+D75*D76</f>
        <v>465172.99199999997</v>
      </c>
      <c r="E54" s="28">
        <f t="shared" ref="E54:J54" si="23">+E75*E76</f>
        <v>264374.646574752</v>
      </c>
      <c r="F54" s="28">
        <f t="shared" si="23"/>
        <v>264270.29411289602</v>
      </c>
      <c r="G54" s="28">
        <f t="shared" si="23"/>
        <v>263568.38973958662</v>
      </c>
      <c r="H54" s="28">
        <f t="shared" si="23"/>
        <v>195570.13118558869</v>
      </c>
      <c r="I54" s="28">
        <f t="shared" si="23"/>
        <v>194842.46999288801</v>
      </c>
      <c r="J54" s="28">
        <f t="shared" si="23"/>
        <v>194020.260072159</v>
      </c>
      <c r="K54" s="11"/>
      <c r="L54" s="7"/>
      <c r="N54" t="s">
        <v>184</v>
      </c>
    </row>
    <row r="55" spans="1:14" hidden="1" x14ac:dyDescent="0.55000000000000004">
      <c r="A55" s="144" t="s">
        <v>132</v>
      </c>
      <c r="B55" s="145"/>
      <c r="C55" s="96"/>
      <c r="D55" s="27">
        <f>+SUM(D65:D72)</f>
        <v>215000</v>
      </c>
      <c r="E55" s="27">
        <f>SUM(E65:E72)+E54</f>
        <v>609374.64657475194</v>
      </c>
      <c r="F55" s="27">
        <f t="shared" ref="F55:J55" si="24">SUM(F65:F72)+F54</f>
        <v>609270.29411289608</v>
      </c>
      <c r="G55" s="27">
        <f t="shared" si="24"/>
        <v>608568.38973958662</v>
      </c>
      <c r="H55" s="27">
        <f t="shared" si="24"/>
        <v>540570.13118558866</v>
      </c>
      <c r="I55" s="27">
        <f t="shared" si="24"/>
        <v>539842.46999288804</v>
      </c>
      <c r="J55" s="27">
        <f t="shared" si="24"/>
        <v>539020.260072159</v>
      </c>
      <c r="K55" s="11"/>
      <c r="L55" s="7"/>
    </row>
    <row r="56" spans="1:14" hidden="1" x14ac:dyDescent="0.55000000000000004">
      <c r="A56" s="144" t="s">
        <v>17</v>
      </c>
      <c r="B56" s="145"/>
      <c r="C56" s="96"/>
      <c r="D56" s="39" t="s">
        <v>22</v>
      </c>
      <c r="E56" s="28">
        <f>+SUM(E65:E67)/(E28-D28)</f>
        <v>27.035307137850914</v>
      </c>
      <c r="F56" s="28">
        <f t="shared" ref="F56:J56" si="25">+SUM(F65:F67)/(F28-E28)</f>
        <v>27.035307137850914</v>
      </c>
      <c r="G56" s="28">
        <f t="shared" si="25"/>
        <v>26.870589591746796</v>
      </c>
      <c r="H56" s="28">
        <f t="shared" si="25"/>
        <v>26.70624976076785</v>
      </c>
      <c r="I56" s="28">
        <f t="shared" si="25"/>
        <v>26.542294454493064</v>
      </c>
      <c r="J56" s="28">
        <f t="shared" si="25"/>
        <v>26.378730412693315</v>
      </c>
      <c r="K56" s="11"/>
      <c r="L56" s="7"/>
    </row>
    <row r="57" spans="1:14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  <v>21.916764710820527</v>
      </c>
      <c r="F57" s="28">
        <f t="shared" ref="F57:J57" si="26">+F61/F35</f>
        <v>21.919431378199345</v>
      </c>
      <c r="G57" s="28">
        <f t="shared" si="26"/>
        <v>21.93668232164832</v>
      </c>
      <c r="H57" s="28">
        <f t="shared" si="26"/>
        <v>24.093203799350569</v>
      </c>
      <c r="I57" s="28">
        <f t="shared" si="26"/>
        <v>24.120811012396267</v>
      </c>
      <c r="J57" s="28">
        <f t="shared" si="26"/>
        <v>24.152293276683366</v>
      </c>
      <c r="K57" s="11"/>
      <c r="L57" s="7"/>
    </row>
    <row r="58" spans="1:14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7">+SUM(E36:E39)/E35</f>
        <v>3.9922253027352556E-3</v>
      </c>
      <c r="F58" s="32">
        <f t="shared" si="27"/>
        <v>4.4970663246667614E-3</v>
      </c>
      <c r="G58" s="32">
        <f t="shared" si="27"/>
        <v>5.5150948550719125E-3</v>
      </c>
      <c r="H58" s="32">
        <f t="shared" si="27"/>
        <v>6.507218123558361E-3</v>
      </c>
      <c r="I58" s="32">
        <f t="shared" si="27"/>
        <v>7.5064421110402043E-3</v>
      </c>
      <c r="J58" s="32">
        <f t="shared" si="27"/>
        <v>9.0063608146444558E-3</v>
      </c>
      <c r="K58" s="11"/>
      <c r="L58" s="7"/>
    </row>
    <row r="59" spans="1:14" hidden="1" x14ac:dyDescent="0.55000000000000004">
      <c r="A59" s="152" t="s">
        <v>19</v>
      </c>
      <c r="B59" s="153"/>
      <c r="C59" s="97"/>
      <c r="D59" s="28"/>
      <c r="E59" s="28">
        <f>+IFERROR(E55/E40,0)</f>
        <v>5489.8616808536208</v>
      </c>
      <c r="F59" s="28">
        <f t="shared" ref="F59:J59" si="28">+IFERROR(F55/F40,0)</f>
        <v>4874.1623529031685</v>
      </c>
      <c r="G59" s="28">
        <f t="shared" si="28"/>
        <v>3977.57117476854</v>
      </c>
      <c r="H59" s="28">
        <f t="shared" si="28"/>
        <v>3702.5351451067718</v>
      </c>
      <c r="I59" s="28">
        <f t="shared" si="28"/>
        <v>3213.3480356719529</v>
      </c>
      <c r="J59" s="28">
        <f t="shared" si="28"/>
        <v>2681.6928361798955</v>
      </c>
      <c r="K59" s="11"/>
      <c r="L59" s="7"/>
    </row>
    <row r="60" spans="1:14" hidden="1" x14ac:dyDescent="0.55000000000000004">
      <c r="A60" s="152" t="s">
        <v>117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54" t="s">
        <v>70</v>
      </c>
      <c r="B61" s="155"/>
      <c r="C61" s="98"/>
      <c r="D61" s="40">
        <f>+D55</f>
        <v>215000</v>
      </c>
      <c r="E61" s="40">
        <f>+SUM(E65:E72)+E54</f>
        <v>609374.64657475194</v>
      </c>
      <c r="F61" s="40">
        <f t="shared" ref="F61:J61" si="29">+SUM(F65:F72)+F54</f>
        <v>609270.29411289608</v>
      </c>
      <c r="G61" s="40">
        <f t="shared" si="29"/>
        <v>608568.38973958662</v>
      </c>
      <c r="H61" s="40">
        <f t="shared" si="29"/>
        <v>540570.13118558866</v>
      </c>
      <c r="I61" s="40">
        <f t="shared" si="29"/>
        <v>539842.46999288804</v>
      </c>
      <c r="J61" s="40">
        <f t="shared" si="29"/>
        <v>539020.260072159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186</v>
      </c>
    </row>
    <row r="67" spans="1:16" x14ac:dyDescent="0.55000000000000004">
      <c r="B67" s="6" t="s">
        <v>187</v>
      </c>
      <c r="C67" s="90">
        <v>0</v>
      </c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N67" s="69" t="s">
        <v>188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189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190</v>
      </c>
      <c r="C69" s="90">
        <v>0</v>
      </c>
      <c r="D69" s="51">
        <v>150000</v>
      </c>
      <c r="E69" s="28">
        <v>200000</v>
      </c>
      <c r="F69" s="28">
        <v>200000</v>
      </c>
      <c r="G69" s="28">
        <v>200000</v>
      </c>
      <c r="H69" s="28">
        <v>200000</v>
      </c>
      <c r="I69" s="28">
        <v>200000</v>
      </c>
      <c r="J69" s="28">
        <v>200000</v>
      </c>
      <c r="N69" s="69" t="s">
        <v>191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215000</v>
      </c>
      <c r="E73" s="114">
        <f t="shared" ref="E73:J73" si="31">SUM(E65:E72)+E54</f>
        <v>609374.64657475194</v>
      </c>
      <c r="F73" s="114">
        <f t="shared" si="31"/>
        <v>609270.29411289608</v>
      </c>
      <c r="G73" s="114">
        <f t="shared" si="31"/>
        <v>608568.38973958662</v>
      </c>
      <c r="H73" s="114">
        <f t="shared" si="31"/>
        <v>540570.13118558866</v>
      </c>
      <c r="I73" s="114">
        <f t="shared" si="31"/>
        <v>539842.46999288804</v>
      </c>
      <c r="J73" s="114">
        <f t="shared" si="31"/>
        <v>539020.260072159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155057.66399999999</v>
      </c>
      <c r="E75" s="41">
        <f t="shared" si="32"/>
        <v>88124.882191583994</v>
      </c>
      <c r="F75" s="41">
        <f t="shared" si="32"/>
        <v>88090.098037632008</v>
      </c>
      <c r="G75" s="41">
        <f t="shared" si="32"/>
        <v>87856.129913195546</v>
      </c>
      <c r="H75" s="41">
        <f t="shared" si="32"/>
        <v>65190.043728529563</v>
      </c>
      <c r="I75" s="41">
        <f t="shared" si="32"/>
        <v>64947.489997629338</v>
      </c>
      <c r="J75" s="41">
        <f t="shared" si="32"/>
        <v>64673.420024053004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+SIM①_月4投稿!D24</f>
        <v>--</v>
      </c>
      <c r="D4" s="28">
        <f>+SIM①_月4投稿!G51</f>
        <v>308568.38973958662</v>
      </c>
      <c r="E4" s="28">
        <f>+SIM①_月4投稿!J51</f>
        <v>239020.260072159</v>
      </c>
      <c r="F4" s="28"/>
    </row>
    <row r="5" spans="1:25" x14ac:dyDescent="0.55000000000000004">
      <c r="A5" s="85" t="s">
        <v>141</v>
      </c>
      <c r="B5" s="7"/>
      <c r="C5" s="86" t="str">
        <f>+SIM①_月4投稿!D25</f>
        <v>--</v>
      </c>
      <c r="D5" s="28">
        <f>+SIM①_月4投稿!G61</f>
        <v>608568.38973958662</v>
      </c>
      <c r="E5" s="28">
        <f>+SIM①_月4投稿!J61</f>
        <v>539020.260072159</v>
      </c>
      <c r="F5" s="27"/>
    </row>
    <row r="6" spans="1:25" x14ac:dyDescent="0.55000000000000004">
      <c r="A6" s="85" t="s">
        <v>76</v>
      </c>
      <c r="B6" s="7"/>
      <c r="C6" s="117">
        <f>+SIM①_月4投稿!D28</f>
        <v>79904</v>
      </c>
      <c r="D6" s="87">
        <f>+SIM①_月4投稿!G28</f>
        <v>83239.782370400004</v>
      </c>
      <c r="E6" s="87">
        <f>+SIM①_月4投稿!J28</f>
        <v>86630.666376967449</v>
      </c>
      <c r="F6" s="10"/>
    </row>
    <row r="7" spans="1:25" x14ac:dyDescent="0.55000000000000004">
      <c r="A7" s="85" t="s">
        <v>77</v>
      </c>
      <c r="B7" s="7"/>
      <c r="C7" s="88">
        <f>+SIM①_月4投稿!D27</f>
        <v>0.42099999999999999</v>
      </c>
      <c r="D7" s="89">
        <f>+SIM①_月4投稿!G27</f>
        <v>0.438</v>
      </c>
      <c r="E7" s="89">
        <f>+SIM①_月4投稿!J27</f>
        <v>0.46500000000000002</v>
      </c>
      <c r="F7" s="89"/>
    </row>
    <row r="8" spans="1:25" x14ac:dyDescent="0.55000000000000004">
      <c r="A8" s="85" t="s">
        <v>78</v>
      </c>
      <c r="B8" s="7"/>
      <c r="C8" s="117">
        <f>+SIM①_月4投稿!D29</f>
        <v>46264.415999999997</v>
      </c>
      <c r="D8" s="10">
        <f>+SIM①_月4投稿!G29</f>
        <v>46780.757692164807</v>
      </c>
      <c r="E8" s="10">
        <f>+SIM①_月4投稿!J29</f>
        <v>46347.406511677575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+SIM①_月4投稿!D34</f>
        <v>185057.66399999999</v>
      </c>
      <c r="D10" s="10">
        <f>+SIM①_月4投稿!G34</f>
        <v>117856.12991319555</v>
      </c>
      <c r="E10" s="10">
        <f>+SIM①_月4投稿!J34</f>
        <v>94673.420024053004</v>
      </c>
      <c r="F10" s="10"/>
    </row>
    <row r="11" spans="1:25" x14ac:dyDescent="0.55000000000000004">
      <c r="A11" s="85" t="s">
        <v>81</v>
      </c>
      <c r="B11" s="7"/>
      <c r="C11" s="117">
        <f>+SIM①_月4投稿!D35</f>
        <v>5417.3780559359993</v>
      </c>
      <c r="D11" s="10">
        <f>+SIM①_月4投稿!G35</f>
        <v>27742.043250497274</v>
      </c>
      <c r="E11" s="10">
        <f>+SIM①_月4投稿!J35</f>
        <v>22317.56023733487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11.122770841115157</v>
      </c>
      <c r="E12" s="28">
        <f t="shared" ref="E12" si="0">+E4/E11</f>
        <v>10.709963702587162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21.93668232164832</v>
      </c>
      <c r="E13" s="28">
        <f t="shared" ref="E13" si="1">+E5/E11</f>
        <v>24.152293276683366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192</v>
      </c>
      <c r="B15" s="7"/>
      <c r="C15" s="87">
        <f>+SIM①_月4投稿!D16</f>
        <v>400</v>
      </c>
      <c r="D15" s="87">
        <f>+SIM①_月4投稿!G16</f>
        <v>400</v>
      </c>
      <c r="E15" s="87">
        <f>+SIM①_月4投稿!J16</f>
        <v>400</v>
      </c>
      <c r="F15" s="87"/>
      <c r="R15" s="5" t="s">
        <v>58</v>
      </c>
    </row>
    <row r="16" spans="1:25" x14ac:dyDescent="0.55000000000000004">
      <c r="A16" s="85" t="s">
        <v>193</v>
      </c>
      <c r="B16" s="7"/>
      <c r="C16" s="87">
        <f>+C17</f>
        <v>0</v>
      </c>
      <c r="D16" s="87">
        <f>+D17</f>
        <v>153</v>
      </c>
      <c r="E16" s="87">
        <f>+E17</f>
        <v>201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+SIM①_月4投稿!D36</f>
        <v>0</v>
      </c>
      <c r="D17" s="87">
        <f>+SIM①_月4投稿!G36</f>
        <v>153</v>
      </c>
      <c r="E17" s="87">
        <f>+SIM①_月4投稿!J36</f>
        <v>201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+SIM①_月4投稿!D37</f>
        <v>0</v>
      </c>
      <c r="D18" s="87">
        <f>+SIM①_月4投稿!G37</f>
        <v>0</v>
      </c>
      <c r="E18" s="87">
        <f>+SIM①_月4投稿!J37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+SIM①_月4投稿!D38</f>
        <v>0</v>
      </c>
      <c r="D19" s="87">
        <f>+SIM①_月4投稿!G38</f>
        <v>0</v>
      </c>
      <c r="E19" s="87">
        <f>+SIM①_月4投稿!J38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+SIM①_月4投稿!D39</f>
        <v>0</v>
      </c>
      <c r="D20" s="87">
        <f>+SIM①_月4投稿!G39</f>
        <v>0</v>
      </c>
      <c r="E20" s="87">
        <f>+SIM①_月4投稿!J39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2016.7868610430498</v>
      </c>
      <c r="E22" s="90">
        <f t="shared" si="2"/>
        <v>1189.1555227470596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3977.57117476854</v>
      </c>
      <c r="E23" s="90">
        <f t="shared" ref="E23" si="4">+IFERROR(E5/E16,"--")</f>
        <v>2681.6928361798955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+SIM①_月4投稿!E68+C29*C30</f>
        <v>480172.99199999997</v>
      </c>
      <c r="D25" s="10">
        <f>+SIM①_月4投稿!G68+D29*D30</f>
        <v>278568.38973958662</v>
      </c>
      <c r="E25" s="10">
        <f>+SIM①_月4投稿!J68+E29*E30</f>
        <v>209020.260072159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155057.66399999999</v>
      </c>
      <c r="D29" s="91">
        <f>+IF(D10&lt;=30000,0,D10-30000)</f>
        <v>87856.129913195546</v>
      </c>
      <c r="E29" s="91">
        <f>+IF(E10&lt;=30000,0,E10-30000)</f>
        <v>64673.420024053004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E2E5-AEB8-5B0C-B7F8-B916B752B4D5}">
  <dimension ref="A2:Z76"/>
  <sheetViews>
    <sheetView topLeftCell="A2" zoomScale="46" zoomScaleNormal="55" workbookViewId="0">
      <selection activeCell="D34" sqref="D34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195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163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164</v>
      </c>
      <c r="O8" s="35" t="s">
        <v>158</v>
      </c>
    </row>
    <row r="9" spans="1:25" ht="18" thickBot="1" x14ac:dyDescent="0.6">
      <c r="A9" s="13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165</v>
      </c>
      <c r="H10" s="125">
        <v>400</v>
      </c>
      <c r="I10" s="22" t="s">
        <v>156</v>
      </c>
      <c r="J10" s="29"/>
      <c r="K10" s="118"/>
      <c r="N10" s="132" t="s">
        <v>166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167</v>
      </c>
      <c r="F13" s="36" t="s">
        <v>168</v>
      </c>
      <c r="G13" s="36" t="s">
        <v>169</v>
      </c>
      <c r="H13" s="36" t="s">
        <v>170</v>
      </c>
      <c r="I13" s="36" t="s">
        <v>171</v>
      </c>
      <c r="J13" s="36" t="s">
        <v>172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173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174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116</v>
      </c>
      <c r="C24" s="17"/>
      <c r="D24" s="44" t="s">
        <v>21</v>
      </c>
      <c r="E24" s="46">
        <f t="shared" ref="E24:J24" si="4">IF(E19=FALSE,0,$H$10*0.8*0.45)</f>
        <v>0</v>
      </c>
      <c r="F24" s="63">
        <f t="shared" si="4"/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196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  <v>1109.66004</v>
      </c>
      <c r="F26" s="46">
        <f t="shared" ref="F26:J26" si="6">+SUM(F22:F25)+$H$9*$P$16+($H$8-$H$9)*$P$15</f>
        <v>1109.66004</v>
      </c>
      <c r="G26" s="46">
        <f>+SUM(G22:G25)+$H$9*$P$16+($H$8-$H$9)*$P$15</f>
        <v>1116.4622904</v>
      </c>
      <c r="H26" s="46">
        <f t="shared" si="6"/>
        <v>1123.3325633040001</v>
      </c>
      <c r="I26" s="46">
        <f t="shared" si="6"/>
        <v>1130.2715389370401</v>
      </c>
      <c r="J26" s="46">
        <f t="shared" si="6"/>
        <v>1137.2799043264106</v>
      </c>
      <c r="K26" s="11"/>
      <c r="L26" s="7"/>
      <c r="N26" s="72" t="s">
        <v>177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0.42099999999999999</v>
      </c>
      <c r="E27" s="107">
        <v>0.42099999999999999</v>
      </c>
      <c r="F27" s="47">
        <f>ROUND(E27*1.02,3)</f>
        <v>0.42899999999999999</v>
      </c>
      <c r="G27" s="47">
        <f>ROUND(F27*1.02,3)</f>
        <v>0.438</v>
      </c>
      <c r="H27" s="47">
        <f>ROUND(G27*1.02,3)</f>
        <v>0.44700000000000001</v>
      </c>
      <c r="I27" s="47">
        <f>ROUND(H27*1.02,3)</f>
        <v>0.45600000000000002</v>
      </c>
      <c r="J27" s="47">
        <f>ROUND(I27*1.02,3)</f>
        <v>0.46500000000000002</v>
      </c>
      <c r="K27" s="11"/>
      <c r="L27" s="7"/>
      <c r="N27" t="s">
        <v>178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79904</v>
      </c>
      <c r="E28" s="49">
        <f>+D28+E26</f>
        <v>81013.660040000002</v>
      </c>
      <c r="F28" s="49">
        <f t="shared" ref="F28:J28" si="7">+E28+F26</f>
        <v>82123.320080000005</v>
      </c>
      <c r="G28" s="49">
        <f t="shared" si="7"/>
        <v>83239.782370400004</v>
      </c>
      <c r="H28" s="49">
        <f t="shared" si="7"/>
        <v>84363.114933703997</v>
      </c>
      <c r="I28" s="49">
        <f t="shared" si="7"/>
        <v>85493.386472641039</v>
      </c>
      <c r="J28" s="49">
        <f t="shared" si="7"/>
        <v>86630.666376967449</v>
      </c>
      <c r="K28" s="12"/>
      <c r="L28" s="7"/>
      <c r="N28" t="s">
        <v>179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  <v>46264.415999999997</v>
      </c>
      <c r="E29" s="50">
        <f>+E28*(1-E27)</f>
        <v>46906.909163159995</v>
      </c>
      <c r="F29" s="50">
        <f t="shared" ref="F29:J29" si="8">+F28*(1-F27)</f>
        <v>46892.415765680002</v>
      </c>
      <c r="G29" s="50">
        <f t="shared" si="8"/>
        <v>46780.757692164807</v>
      </c>
      <c r="H29" s="50">
        <f t="shared" si="8"/>
        <v>46652.802558338306</v>
      </c>
      <c r="I29" s="50">
        <f t="shared" si="8"/>
        <v>46508.402241116732</v>
      </c>
      <c r="J29" s="50">
        <f t="shared" si="8"/>
        <v>46347.406511677575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4</v>
      </c>
      <c r="E30" s="45">
        <v>5</v>
      </c>
      <c r="F30" s="45">
        <v>5</v>
      </c>
      <c r="G30" s="45">
        <v>5</v>
      </c>
      <c r="H30" s="45">
        <v>5</v>
      </c>
      <c r="I30" s="45">
        <v>5</v>
      </c>
      <c r="J30" s="45">
        <v>5</v>
      </c>
      <c r="K30" s="11"/>
      <c r="L30" s="7"/>
      <c r="N30" s="69" t="s">
        <v>197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+D30*D29*0.75*0.41*0.07</f>
      </c>
      <c r="E31" s="63">
        <f>+E29*E30*$P$24*$P$22*$P$23*$P$36</f>
        <v>21427.038580204167</v>
      </c>
      <c r="F31" s="63">
        <f>+F29*F30*$P$24*$P$22*$P$23*$P$36</f>
        <v>21420.418007830023</v>
      </c>
      <c r="G31" s="63">
        <f>+G29*G30*$P$24*$P$22*$P$23*$P$36</f>
        <v>21369.41268917474</v>
      </c>
      <c r="H31" s="63">
        <f>+H29*H30*$P$24*$P$22*$P$23*$P$36*$Q$24</f>
        <v>17048.770309125524</v>
      </c>
      <c r="I31" s="63">
        <f>+I29*I30*$P$24*$P$22*$P$23*$P$36*$Q$24</f>
        <v>16996.000749616273</v>
      </c>
      <c r="J31" s="63">
        <f>+J29*J30*$P$24*$P$22*$P$23*$P$36*$Q$24</f>
        <v>16937.166573287293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8" t="s">
        <v>26</v>
      </c>
      <c r="B34" s="149"/>
      <c r="C34" s="102"/>
      <c r="D34" s="108">
        <f>+D29*D30*0.75</f>
      </c>
      <c r="E34" s="46">
        <f>+E29*E30*$P$24+E26*E32</f>
        <v>193175.93685263998</v>
      </c>
      <c r="F34" s="46">
        <f>+F29*F30*$P$24+F26*F32</f>
        <v>193117.96326272</v>
      </c>
      <c r="G34" s="46">
        <f>+G29*G30*$P$24+G26*G32</f>
        <v>192705.34222065922</v>
      </c>
      <c r="H34" s="46">
        <f>+H29*H30*$P$24*$Q$24+H26*H32</f>
        <v>154905.63100320258</v>
      </c>
      <c r="I34" s="46">
        <f>+I29*I30*$P$24*$Q$24+I26*I32</f>
        <v>154478.24486625876</v>
      </c>
      <c r="J34" s="46">
        <f>+J29*J30*$P$24*$Q$24+J26*J32</f>
        <v>153998.10035900029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8" t="s">
        <v>25</v>
      </c>
      <c r="B35" s="149"/>
      <c r="C35" s="102"/>
      <c r="D35" s="109">
        <f>+D31*1.02</f>
        <v>5417.3780559359993</v>
      </c>
      <c r="E35" s="50">
        <f>+E31+E33+1.05*(E31+E33)</f>
        <v>45374.213638093497</v>
      </c>
      <c r="F35" s="50">
        <f t="shared" ref="F35:J35" si="11">+F31+F33+1.05*(F31+F33)</f>
        <v>45360.641464726497</v>
      </c>
      <c r="G35" s="50">
        <f t="shared" si="11"/>
        <v>45264.961655620551</v>
      </c>
      <c r="H35" s="50">
        <f t="shared" si="11"/>
        <v>36416.614681598425</v>
      </c>
      <c r="I35" s="50">
        <f t="shared" si="11"/>
        <v>36317.496688734012</v>
      </c>
      <c r="J35" s="50">
        <f t="shared" si="11"/>
        <v>36206.036827430449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50" t="s">
        <v>6</v>
      </c>
      <c r="B36" s="6" t="str">
        <f>+C8</f>
        <v>応募</v>
      </c>
      <c r="C36" s="6"/>
      <c r="D36" s="11">
        <v>0</v>
      </c>
      <c r="E36" s="111">
        <f>ROUND(E35*0.004,0)</f>
        <v>181</v>
      </c>
      <c r="F36" s="111">
        <f>ROUND(F35*0.0045,0)</f>
        <v>204</v>
      </c>
      <c r="G36" s="111">
        <f>ROUND(G35*0.0055,0)</f>
        <v>249</v>
      </c>
      <c r="H36" s="111">
        <f>ROUND(H35*0.0065,0)</f>
        <v>237</v>
      </c>
      <c r="I36" s="111">
        <f>ROUND(I35*0.0075,0)</f>
        <v>272</v>
      </c>
      <c r="J36" s="111">
        <f>ROUND(J35*0.009,0)</f>
        <v>326</v>
      </c>
      <c r="K36" s="115">
        <f>SUM(E36:J36)</f>
        <v>1469</v>
      </c>
      <c r="L36" s="7"/>
      <c r="N36" s="69" t="s">
        <v>182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51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50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2">+SUM(D36:D39)</f>
        <v>0</v>
      </c>
      <c r="E40" s="10">
        <f t="shared" si="12"/>
        <v>181</v>
      </c>
      <c r="F40" s="10">
        <f t="shared" si="12"/>
        <v>204</v>
      </c>
      <c r="G40" s="10">
        <f t="shared" si="12"/>
        <v>249</v>
      </c>
      <c r="H40" s="10">
        <f t="shared" si="12"/>
        <v>237</v>
      </c>
      <c r="I40" s="10">
        <f t="shared" si="12"/>
        <v>272</v>
      </c>
      <c r="J40" s="10">
        <f t="shared" si="12"/>
        <v>326</v>
      </c>
      <c r="K40" s="115">
        <f>SUM(E40:J40)</f>
        <v>1469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3.9890498476439305E-3</v>
      </c>
      <c r="F41" s="18">
        <f t="shared" ref="F41:J41" si="14">+IFERROR(F40/F35,0)</f>
        <v>4.4972908982919739E-3</v>
      </c>
      <c r="G41" s="18">
        <f t="shared" si="14"/>
        <v>5.5009435751743685E-3</v>
      </c>
      <c r="H41" s="18">
        <f t="shared" si="14"/>
        <v>6.5080184435638323E-3</v>
      </c>
      <c r="I41" s="18">
        <f t="shared" si="14"/>
        <v>7.4895029889099334E-3</v>
      </c>
      <c r="J41" s="18">
        <f t="shared" si="14"/>
        <v>9.004023322238229E-3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  <v>489527.8105579199</v>
      </c>
      <c r="F44" s="31">
        <f t="shared" ref="F44:J44" si="15">+F75*F76</f>
        <v>489353.88978815998</v>
      </c>
      <c r="G44" s="31">
        <f t="shared" si="15"/>
        <v>488116.02666197764</v>
      </c>
      <c r="H44" s="31">
        <f t="shared" si="15"/>
        <v>374716.89300960774</v>
      </c>
      <c r="I44" s="31">
        <f t="shared" si="15"/>
        <v>373434.73459877627</v>
      </c>
      <c r="J44" s="31">
        <f t="shared" si="15"/>
        <v>371994.30107700091</v>
      </c>
      <c r="K44" s="11"/>
      <c r="L44" s="7"/>
    </row>
    <row r="45" spans="1:17" ht="18" x14ac:dyDescent="0.55000000000000004">
      <c r="A45" s="144" t="s">
        <v>132</v>
      </c>
      <c r="B45" s="145"/>
      <c r="C45" s="104">
        <f>+SUM(C65:C72)</f>
        <v>0</v>
      </c>
      <c r="D45" s="80">
        <f>+SUM(D65:D72)</f>
        <v>265000</v>
      </c>
      <c r="E45" s="27">
        <f t="shared" ref="E45:J45" si="16">SUM(E65:E68)+SUM(E71:E72)</f>
        <v>45000</v>
      </c>
      <c r="F45" s="27">
        <f t="shared" si="16"/>
        <v>45000</v>
      </c>
      <c r="G45" s="27">
        <f t="shared" si="16"/>
        <v>45000</v>
      </c>
      <c r="H45" s="27">
        <f t="shared" si="16"/>
        <v>45000</v>
      </c>
      <c r="I45" s="27">
        <f t="shared" si="16"/>
        <v>45000</v>
      </c>
      <c r="J45" s="27">
        <f t="shared" si="16"/>
        <v>45000</v>
      </c>
      <c r="K45" s="11"/>
      <c r="L45" s="7"/>
      <c r="N45" t="s">
        <v>183</v>
      </c>
    </row>
    <row r="46" spans="1:17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7">+SUM(E65:E67)/(E28-D28)</f>
        <v>27.035307137850914</v>
      </c>
      <c r="F46" s="28">
        <f t="shared" si="17"/>
        <v>27.035307137850914</v>
      </c>
      <c r="G46" s="28">
        <f t="shared" si="17"/>
        <v>26.870589591746796</v>
      </c>
      <c r="H46" s="28">
        <f t="shared" si="17"/>
        <v>26.70624976076785</v>
      </c>
      <c r="I46" s="28">
        <f t="shared" si="17"/>
        <v>26.542294454493064</v>
      </c>
      <c r="J46" s="28">
        <f t="shared" si="17"/>
        <v>26.378730412693315</v>
      </c>
      <c r="K46" s="11"/>
      <c r="L46" s="7"/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8">+E51/E35</f>
        <v>11.780431388218309</v>
      </c>
      <c r="F47" s="28">
        <f t="shared" si="18"/>
        <v>11.780121985349043</v>
      </c>
      <c r="G47" s="28">
        <f t="shared" si="18"/>
        <v>11.777675428468648</v>
      </c>
      <c r="H47" s="28">
        <f t="shared" si="18"/>
        <v>11.525423125661751</v>
      </c>
      <c r="I47" s="28">
        <f t="shared" si="18"/>
        <v>11.521574247945845</v>
      </c>
      <c r="J47" s="28">
        <f>+J51/J35</f>
        <v>11.517258932937873</v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9">+SUM(E36:E39)/E35</f>
        <v>3.9890498476439305E-3</v>
      </c>
      <c r="F48" s="32">
        <f t="shared" si="19"/>
        <v>4.4972908982919739E-3</v>
      </c>
      <c r="G48" s="32">
        <f t="shared" si="19"/>
        <v>5.5009435751743685E-3</v>
      </c>
      <c r="H48" s="32">
        <f t="shared" si="19"/>
        <v>6.5080184435638323E-3</v>
      </c>
      <c r="I48" s="32">
        <f t="shared" si="19"/>
        <v>7.4895029889099334E-3</v>
      </c>
      <c r="J48" s="32">
        <f t="shared" si="19"/>
        <v>9.004023322238229E-3</v>
      </c>
      <c r="K48" s="11"/>
      <c r="L48" s="7"/>
    </row>
    <row r="49" spans="1:14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  <v>2953.1923235244194</v>
      </c>
      <c r="F49" s="28">
        <f t="shared" ref="F49:J49" si="20">+IFERROR(F51/SUM(F36:F39),0)</f>
        <v>2619.3818126870588</v>
      </c>
      <c r="G49" s="28">
        <f t="shared" si="20"/>
        <v>2141.0282195260147</v>
      </c>
      <c r="H49" s="28">
        <f t="shared" si="20"/>
        <v>1770.9573544709187</v>
      </c>
      <c r="I49" s="28">
        <f t="shared" si="20"/>
        <v>1538.3629948484422</v>
      </c>
      <c r="J49" s="28">
        <f t="shared" si="20"/>
        <v>1279.1236229355857</v>
      </c>
      <c r="K49" s="11"/>
      <c r="L49" s="7"/>
    </row>
    <row r="50" spans="1:14" x14ac:dyDescent="0.55000000000000004">
      <c r="A50" s="152" t="s">
        <v>117</v>
      </c>
      <c r="B50" s="153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54" t="s">
        <v>70</v>
      </c>
      <c r="B51" s="155"/>
      <c r="C51" s="110">
        <f>+C45</f>
        <v>0</v>
      </c>
      <c r="D51" s="40">
        <f>+D45</f>
        <v>265000</v>
      </c>
      <c r="E51" s="40">
        <f>SUM(E45,E50)+E44</f>
        <v>534527.8105579199</v>
      </c>
      <c r="F51" s="40">
        <f t="shared" ref="F51:I51" si="22">SUM(F45,F50)+F44</f>
        <v>534353.88978815998</v>
      </c>
      <c r="G51" s="40">
        <f t="shared" si="22"/>
        <v>533116.02666197764</v>
      </c>
      <c r="H51" s="40">
        <f t="shared" si="22"/>
        <v>419716.89300960774</v>
      </c>
      <c r="I51" s="40">
        <f t="shared" si="22"/>
        <v>418434.73459877627</v>
      </c>
      <c r="J51" s="40">
        <f>SUM(J45,J50)+J44</f>
        <v>416994.30107700091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44" t="s">
        <v>27</v>
      </c>
      <c r="B54" s="145"/>
      <c r="C54" s="96"/>
      <c r="D54" s="28">
        <f>+D75*D76</f>
        <v>465172.99199999997</v>
      </c>
      <c r="E54" s="28">
        <f t="shared" ref="E54:J54" si="23">+E75*E76</f>
        <v>489527.8105579199</v>
      </c>
      <c r="F54" s="28">
        <f t="shared" si="23"/>
        <v>489353.88978815998</v>
      </c>
      <c r="G54" s="28">
        <f t="shared" si="23"/>
        <v>488116.02666197764</v>
      </c>
      <c r="H54" s="28">
        <f t="shared" si="23"/>
        <v>374716.89300960774</v>
      </c>
      <c r="I54" s="28">
        <f t="shared" si="23"/>
        <v>373434.73459877627</v>
      </c>
      <c r="J54" s="28">
        <f t="shared" si="23"/>
        <v>371994.30107700091</v>
      </c>
      <c r="K54" s="11"/>
      <c r="L54" s="7"/>
      <c r="N54" t="s">
        <v>184</v>
      </c>
    </row>
    <row r="55" spans="1:14" hidden="1" x14ac:dyDescent="0.55000000000000004">
      <c r="A55" s="144" t="s">
        <v>132</v>
      </c>
      <c r="B55" s="145"/>
      <c r="C55" s="96"/>
      <c r="D55" s="27">
        <f>+SUM(D65:D72)</f>
        <v>265000</v>
      </c>
      <c r="E55" s="27">
        <f>SUM(E65:E72)+E54</f>
        <v>884527.8105579199</v>
      </c>
      <c r="F55" s="27">
        <f t="shared" ref="F55:J55" si="24">SUM(F65:F72)+F54</f>
        <v>884353.88978815998</v>
      </c>
      <c r="G55" s="27">
        <f t="shared" si="24"/>
        <v>883116.02666197764</v>
      </c>
      <c r="H55" s="27">
        <f t="shared" si="24"/>
        <v>769716.89300960768</v>
      </c>
      <c r="I55" s="27">
        <f t="shared" si="24"/>
        <v>768434.73459877633</v>
      </c>
      <c r="J55" s="27">
        <f t="shared" si="24"/>
        <v>766994.30107700091</v>
      </c>
      <c r="K55" s="11"/>
      <c r="L55" s="7"/>
    </row>
    <row r="56" spans="1:14" hidden="1" x14ac:dyDescent="0.55000000000000004">
      <c r="A56" s="144" t="s">
        <v>17</v>
      </c>
      <c r="B56" s="145"/>
      <c r="C56" s="96"/>
      <c r="D56" s="39" t="s">
        <v>22</v>
      </c>
      <c r="E56" s="28">
        <f>+SUM(E65:E67)/(E28-D28)</f>
        <v>27.035307137850914</v>
      </c>
      <c r="F56" s="28">
        <f t="shared" ref="F56:J56" si="25">+SUM(F65:F67)/(F28-E28)</f>
        <v>27.035307137850914</v>
      </c>
      <c r="G56" s="28">
        <f t="shared" si="25"/>
        <v>26.870589591746796</v>
      </c>
      <c r="H56" s="28">
        <f t="shared" si="25"/>
        <v>26.70624976076785</v>
      </c>
      <c r="I56" s="28">
        <f t="shared" si="25"/>
        <v>26.542294454493064</v>
      </c>
      <c r="J56" s="28">
        <f t="shared" si="25"/>
        <v>26.378730412693315</v>
      </c>
      <c r="K56" s="11"/>
      <c r="L56" s="7"/>
    </row>
    <row r="57" spans="1:14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  <v>19.494063690292208</v>
      </c>
      <c r="F57" s="28">
        <f t="shared" ref="F57:J57" si="26">+F61/F35</f>
        <v>19.496062252026448</v>
      </c>
      <c r="G57" s="28">
        <f t="shared" si="26"/>
        <v>19.509925433733823</v>
      </c>
      <c r="H57" s="28">
        <f t="shared" si="26"/>
        <v>21.136420827127324</v>
      </c>
      <c r="I57" s="28">
        <f t="shared" si="26"/>
        <v>21.15880235867554</v>
      </c>
      <c r="J57" s="28">
        <f t="shared" si="26"/>
        <v>21.184155137794868</v>
      </c>
      <c r="K57" s="11"/>
      <c r="L57" s="7"/>
    </row>
    <row r="58" spans="1:14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7">+SUM(E36:E39)/E35</f>
        <v>3.9890498476439305E-3</v>
      </c>
      <c r="F58" s="32">
        <f t="shared" si="27"/>
        <v>4.4972908982919739E-3</v>
      </c>
      <c r="G58" s="32">
        <f t="shared" si="27"/>
        <v>5.5009435751743685E-3</v>
      </c>
      <c r="H58" s="32">
        <f t="shared" si="27"/>
        <v>6.5080184435638323E-3</v>
      </c>
      <c r="I58" s="32">
        <f t="shared" si="27"/>
        <v>7.4895029889099334E-3</v>
      </c>
      <c r="J58" s="32">
        <f t="shared" si="27"/>
        <v>9.004023322238229E-3</v>
      </c>
      <c r="K58" s="11"/>
      <c r="L58" s="7"/>
    </row>
    <row r="59" spans="1:14" hidden="1" x14ac:dyDescent="0.55000000000000004">
      <c r="A59" s="152" t="s">
        <v>19</v>
      </c>
      <c r="B59" s="153"/>
      <c r="C59" s="97"/>
      <c r="D59" s="28"/>
      <c r="E59" s="28">
        <f>+IFERROR(E55/E40,0)</f>
        <v>4886.8939809829826</v>
      </c>
      <c r="F59" s="28">
        <f t="shared" ref="F59:J59" si="28">+IFERROR(F55/F40,0)</f>
        <v>4335.0680871968625</v>
      </c>
      <c r="G59" s="28">
        <f t="shared" si="28"/>
        <v>3546.6507094858539</v>
      </c>
      <c r="H59" s="28">
        <f t="shared" si="28"/>
        <v>3247.750603416066</v>
      </c>
      <c r="I59" s="28">
        <f t="shared" si="28"/>
        <v>2825.1277007307954</v>
      </c>
      <c r="J59" s="28">
        <f t="shared" si="28"/>
        <v>2352.7432548374263</v>
      </c>
      <c r="K59" s="11"/>
      <c r="L59" s="7"/>
    </row>
    <row r="60" spans="1:14" hidden="1" x14ac:dyDescent="0.55000000000000004">
      <c r="A60" s="152" t="s">
        <v>117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54" t="s">
        <v>70</v>
      </c>
      <c r="B61" s="155"/>
      <c r="C61" s="98"/>
      <c r="D61" s="40">
        <f>+D55</f>
        <v>265000</v>
      </c>
      <c r="E61" s="40">
        <f>+SUM(E65:E72)+E54</f>
        <v>884527.8105579199</v>
      </c>
      <c r="F61" s="40">
        <f t="shared" ref="F61:J61" si="29">+SUM(F65:F72)+F54</f>
        <v>884353.88978815998</v>
      </c>
      <c r="G61" s="40">
        <f t="shared" si="29"/>
        <v>883116.02666197764</v>
      </c>
      <c r="H61" s="40">
        <f t="shared" si="29"/>
        <v>769716.89300960768</v>
      </c>
      <c r="I61" s="40">
        <f t="shared" si="29"/>
        <v>768434.73459877633</v>
      </c>
      <c r="J61" s="40">
        <f t="shared" si="29"/>
        <v>766994.30107700091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186</v>
      </c>
    </row>
    <row r="67" spans="1:16" x14ac:dyDescent="0.55000000000000004">
      <c r="B67" s="6" t="s">
        <v>187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198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189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190</v>
      </c>
      <c r="C69" s="90">
        <v>0</v>
      </c>
      <c r="D69" s="51">
        <v>200000</v>
      </c>
      <c r="E69" s="28">
        <v>300000</v>
      </c>
      <c r="F69" s="28">
        <v>300000</v>
      </c>
      <c r="G69" s="28">
        <v>300000</v>
      </c>
      <c r="H69" s="28">
        <v>300000</v>
      </c>
      <c r="I69" s="28">
        <v>300000</v>
      </c>
      <c r="J69" s="28">
        <v>300000</v>
      </c>
      <c r="N69" s="69" t="s">
        <v>199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265000</v>
      </c>
      <c r="E73" s="114">
        <f t="shared" ref="E73:J73" si="31">SUM(E65:E72)+E54</f>
        <v>884527.8105579199</v>
      </c>
      <c r="F73" s="114">
        <f t="shared" si="31"/>
        <v>884353.88978815998</v>
      </c>
      <c r="G73" s="114">
        <f t="shared" si="31"/>
        <v>883116.02666197764</v>
      </c>
      <c r="H73" s="114">
        <f t="shared" si="31"/>
        <v>769716.89300960768</v>
      </c>
      <c r="I73" s="114">
        <f t="shared" si="31"/>
        <v>768434.73459877633</v>
      </c>
      <c r="J73" s="114">
        <f t="shared" si="31"/>
        <v>766994.30107700091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155057.66399999999</v>
      </c>
      <c r="E75" s="41">
        <f t="shared" si="32"/>
        <v>163175.93685263998</v>
      </c>
      <c r="F75" s="41">
        <f t="shared" si="32"/>
        <v>163117.96326272</v>
      </c>
      <c r="G75" s="41">
        <f t="shared" si="32"/>
        <v>162705.34222065922</v>
      </c>
      <c r="H75" s="41">
        <f t="shared" si="32"/>
        <v>124905.63100320258</v>
      </c>
      <c r="I75" s="41">
        <f t="shared" si="32"/>
        <v>124478.24486625876</v>
      </c>
      <c r="J75" s="41">
        <f t="shared" si="32"/>
        <v>123998.10035900029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73FE-0AD0-594D-8A64-279123A555D2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+SIM②_月5投稿!D24</f>
        <v>--</v>
      </c>
      <c r="D4" s="28">
        <f>+SIM②_月5投稿!G51</f>
        <v>533116.02666197764</v>
      </c>
      <c r="E4" s="28">
        <f>+SIM②_月5投稿!J51</f>
        <v>416994.30107700091</v>
      </c>
      <c r="F4" s="28"/>
    </row>
    <row r="5" spans="1:25" x14ac:dyDescent="0.55000000000000004">
      <c r="A5" s="85" t="s">
        <v>141</v>
      </c>
      <c r="B5" s="7"/>
      <c r="C5" s="86" t="str">
        <f>+SIM②_月5投稿!D25</f>
        <v>--</v>
      </c>
      <c r="D5" s="28">
        <f>+SIM②_月5投稿!G61</f>
        <v>883116.02666197764</v>
      </c>
      <c r="E5" s="28">
        <f>+SIM②_月5投稿!J61</f>
        <v>766994.30107700091</v>
      </c>
      <c r="F5" s="27"/>
    </row>
    <row r="6" spans="1:25" x14ac:dyDescent="0.55000000000000004">
      <c r="A6" s="85" t="s">
        <v>76</v>
      </c>
      <c r="B6" s="7"/>
      <c r="C6" s="117">
        <f>+SIM②_月5投稿!D28</f>
        <v>79904</v>
      </c>
      <c r="D6" s="87">
        <f>+SIM②_月5投稿!G28</f>
        <v>83239.782370400004</v>
      </c>
      <c r="E6" s="87">
        <f>+SIM②_月5投稿!J28</f>
        <v>86630.666376967449</v>
      </c>
      <c r="F6" s="10"/>
    </row>
    <row r="7" spans="1:25" x14ac:dyDescent="0.55000000000000004">
      <c r="A7" s="85" t="s">
        <v>77</v>
      </c>
      <c r="B7" s="7"/>
      <c r="C7" s="88">
        <f>+SIM②_月5投稿!D27</f>
        <v>0.42099999999999999</v>
      </c>
      <c r="D7" s="89">
        <f>+SIM②_月5投稿!G27</f>
        <v>0.438</v>
      </c>
      <c r="E7" s="89">
        <f>+SIM②_月5投稿!J27</f>
        <v>0.46500000000000002</v>
      </c>
      <c r="F7" s="89"/>
    </row>
    <row r="8" spans="1:25" x14ac:dyDescent="0.55000000000000004">
      <c r="A8" s="85" t="s">
        <v>78</v>
      </c>
      <c r="B8" s="7"/>
      <c r="C8" s="117">
        <f>+SIM②_月5投稿!D29</f>
        <v>46264.415999999997</v>
      </c>
      <c r="D8" s="10">
        <f>+SIM②_月5投稿!G29</f>
        <v>46780.757692164807</v>
      </c>
      <c r="E8" s="10">
        <f>+SIM②_月5投稿!J29</f>
        <v>46347.406511677575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+SIM②_月5投稿!D34</f>
        <v>185057.66399999999</v>
      </c>
      <c r="D10" s="10">
        <f>+SIM②_月5投稿!G34</f>
        <v>192705.34222065922</v>
      </c>
      <c r="E10" s="10">
        <f>+SIM②_月5投稿!J34</f>
        <v>153998.10035900029</v>
      </c>
      <c r="F10" s="10"/>
    </row>
    <row r="11" spans="1:25" x14ac:dyDescent="0.55000000000000004">
      <c r="A11" s="85" t="s">
        <v>81</v>
      </c>
      <c r="B11" s="7"/>
      <c r="C11" s="117">
        <f>+SIM②_月5投稿!D35</f>
        <v>5417.3780559359993</v>
      </c>
      <c r="D11" s="10">
        <f>+SIM②_月5投稿!G35</f>
        <v>45264.961655620551</v>
      </c>
      <c r="E11" s="10">
        <f>+SIM②_月5投稿!J35</f>
        <v>36206.036827430449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11.777675428468648</v>
      </c>
      <c r="E12" s="28">
        <f t="shared" ref="E12" si="0">+E4/E11</f>
        <v>11.517258932937873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19.509925433733823</v>
      </c>
      <c r="E13" s="28">
        <f t="shared" ref="E13" si="1">+E5/E11</f>
        <v>21.184155137794868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192</v>
      </c>
      <c r="B15" s="7"/>
      <c r="C15" s="87">
        <f>+SIM②_月5投稿!D16</f>
        <v>400</v>
      </c>
      <c r="D15" s="87">
        <f>+SIM②_月5投稿!G16</f>
        <v>400</v>
      </c>
      <c r="E15" s="87">
        <f>+SIM②_月5投稿!J16</f>
        <v>400</v>
      </c>
      <c r="F15" s="87"/>
      <c r="R15" s="5" t="s">
        <v>58</v>
      </c>
    </row>
    <row r="16" spans="1:25" x14ac:dyDescent="0.55000000000000004">
      <c r="A16" s="85" t="s">
        <v>193</v>
      </c>
      <c r="B16" s="7"/>
      <c r="C16" s="87">
        <f>+C17</f>
        <v>0</v>
      </c>
      <c r="D16" s="87">
        <f>+D17</f>
        <v>249</v>
      </c>
      <c r="E16" s="87">
        <f>+E17</f>
        <v>326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+SIM②_月5投稿!D36</f>
        <v>0</v>
      </c>
      <c r="D17" s="87">
        <f>+SIM②_月5投稿!G36</f>
        <v>249</v>
      </c>
      <c r="E17" s="87">
        <f>+SIM②_月5投稿!J36</f>
        <v>326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+SIM②_月5投稿!D37</f>
        <v>0</v>
      </c>
      <c r="D18" s="87">
        <f>+SIM②_月5投稿!G37</f>
        <v>0</v>
      </c>
      <c r="E18" s="87">
        <f>+SIM②_月5投稿!J37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+SIM②_月5投稿!D38</f>
        <v>0</v>
      </c>
      <c r="D19" s="87">
        <f>+SIM②_月5投稿!G38</f>
        <v>0</v>
      </c>
      <c r="E19" s="87">
        <f>+SIM②_月5投稿!J38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+SIM②_月5投稿!D39</f>
        <v>0</v>
      </c>
      <c r="D20" s="87">
        <f>+SIM②_月5投稿!G39</f>
        <v>0</v>
      </c>
      <c r="E20" s="87">
        <f>+SIM②_月5投稿!J39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2141.0282195260147</v>
      </c>
      <c r="E22" s="90">
        <f t="shared" si="2"/>
        <v>1279.1236229355857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3546.6507094858539</v>
      </c>
      <c r="E23" s="90">
        <f t="shared" ref="E23" si="4">+IFERROR(E5/E16,"--")</f>
        <v>2352.7432548374263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+SIM②_月5投稿!E68+C29*C30</f>
        <v>480172.99199999997</v>
      </c>
      <c r="D25" s="10">
        <f>+SIM②_月5投稿!G68+D29*D30</f>
        <v>503116.02666197764</v>
      </c>
      <c r="E25" s="10">
        <f>+SIM②_月5投稿!J68+E29*E30</f>
        <v>386994.30107700091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155057.66399999999</v>
      </c>
      <c r="D29" s="91">
        <f>+IF(D10&lt;=30000,0,D10-30000)</f>
        <v>162705.34222065922</v>
      </c>
      <c r="E29" s="91">
        <f>+IF(E10&lt;=30000,0,E10-30000)</f>
        <v>123998.10035900029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82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89</v>
      </c>
    </row>
    <row r="4" spans="1:7" x14ac:dyDescent="0.55000000000000004">
      <c r="A4" t="s">
        <v>87</v>
      </c>
      <c r="B4" t="s">
        <v>88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91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90</v>
      </c>
    </row>
    <row r="9" spans="1:7" x14ac:dyDescent="0.55000000000000004">
      <c r="A9" t="s">
        <v>87</v>
      </c>
      <c r="B9" t="s">
        <v>88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91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92</v>
      </c>
      <c r="D13" t="s">
        <v>95</v>
      </c>
    </row>
    <row r="14" spans="1:7" x14ac:dyDescent="0.55000000000000004">
      <c r="A14" t="s">
        <v>93</v>
      </c>
      <c r="B14" t="s">
        <v>88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94</v>
      </c>
    </row>
    <row r="16" spans="1:7" x14ac:dyDescent="0.55000000000000004">
      <c r="A16" t="s">
        <v>91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96</v>
      </c>
      <c r="D18" t="s">
        <v>95</v>
      </c>
    </row>
    <row r="19" spans="1:10" x14ac:dyDescent="0.55000000000000004">
      <c r="A19" t="s">
        <v>87</v>
      </c>
      <c r="B19" s="60">
        <v>0.7</v>
      </c>
      <c r="C19" t="s">
        <v>88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91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83</v>
      </c>
      <c r="B23" s="59"/>
      <c r="C23" s="59" t="s">
        <v>86</v>
      </c>
      <c r="D23" s="59"/>
      <c r="E23" s="59"/>
      <c r="F23" s="59"/>
      <c r="G23" s="59"/>
      <c r="I23" s="67" t="s">
        <v>102</v>
      </c>
      <c r="J23" s="68"/>
    </row>
    <row r="24" spans="1:10" x14ac:dyDescent="0.55000000000000004">
      <c r="A24" s="54" t="s">
        <v>84</v>
      </c>
      <c r="I24" s="66">
        <v>1</v>
      </c>
      <c r="J24" t="s">
        <v>103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104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105</v>
      </c>
    </row>
    <row r="27" spans="1:10" x14ac:dyDescent="0.55000000000000004">
      <c r="A27" t="s">
        <v>85</v>
      </c>
      <c r="B27" s="61">
        <v>3.0000000000000001E-3</v>
      </c>
      <c r="I27" s="66">
        <v>4</v>
      </c>
      <c r="J27" t="s">
        <v>106</v>
      </c>
    </row>
    <row r="29" spans="1:10" x14ac:dyDescent="0.55000000000000004">
      <c r="A29" s="54" t="s">
        <v>101</v>
      </c>
      <c r="I29" s="67" t="s">
        <v>107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108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109</v>
      </c>
    </row>
    <row r="32" spans="1:10" x14ac:dyDescent="0.55000000000000004">
      <c r="A32" t="s">
        <v>85</v>
      </c>
      <c r="B32" s="61">
        <v>6.0000000000000001E-3</v>
      </c>
      <c r="I32" s="66">
        <v>3</v>
      </c>
      <c r="J32" t="s">
        <v>110</v>
      </c>
    </row>
    <row r="33" spans="1:10" x14ac:dyDescent="0.55000000000000004">
      <c r="I33" s="66">
        <v>4</v>
      </c>
      <c r="J33" t="s">
        <v>111</v>
      </c>
    </row>
    <row r="34" spans="1:10" x14ac:dyDescent="0.55000000000000004">
      <c r="A34" s="54" t="s">
        <v>97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85</v>
      </c>
      <c r="B37" s="61">
        <v>4.0000000000000001E-3</v>
      </c>
    </row>
    <row r="39" spans="1:10" x14ac:dyDescent="0.55000000000000004">
      <c r="A39" s="54" t="s">
        <v>98</v>
      </c>
      <c r="E39" s="54" t="s">
        <v>99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100</v>
      </c>
      <c r="F41" s="61">
        <v>0.25</v>
      </c>
    </row>
    <row r="42" spans="1:10" x14ac:dyDescent="0.55000000000000004">
      <c r="A42" t="s">
        <v>85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SIM①_月4投稿</vt:lpstr>
      <vt:lpstr>SIM①_比較</vt:lpstr>
      <vt:lpstr>SIM②_月5投稿</vt:lpstr>
      <vt:lpstr>SIM②_比較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2026-10-30T06:44:44Z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
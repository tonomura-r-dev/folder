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IM3_LINE登録2%" sheetId="1" state="visible" r:id="rId1"/>
    <sheet xmlns:r="http://schemas.openxmlformats.org/officeDocument/2006/relationships" name="SIM3_比較" sheetId="2" state="visible" r:id="rId2"/>
    <sheet xmlns:r="http://schemas.openxmlformats.org/officeDocument/2006/relationships" name="SIM考え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¥&quot;#,##0;[Red]&quot;¥&quot;\-#,##0"/>
  </numFmts>
  <fonts count="26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メイリオ"/>
      <charset val="128"/>
      <family val="3"/>
      <b val="1"/>
      <color theme="1"/>
      <sz val="14"/>
    </font>
    <font>
      <name val="メイリオ"/>
      <charset val="128"/>
      <family val="3"/>
      <color theme="1"/>
      <sz val="14"/>
    </font>
    <font>
      <name val="メイリオ"/>
      <charset val="128"/>
      <family val="3"/>
      <b val="1"/>
      <color theme="0"/>
      <sz val="11"/>
    </font>
    <font>
      <name val="メイリオ"/>
      <charset val="128"/>
      <family val="3"/>
      <color theme="1"/>
      <sz val="11"/>
    </font>
    <font>
      <name val="メイリオ"/>
      <charset val="128"/>
      <family val="3"/>
      <color theme="0" tint="-0.3499862666707358"/>
      <sz val="11"/>
    </font>
    <font>
      <name val="メイリオ"/>
      <charset val="128"/>
      <family val="3"/>
      <b val="1"/>
      <color theme="1"/>
      <sz val="11"/>
    </font>
    <font>
      <name val="メイリオ"/>
      <charset val="128"/>
      <family val="3"/>
      <color theme="1"/>
      <sz val="10"/>
    </font>
    <font>
      <name val="メイリオ"/>
      <charset val="128"/>
      <family val="3"/>
      <color theme="1"/>
      <sz val="9"/>
    </font>
    <font>
      <name val="メイリオ"/>
      <charset val="128"/>
      <family val="3"/>
      <color rgb="FFFF0000"/>
      <sz val="11"/>
    </font>
    <font>
      <name val="メイリオ"/>
      <charset val="128"/>
      <family val="3"/>
      <b val="1"/>
      <color rgb="FFFF0000"/>
      <sz val="11"/>
    </font>
    <font>
      <name val="メイリオ"/>
      <charset val="128"/>
      <family val="3"/>
      <b val="1"/>
      <color theme="1"/>
      <sz val="10"/>
    </font>
    <font>
      <name val="メイリオ"/>
      <charset val="128"/>
      <family val="3"/>
      <color theme="2" tint="-0.499984740745262"/>
      <sz val="11"/>
    </font>
    <font>
      <name val="メイリオ"/>
      <charset val="128"/>
      <family val="3"/>
      <b val="1"/>
      <color theme="1"/>
      <sz val="20"/>
    </font>
    <font>
      <name val="メイリオ"/>
      <charset val="128"/>
      <family val="3"/>
      <color rgb="FF000000"/>
      <sz val="11"/>
    </font>
    <font>
      <name val="メイリオ"/>
      <charset val="128"/>
      <family val="3"/>
      <color rgb="FF000000"/>
      <sz val="12"/>
    </font>
    <font>
      <name val="Arial"/>
      <family val="2"/>
      <sz val="12"/>
    </font>
    <font>
      <name val="メイリオ"/>
      <charset val="128"/>
      <family val="3"/>
      <color rgb="FFFF0000"/>
      <sz val="12"/>
    </font>
    <font>
      <name val="メイリオ"/>
      <charset val="128"/>
      <family val="3"/>
      <b val="1"/>
      <color rgb="FF000000"/>
      <sz val="12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メイリオ"/>
      <charset val="128"/>
      <family val="3"/>
      <color theme="2" tint="-0.749992370372631"/>
      <sz val="11"/>
    </font>
    <font>
      <name val="メイリオ"/>
      <charset val="128"/>
      <family val="3"/>
      <color theme="0" tint="-0.249977111117893"/>
      <sz val="11"/>
    </font>
    <font>
      <name val="メイリオ"/>
      <charset val="128"/>
      <family val="3"/>
      <color rgb="FFFF0000"/>
      <sz val="9"/>
    </font>
  </fonts>
  <fills count="1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0.0999786370433668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1" fillId="0" borderId="0" applyAlignment="1">
      <alignment vertical="center"/>
    </xf>
    <xf numFmtId="38" fontId="1" fillId="0" borderId="0" applyAlignment="1">
      <alignment vertical="center"/>
    </xf>
    <xf numFmtId="6" fontId="1" fillId="0" borderId="0" applyAlignment="1">
      <alignment vertical="center"/>
    </xf>
    <xf numFmtId="9" fontId="1" fillId="0" borderId="0" applyAlignment="1">
      <alignment vertical="center"/>
    </xf>
  </cellStyleXfs>
  <cellXfs count="192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1" xfId="0">
      <alignment horizontal="right" vertical="center"/>
    </xf>
    <xf numFmtId="38" fontId="6" fillId="0" borderId="1" applyAlignment="1" pivotButton="0" quotePrefix="0" xfId="1">
      <alignment vertical="center"/>
    </xf>
    <xf numFmtId="0" fontId="6" fillId="9" borderId="1" applyAlignment="1" pivotButton="0" quotePrefix="0" xfId="0">
      <alignment vertical="center"/>
    </xf>
    <xf numFmtId="38" fontId="6" fillId="9" borderId="1" applyAlignment="1" pivotButton="0" quotePrefix="0" xfId="1">
      <alignment vertical="center"/>
    </xf>
    <xf numFmtId="0" fontId="8" fillId="8" borderId="1" applyAlignment="1" pivotButton="0" quotePrefix="0" xfId="0">
      <alignment vertical="center"/>
    </xf>
    <xf numFmtId="0" fontId="7" fillId="9" borderId="1" applyAlignment="1" pivotButton="0" quotePrefix="1" xfId="0">
      <alignment horizontal="right" vertical="center"/>
    </xf>
    <xf numFmtId="0" fontId="10" fillId="0" borderId="0" applyAlignment="1" pivotButton="0" quotePrefix="0" xfId="0">
      <alignment vertical="center"/>
    </xf>
    <xf numFmtId="0" fontId="6" fillId="0" borderId="1" applyAlignment="1" pivotButton="0" quotePrefix="1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10" fontId="6" fillId="0" borderId="0" applyAlignment="1" pivotButton="0" quotePrefix="0" xfId="3">
      <alignment vertical="center"/>
    </xf>
    <xf numFmtId="0" fontId="8" fillId="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164" fontId="6" fillId="0" borderId="0" applyAlignment="1" pivotButton="0" quotePrefix="0" xfId="3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vertical="center"/>
    </xf>
    <xf numFmtId="165" fontId="6" fillId="0" borderId="1" applyAlignment="1" pivotButton="0" quotePrefix="0" xfId="0">
      <alignment vertical="center"/>
    </xf>
    <xf numFmtId="165" fontId="6" fillId="0" borderId="1" applyAlignment="1" pivotButton="0" quotePrefix="0" xfId="2">
      <alignment vertical="center"/>
    </xf>
    <xf numFmtId="0" fontId="8" fillId="0" borderId="0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165" fontId="14" fillId="0" borderId="1" applyAlignment="1" pivotButton="0" quotePrefix="0" xfId="2">
      <alignment vertical="center"/>
    </xf>
    <xf numFmtId="10" fontId="6" fillId="0" borderId="1" applyAlignment="1" pivotButton="0" quotePrefix="0" xfId="3">
      <alignment vertical="center"/>
    </xf>
    <xf numFmtId="165" fontId="8" fillId="0" borderId="1" applyAlignment="1" pivotButton="0" quotePrefix="0" xfId="2">
      <alignment horizontal="center" vertical="center"/>
    </xf>
    <xf numFmtId="3" fontId="6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55" fontId="5" fillId="3" borderId="1" applyAlignment="1" pivotButton="0" quotePrefix="0" xfId="0">
      <alignment horizontal="center" vertical="center"/>
    </xf>
    <xf numFmtId="165" fontId="6" fillId="0" borderId="0" applyAlignment="1" pivotButton="0" quotePrefix="0" xfId="2">
      <alignment vertical="center"/>
    </xf>
    <xf numFmtId="0" fontId="8" fillId="0" borderId="1" applyAlignment="1" pivotButton="0" quotePrefix="1" xfId="0">
      <alignment horizontal="center" vertical="center"/>
    </xf>
    <xf numFmtId="165" fontId="6" fillId="0" borderId="1" applyAlignment="1" pivotButton="0" quotePrefix="1" xfId="2">
      <alignment vertical="center"/>
    </xf>
    <xf numFmtId="165" fontId="6" fillId="0" borderId="1" applyAlignment="1" pivotButton="0" quotePrefix="0" xfId="3">
      <alignment vertical="center"/>
    </xf>
    <xf numFmtId="38" fontId="11" fillId="0" borderId="0" applyAlignment="1" pivotButton="0" quotePrefix="0" xfId="1">
      <alignment vertical="center"/>
    </xf>
    <xf numFmtId="3" fontId="17" fillId="12" borderId="7" applyAlignment="1" pivotButton="0" quotePrefix="0" xfId="0">
      <alignment horizontal="center" vertical="center" wrapText="1" readingOrder="1"/>
    </xf>
    <xf numFmtId="3" fontId="17" fillId="0" borderId="7" applyAlignment="1" pivotButton="0" quotePrefix="0" xfId="0">
      <alignment horizontal="center" vertical="center" wrapText="1" readingOrder="1"/>
    </xf>
    <xf numFmtId="0" fontId="17" fillId="12" borderId="7" applyAlignment="1" pivotButton="0" quotePrefix="0" xfId="0">
      <alignment horizontal="right" vertical="center" wrapText="1" readingOrder="1"/>
    </xf>
    <xf numFmtId="0" fontId="17" fillId="0" borderId="7" applyAlignment="1" pivotButton="0" quotePrefix="0" xfId="0">
      <alignment horizontal="right" vertical="center" wrapText="1" readingOrder="1"/>
    </xf>
    <xf numFmtId="3" fontId="17" fillId="0" borderId="7" applyAlignment="1" pivotButton="0" quotePrefix="0" xfId="0">
      <alignment horizontal="right" vertical="center" wrapText="1" readingOrder="1"/>
    </xf>
    <xf numFmtId="10" fontId="17" fillId="0" borderId="7" applyAlignment="1" pivotButton="0" quotePrefix="0" xfId="0">
      <alignment horizontal="right" vertical="center" wrapText="1" readingOrder="1"/>
    </xf>
    <xf numFmtId="0" fontId="19" fillId="12" borderId="7" applyAlignment="1" pivotButton="0" quotePrefix="0" xfId="0">
      <alignment horizontal="right" vertical="center" wrapText="1" readingOrder="1"/>
    </xf>
    <xf numFmtId="3" fontId="19" fillId="0" borderId="7" applyAlignment="1" pivotButton="0" quotePrefix="0" xfId="0">
      <alignment horizontal="right" vertical="center" wrapText="1" readingOrder="1"/>
    </xf>
    <xf numFmtId="3" fontId="20" fillId="0" borderId="7" applyAlignment="1" pivotButton="0" quotePrefix="0" xfId="0">
      <alignment horizontal="right" vertical="center" wrapText="1" readingOrder="1"/>
    </xf>
    <xf numFmtId="165" fontId="6" fillId="10" borderId="1" applyAlignment="1" pivotButton="0" quotePrefix="0" xfId="2">
      <alignment vertical="center"/>
    </xf>
    <xf numFmtId="0" fontId="9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12" fillId="8" borderId="0" applyAlignment="1" pivotButton="0" quotePrefix="0" xfId="0">
      <alignment vertical="center"/>
    </xf>
    <xf numFmtId="0" fontId="15" fillId="0" borderId="0" applyAlignment="1" pivotButton="0" quotePrefix="1" xfId="0">
      <alignment vertical="center"/>
    </xf>
    <xf numFmtId="0" fontId="18" fillId="0" borderId="7" applyAlignment="1" pivotButton="0" quotePrefix="0" xfId="0">
      <alignment horizontal="center" vertical="center" wrapText="1"/>
    </xf>
    <xf numFmtId="0" fontId="18" fillId="10" borderId="7" applyAlignment="1" pivotButton="0" quotePrefix="0" xfId="0">
      <alignment horizontal="center" vertical="center" wrapText="1"/>
    </xf>
    <xf numFmtId="0" fontId="22" fillId="13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164" fontId="0" fillId="0" borderId="0" applyAlignment="1" pivotButton="0" quotePrefix="0" xfId="3">
      <alignment vertical="center"/>
    </xf>
    <xf numFmtId="164" fontId="0" fillId="0" borderId="0" applyAlignment="1" pivotButton="0" quotePrefix="1" xfId="3">
      <alignment vertical="center"/>
    </xf>
    <xf numFmtId="38" fontId="17" fillId="0" borderId="7" applyAlignment="1" pivotButton="0" quotePrefix="0" xfId="1">
      <alignment horizontal="right" vertical="center" wrapText="1" readingOrder="1"/>
    </xf>
    <xf numFmtId="0" fontId="8" fillId="0" borderId="1" applyAlignment="1" pivotButton="0" quotePrefix="1" xfId="0">
      <alignment horizontal="right" vertical="center"/>
    </xf>
    <xf numFmtId="165" fontId="8" fillId="0" borderId="1" applyAlignment="1" pivotButton="0" quotePrefix="0" xfId="2">
      <alignment vertical="center"/>
    </xf>
    <xf numFmtId="0" fontId="21" fillId="0" borderId="0" applyAlignment="1" pivotButton="0" quotePrefix="0" xfId="0">
      <alignment horizontal="center" vertical="center"/>
    </xf>
    <xf numFmtId="0" fontId="21" fillId="8" borderId="0" applyAlignment="1" pivotButton="0" quotePrefix="0" xfId="0">
      <alignment vertical="center"/>
    </xf>
    <xf numFmtId="0" fontId="0" fillId="8" borderId="0" applyAlignment="1" pivotButton="0" quotePrefix="0" xfId="0">
      <alignment vertical="center"/>
    </xf>
    <xf numFmtId="0" fontId="6" fillId="10" borderId="0" applyAlignment="1" pivotButton="0" quotePrefix="0" xfId="0">
      <alignment vertical="center"/>
    </xf>
    <xf numFmtId="0" fontId="11" fillId="10" borderId="0" applyAlignment="1" pivotButton="0" quotePrefix="0" xfId="0">
      <alignment vertical="center"/>
    </xf>
    <xf numFmtId="0" fontId="12" fillId="10" borderId="0" applyAlignment="1" pivotButton="0" quotePrefix="0" xfId="0">
      <alignment vertical="center"/>
    </xf>
    <xf numFmtId="0" fontId="23" fillId="10" borderId="0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9" fontId="11" fillId="0" borderId="0" applyAlignment="1" pivotButton="0" quotePrefix="0" xfId="3">
      <alignment horizontal="center" vertical="center"/>
    </xf>
    <xf numFmtId="0" fontId="6" fillId="7" borderId="0" applyAlignment="1" pivotButton="0" quotePrefix="0" xfId="0">
      <alignment horizontal="center" vertical="center"/>
    </xf>
    <xf numFmtId="165" fontId="6" fillId="7" borderId="0" applyAlignment="1" pivotButton="0" quotePrefix="0" xfId="2">
      <alignment horizontal="center" vertical="center"/>
    </xf>
    <xf numFmtId="164" fontId="8" fillId="7" borderId="0" applyAlignment="1" pivotButton="0" quotePrefix="0" xfId="3">
      <alignment horizontal="center" vertical="center"/>
    </xf>
    <xf numFmtId="9" fontId="6" fillId="7" borderId="0" applyAlignment="1" pivotButton="0" quotePrefix="0" xfId="0">
      <alignment horizontal="center" vertical="center"/>
    </xf>
    <xf numFmtId="10" fontId="6" fillId="7" borderId="0" applyAlignment="1" pivotButton="0" quotePrefix="0" xfId="3">
      <alignment horizontal="center" vertical="center"/>
    </xf>
    <xf numFmtId="165" fontId="6" fillId="0" borderId="1" applyAlignment="1" pivotButton="0" quotePrefix="1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8" fillId="11" borderId="1" applyAlignment="1" pivotButton="0" quotePrefix="0" xfId="0">
      <alignment vertical="center"/>
    </xf>
    <xf numFmtId="0" fontId="8" fillId="13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5" fontId="6" fillId="10" borderId="1" applyAlignment="1" pivotButton="0" quotePrefix="0" xfId="2">
      <alignment horizontal="right" vertical="center"/>
    </xf>
    <xf numFmtId="3" fontId="6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right" vertical="center"/>
    </xf>
    <xf numFmtId="164" fontId="6" fillId="0" borderId="1" applyAlignment="1" pivotButton="0" quotePrefix="0" xfId="3">
      <alignment vertical="center"/>
    </xf>
    <xf numFmtId="165" fontId="6" fillId="0" borderId="1" applyAlignment="1" pivotButton="0" quotePrefix="0" xfId="2">
      <alignment horizontal="right" vertical="center"/>
    </xf>
    <xf numFmtId="38" fontId="6" fillId="0" borderId="0" applyAlignment="1" pivotButton="0" quotePrefix="0" xfId="1">
      <alignment vertical="center"/>
    </xf>
    <xf numFmtId="0" fontId="8" fillId="11" borderId="0" applyAlignment="1" pivotButton="0" quotePrefix="0" xfId="0">
      <alignment vertical="center"/>
    </xf>
    <xf numFmtId="0" fontId="8" fillId="13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8" fillId="7" borderId="6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6" fillId="2" borderId="6" applyAlignment="1" pivotButton="0" quotePrefix="0" xfId="0">
      <alignment horizontal="right" vertical="center"/>
    </xf>
    <xf numFmtId="165" fontId="6" fillId="2" borderId="6" applyAlignment="1" pivotButton="0" quotePrefix="0" xfId="0">
      <alignment horizontal="right" vertical="center"/>
    </xf>
    <xf numFmtId="0" fontId="8" fillId="7" borderId="6" applyAlignment="1" pivotButton="0" quotePrefix="0" xfId="0">
      <alignment horizontal="right" vertical="center"/>
    </xf>
    <xf numFmtId="38" fontId="19" fillId="12" borderId="7" applyAlignment="1" pivotButton="0" quotePrefix="0" xfId="1">
      <alignment horizontal="right" vertical="center" wrapText="1" readingOrder="1"/>
    </xf>
    <xf numFmtId="164" fontId="17" fillId="12" borderId="7" applyAlignment="1" pivotButton="0" quotePrefix="0" xfId="3">
      <alignment horizontal="right" vertical="center" wrapText="1" readingOrder="1"/>
    </xf>
    <xf numFmtId="38" fontId="17" fillId="12" borderId="7" applyAlignment="1" pivotButton="0" quotePrefix="0" xfId="1">
      <alignment horizontal="right" vertical="center" wrapText="1" readingOrder="1"/>
    </xf>
    <xf numFmtId="38" fontId="20" fillId="12" borderId="7" applyAlignment="1" pivotButton="0" quotePrefix="0" xfId="1">
      <alignment horizontal="right" vertical="center" wrapText="1" readingOrder="1"/>
    </xf>
    <xf numFmtId="165" fontId="5" fillId="5" borderId="6" applyAlignment="1" pivotButton="0" quotePrefix="0" xfId="0">
      <alignment horizontal="right" vertical="center"/>
    </xf>
    <xf numFmtId="38" fontId="16" fillId="0" borderId="7" applyAlignment="1" pivotButton="0" quotePrefix="0" xfId="1">
      <alignment horizontal="right" vertical="center" wrapText="1" readingOrder="1"/>
    </xf>
    <xf numFmtId="0" fontId="6" fillId="8" borderId="1" applyAlignment="1" pivotButton="0" quotePrefix="0" xfId="0">
      <alignment horizontal="center" vertical="center"/>
    </xf>
    <xf numFmtId="165" fontId="8" fillId="0" borderId="1" applyAlignment="1" pivotButton="0" quotePrefix="0" xfId="2">
      <alignment horizontal="right" vertical="center"/>
    </xf>
    <xf numFmtId="165" fontId="8" fillId="10" borderId="1" applyAlignment="1" pivotButton="0" quotePrefix="0" xfId="2">
      <alignment vertical="center"/>
    </xf>
    <xf numFmtId="38" fontId="6" fillId="9" borderId="1" applyAlignment="1" pivotButton="0" quotePrefix="0" xfId="0">
      <alignment vertical="center"/>
    </xf>
    <xf numFmtId="9" fontId="8" fillId="0" borderId="0" applyAlignment="1" pivotButton="0" quotePrefix="0" xfId="3">
      <alignment vertical="center"/>
    </xf>
    <xf numFmtId="38" fontId="6" fillId="0" borderId="1" applyAlignment="1" pivotButton="0" quotePrefix="0" xfId="0">
      <alignment vertical="center"/>
    </xf>
    <xf numFmtId="0" fontId="5" fillId="5" borderId="5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8" fillId="7" borderId="5" applyAlignment="1" pivotButton="0" quotePrefix="0" xfId="0">
      <alignment horizontal="center" vertical="center"/>
    </xf>
    <xf numFmtId="0" fontId="8" fillId="7" borderId="6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/>
    </xf>
    <xf numFmtId="0" fontId="8" fillId="2" borderId="6" applyAlignment="1" pivotButton="0" quotePrefix="0" xfId="0">
      <alignment horizontal="center" vertical="center"/>
    </xf>
    <xf numFmtId="0" fontId="8" fillId="6" borderId="5" applyAlignment="1" pivotButton="0" quotePrefix="0" xfId="0">
      <alignment horizontal="center" vertical="center"/>
    </xf>
    <xf numFmtId="0" fontId="8" fillId="6" borderId="6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7" borderId="4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8" fillId="0" borderId="14" applyAlignment="1" pivotButton="0" quotePrefix="0" xfId="0">
      <alignment vertical="center"/>
    </xf>
    <xf numFmtId="0" fontId="8" fillId="0" borderId="15" applyAlignment="1" pivotButton="0" quotePrefix="0" xfId="0">
      <alignment vertical="center"/>
    </xf>
    <xf numFmtId="0" fontId="8" fillId="0" borderId="8" applyAlignment="1" pivotButton="0" quotePrefix="0" xfId="0">
      <alignment horizontal="center" vertical="center"/>
    </xf>
    <xf numFmtId="38" fontId="8" fillId="7" borderId="9" applyAlignment="1" pivotButton="0" quotePrefix="0" xfId="1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38" fontId="8" fillId="7" borderId="0" applyAlignment="1" pivotButton="0" quotePrefix="0" xfId="1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38" fontId="8" fillId="7" borderId="14" applyAlignment="1" pivotButton="0" quotePrefix="0" xfId="1">
      <alignment horizontal="center" vertical="center"/>
    </xf>
    <xf numFmtId="0" fontId="8" fillId="0" borderId="14" applyAlignment="1" pivotButton="0" quotePrefix="0" xfId="0">
      <alignment horizontal="center" vertical="center"/>
    </xf>
    <xf numFmtId="38" fontId="8" fillId="7" borderId="10" applyAlignment="1" pivotButton="0" quotePrefix="0" xfId="1">
      <alignment horizontal="center" vertical="center"/>
    </xf>
    <xf numFmtId="0" fontId="6" fillId="0" borderId="16" applyAlignment="1" pivotButton="0" quotePrefix="0" xfId="0">
      <alignment vertical="center"/>
    </xf>
    <xf numFmtId="0" fontId="6" fillId="0" borderId="17" applyAlignment="1" pivotButton="0" quotePrefix="0" xfId="0">
      <alignment vertical="center"/>
    </xf>
    <xf numFmtId="0" fontId="8" fillId="10" borderId="0" applyAlignment="1" pivotButton="0" quotePrefix="0" xfId="0">
      <alignment vertical="center"/>
    </xf>
    <xf numFmtId="0" fontId="8" fillId="8" borderId="0" applyAlignment="1" pivotButton="0" quotePrefix="0" xfId="0">
      <alignment horizontal="center" vertical="center"/>
    </xf>
    <xf numFmtId="14" fontId="8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8" fillId="7" borderId="1" applyAlignment="1" pivotButton="0" quotePrefix="0" xfId="0">
      <alignment horizontal="center" vertical="center"/>
    </xf>
    <xf numFmtId="165" fontId="8" fillId="0" borderId="1" applyAlignment="1" pivotButton="0" quotePrefix="0" xfId="2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" applyAlignment="1" pivotButton="0" quotePrefix="0" xfId="0">
      <alignment horizontal="center" vertical="center" wrapText="1"/>
    </xf>
    <xf numFmtId="164" fontId="6" fillId="0" borderId="0" applyAlignment="1" pivotButton="0" quotePrefix="0" xfId="3">
      <alignment horizontal="center" vertical="center"/>
    </xf>
    <xf numFmtId="164" fontId="8" fillId="7" borderId="0" applyAlignment="1" pivotButton="0" quotePrefix="0" xfId="3">
      <alignment horizontal="center" vertical="center"/>
    </xf>
    <xf numFmtId="164" fontId="17" fillId="12" borderId="7" applyAlignment="1" pivotButton="0" quotePrefix="0" xfId="3">
      <alignment horizontal="right" vertical="center" wrapText="1" readingOrder="1"/>
    </xf>
    <xf numFmtId="0" fontId="11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165" fontId="6" fillId="7" borderId="0" applyAlignment="1" pivotButton="0" quotePrefix="0" xfId="2">
      <alignment horizontal="center" vertical="center"/>
    </xf>
    <xf numFmtId="0" fontId="6" fillId="7" borderId="1" applyAlignment="1" pivotButton="0" quotePrefix="0" xfId="0">
      <alignment horizontal="center" vertical="center"/>
    </xf>
    <xf numFmtId="165" fontId="14" fillId="0" borderId="1" applyAlignment="1" pivotButton="0" quotePrefix="0" xfId="2">
      <alignment vertical="center"/>
    </xf>
    <xf numFmtId="165" fontId="6" fillId="2" borderId="6" applyAlignment="1" pivotButton="0" quotePrefix="0" xfId="0">
      <alignment horizontal="right" vertical="center"/>
    </xf>
    <xf numFmtId="165" fontId="6" fillId="0" borderId="1" applyAlignment="1" pivotButton="0" quotePrefix="1" xfId="0">
      <alignment horizontal="right" vertical="center"/>
    </xf>
    <xf numFmtId="165" fontId="6" fillId="0" borderId="1" applyAlignment="1" pivotButton="0" quotePrefix="0" xfId="0">
      <alignment vertical="center"/>
    </xf>
    <xf numFmtId="165" fontId="6" fillId="0" borderId="1" applyAlignment="1" pivotButton="0" quotePrefix="0" xfId="2">
      <alignment vertical="center"/>
    </xf>
    <xf numFmtId="165" fontId="8" fillId="0" borderId="1" applyAlignment="1" pivotButton="0" quotePrefix="0" xfId="2">
      <alignment vertical="center"/>
    </xf>
    <xf numFmtId="165" fontId="5" fillId="5" borderId="6" applyAlignment="1" pivotButton="0" quotePrefix="0" xfId="0">
      <alignment horizontal="right" vertical="center"/>
    </xf>
    <xf numFmtId="165" fontId="6" fillId="0" borderId="1" applyAlignment="1" pivotButton="0" quotePrefix="0" xfId="3">
      <alignment vertical="center"/>
    </xf>
    <xf numFmtId="165" fontId="6" fillId="0" borderId="0" applyAlignment="1" pivotButton="0" quotePrefix="0" xfId="2">
      <alignment vertical="center"/>
    </xf>
    <xf numFmtId="165" fontId="6" fillId="0" borderId="1" applyAlignment="1" pivotButton="0" quotePrefix="1" xfId="2">
      <alignment vertical="center"/>
    </xf>
    <xf numFmtId="165" fontId="6" fillId="0" borderId="1" applyAlignment="1" pivotButton="0" quotePrefix="0" xfId="2">
      <alignment horizontal="right" vertical="center"/>
    </xf>
    <xf numFmtId="165" fontId="6" fillId="10" borderId="1" applyAlignment="1" pivotButton="0" quotePrefix="0" xfId="2">
      <alignment vertical="center"/>
    </xf>
    <xf numFmtId="165" fontId="8" fillId="0" borderId="1" applyAlignment="1" pivotButton="0" quotePrefix="0" xfId="2">
      <alignment horizontal="right" vertical="center"/>
    </xf>
    <xf numFmtId="165" fontId="8" fillId="10" borderId="1" applyAlignment="1" pivotButton="0" quotePrefix="0" xfId="2">
      <alignment vertical="center"/>
    </xf>
    <xf numFmtId="165" fontId="6" fillId="10" borderId="1" applyAlignment="1" pivotButton="0" quotePrefix="0" xfId="2">
      <alignment horizontal="right" vertical="center"/>
    </xf>
    <xf numFmtId="164" fontId="6" fillId="0" borderId="1" applyAlignment="1" pivotButton="0" quotePrefix="0" xfId="3">
      <alignment vertical="center"/>
    </xf>
    <xf numFmtId="164" fontId="0" fillId="0" borderId="0" applyAlignment="1" pivotButton="0" quotePrefix="0" xfId="3">
      <alignment vertical="center"/>
    </xf>
    <xf numFmtId="164" fontId="0" fillId="0" borderId="0" applyAlignment="1" pivotButton="0" quotePrefix="1" xfId="3">
      <alignment vertical="center"/>
    </xf>
  </cellXfs>
  <cellStyles count="4">
    <cellStyle name="標準" xfId="0" builtinId="0"/>
    <cellStyle name="桁区切り" xfId="1" builtinId="6"/>
    <cellStyle name="通貨" xfId="2" builtinId="7"/>
    <cellStyle name="パーセント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Z76"/>
  <sheetViews>
    <sheetView workbookViewId="0">
      <selection activeCell="A1" sqref="A1"/>
    </sheetView>
  </sheetViews>
  <sheetFormatPr baseColWidth="8" defaultColWidth="9" defaultRowHeight="18.75"/>
  <cols>
    <col width="19.375" customWidth="1" style="5" min="1" max="1"/>
    <col width="29.25" customWidth="1" style="5" min="2" max="2"/>
    <col width="20" customWidth="1" style="5" min="3" max="12"/>
    <col width="2.625" customWidth="1" style="5" min="13" max="13"/>
    <col width="44.5" customWidth="1" style="69" min="14" max="14"/>
    <col width="24.125" customWidth="1" style="5" min="15" max="17"/>
    <col width="2.875" customWidth="1" style="5" min="18" max="18"/>
    <col width="12.125" customWidth="1" style="5" min="19" max="19"/>
    <col width="2.625" bestFit="1" customWidth="1" style="5" min="20" max="20"/>
    <col width="12.125" customWidth="1" style="5" min="21" max="21"/>
    <col width="2.875" customWidth="1" style="5" min="22" max="22"/>
    <col width="12.125" customWidth="1" style="5" min="23" max="23"/>
    <col width="2.625" bestFit="1" customWidth="1" style="5" min="24" max="24"/>
    <col width="12.125" customWidth="1" style="5" min="25" max="25"/>
    <col width="9" customWidth="1" style="5" min="26" max="16384"/>
  </cols>
  <sheetData>
    <row r="2">
      <c r="A2" s="156" t="inlineStr">
        <is>
          <t>Ver.</t>
        </is>
      </c>
      <c r="B2" s="157" t="n">
        <v>46269</v>
      </c>
    </row>
    <row r="4" ht="45.75" customHeight="1" s="158">
      <c r="A4" s="56" t="inlineStr">
        <is>
          <t>株式会社チェングロウス御中_LINEOA施策提案【SIM】（通知メッセージ無・LINEで登録2.0%）</t>
        </is>
      </c>
      <c r="N4" s="55" t="n"/>
      <c r="O4" s="55" t="n"/>
      <c r="P4" s="55" t="n"/>
      <c r="Q4" s="55" t="n"/>
      <c r="R4" s="55" t="n"/>
      <c r="S4" s="55" t="n"/>
      <c r="T4" s="55" t="n"/>
      <c r="U4" s="55" t="n"/>
      <c r="V4" s="55" t="n"/>
      <c r="W4" s="55" t="n"/>
      <c r="X4" s="55" t="n"/>
      <c r="Y4" s="55" t="n"/>
    </row>
    <row r="5" ht="22.5" customFormat="1" customHeight="1" s="2">
      <c r="A5" s="1" t="n"/>
      <c r="B5" s="1" t="n"/>
      <c r="C5" s="1" t="n"/>
      <c r="D5" s="1" t="n"/>
      <c r="N5" s="55" t="inlineStr">
        <is>
          <t>※これより→はPDFにするときに消すようにする（範囲外に）</t>
        </is>
      </c>
      <c r="O5" s="55" t="n"/>
      <c r="P5" s="55" t="n"/>
      <c r="Q5" s="55" t="n"/>
      <c r="R5" s="55" t="n"/>
      <c r="S5" s="55" t="n"/>
      <c r="T5" s="55" t="n"/>
      <c r="U5" s="55" t="n"/>
      <c r="V5" s="55" t="n"/>
      <c r="W5" s="55" t="n"/>
      <c r="X5" s="55" t="n"/>
      <c r="Y5" s="55" t="n"/>
    </row>
    <row r="6">
      <c r="N6" s="55" t="n"/>
      <c r="O6" s="55" t="n"/>
      <c r="P6" s="55" t="n"/>
      <c r="Q6" s="55" t="n"/>
      <c r="R6" s="55" t="n"/>
      <c r="S6" s="55" t="n"/>
      <c r="T6" s="55" t="n"/>
      <c r="U6" s="55" t="n"/>
      <c r="V6" s="55" t="n"/>
      <c r="W6" s="55" t="n"/>
      <c r="X6" s="55" t="n"/>
      <c r="Y6" s="55" t="n"/>
    </row>
    <row r="7" ht="19.5" customHeight="1" s="158" thickBot="1">
      <c r="A7" s="139" t="inlineStr">
        <is>
          <t>■要件定義</t>
        </is>
      </c>
      <c r="B7" s="17" t="inlineStr">
        <is>
          <t>地点</t>
        </is>
      </c>
      <c r="C7" s="17" t="inlineStr">
        <is>
          <t>名称</t>
        </is>
      </c>
      <c r="D7" s="17" t="inlineStr">
        <is>
          <t>成果単価</t>
        </is>
      </c>
    </row>
    <row r="8" ht="19.5" customHeight="1" s="158" thickBot="1">
      <c r="A8" s="159" t="inlineStr">
        <is>
          <t>新規CV</t>
        </is>
      </c>
      <c r="B8" s="19" t="inlineStr">
        <is>
          <t>①_CV地点</t>
        </is>
      </c>
      <c r="C8" s="19" t="inlineStr">
        <is>
          <t>会員登録（LINEで登録・Profile+）</t>
        </is>
      </c>
      <c r="D8" s="160" t="n">
        <v>0</v>
      </c>
      <c r="G8" s="143" t="inlineStr">
        <is>
          <t>UU</t>
        </is>
      </c>
      <c r="H8" s="144" t="n">
        <v>6100</v>
      </c>
      <c r="I8" s="145" t="n"/>
      <c r="J8" s="145" t="inlineStr">
        <is>
          <t>想定顧客リスト</t>
        </is>
      </c>
      <c r="K8" s="152" t="n">
        <v>0</v>
      </c>
      <c r="N8" s="69" t="inlineStr">
        <is>
          <t>SimilarWeb等を参考に</t>
        </is>
      </c>
      <c r="O8" s="35" t="inlineStr">
        <is>
          <t>※メルマガ、他SNS等でのリリースが出来るか</t>
        </is>
      </c>
    </row>
    <row r="9" ht="19.5" customHeight="1" s="158" thickBot="1">
      <c r="A9" s="161" t="n"/>
      <c r="B9" s="19" t="inlineStr">
        <is>
          <t>②_CV地点</t>
        </is>
      </c>
      <c r="C9" s="38" t="inlineStr">
        <is>
          <t>求人応募（LINE経由）</t>
        </is>
      </c>
      <c r="D9" s="160" t="n">
        <v>0</v>
      </c>
      <c r="G9" s="146" t="inlineStr">
        <is>
          <t>広告・アフィUU</t>
        </is>
      </c>
      <c r="H9" s="147" t="n">
        <v>5000</v>
      </c>
      <c r="I9" s="148" t="n"/>
      <c r="J9" s="139" t="n"/>
      <c r="K9" s="140" t="n"/>
      <c r="N9" s="155" t="inlineStr">
        <is>
          <t>広告比率等を参考に</t>
        </is>
      </c>
      <c r="O9" s="153" t="inlineStr">
        <is>
          <t>LINEプレスリリースの可否</t>
        </is>
      </c>
      <c r="P9" s="154" t="b">
        <v>0</v>
      </c>
    </row>
    <row r="10">
      <c r="A10" s="159" t="inlineStr">
        <is>
          <t>リピートCV</t>
        </is>
      </c>
      <c r="B10" s="19" t="inlineStr">
        <is>
          <t>③_CV地点</t>
        </is>
      </c>
      <c r="C10" s="19" t="inlineStr">
        <is>
          <t>-</t>
        </is>
      </c>
      <c r="D10" s="160" t="n">
        <v>0</v>
      </c>
      <c r="G10" s="146" t="inlineStr">
        <is>
          <t>サイト応募（広告経由）</t>
        </is>
      </c>
      <c r="H10" s="147" t="n">
        <v>45</v>
      </c>
      <c r="I10" s="148" t="n"/>
      <c r="J10" s="139" t="n"/>
      <c r="K10" s="140" t="n"/>
      <c r="N10" s="155" t="inlineStr">
        <is>
          <t>CV聞けてれば→通知メッセ、サンクスLINE誘導</t>
        </is>
      </c>
    </row>
    <row r="11" ht="19.5" customHeight="1" s="158" thickBot="1">
      <c r="A11" s="161" t="n"/>
      <c r="B11" s="19" t="inlineStr">
        <is>
          <t>④_CV地点</t>
        </is>
      </c>
      <c r="C11" s="38" t="inlineStr">
        <is>
          <t>-</t>
        </is>
      </c>
      <c r="D11" s="160" t="n">
        <v>0</v>
      </c>
      <c r="G11" s="149" t="inlineStr">
        <is>
          <t>CV（別施策）2</t>
        </is>
      </c>
      <c r="H11" s="150" t="n">
        <v>0</v>
      </c>
      <c r="I11" s="151" t="n"/>
      <c r="J11" s="141" t="n"/>
      <c r="K11" s="142" t="n"/>
    </row>
    <row r="12">
      <c r="O12" s="55" t="inlineStr">
        <is>
          <t>↓調整可能です！</t>
        </is>
      </c>
      <c r="P12" s="55" t="n"/>
      <c r="Q12" s="55" t="n"/>
      <c r="S12" s="55" t="n"/>
      <c r="T12" s="55" t="n"/>
      <c r="U12" s="55" t="n"/>
      <c r="V12" s="55" t="n"/>
    </row>
    <row r="13">
      <c r="A13" s="132" t="inlineStr">
        <is>
          <t>項目</t>
        </is>
      </c>
      <c r="B13" s="162" t="n"/>
      <c r="C13" s="132" t="n"/>
      <c r="D13" s="13" t="inlineStr">
        <is>
          <t xml:space="preserve">　※↓現状数値</t>
        </is>
      </c>
      <c r="E13" s="36" t="inlineStr">
        <is>
          <t>1か月目（4月）</t>
        </is>
      </c>
      <c r="F13" s="36" t="inlineStr">
        <is>
          <t>2か月目（5月）</t>
        </is>
      </c>
      <c r="G13" s="36" t="inlineStr">
        <is>
          <t>3か月目（6月）</t>
        </is>
      </c>
      <c r="H13" s="36" t="inlineStr">
        <is>
          <t>4か月目（7月）</t>
        </is>
      </c>
      <c r="I13" s="36" t="inlineStr">
        <is>
          <t>5か月目（8月）</t>
        </is>
      </c>
      <c r="J13" s="36" t="inlineStr">
        <is>
          <t>6か月目（9月）</t>
        </is>
      </c>
      <c r="K13" s="3" t="inlineStr">
        <is>
          <t>半年合計</t>
        </is>
      </c>
      <c r="L13" s="4" t="inlineStr">
        <is>
          <t>単月平均（６ヶ月）</t>
        </is>
      </c>
      <c r="N13" s="71" t="inlineStr">
        <is>
          <t>20%くらいの調整は可能です。</t>
        </is>
      </c>
      <c r="O13" s="30" t="inlineStr">
        <is>
          <t>→DYM作業用</t>
        </is>
      </c>
      <c r="P13" s="23" t="n"/>
      <c r="Q13" s="23" t="n"/>
      <c r="S13" s="23" t="n"/>
      <c r="T13" s="23" t="n"/>
      <c r="U13" s="23" t="n"/>
      <c r="V13" s="23" t="n"/>
    </row>
    <row r="14" ht="19.5" customHeight="1" s="158">
      <c r="A14" s="163" t="inlineStr">
        <is>
          <t>WEBサイト</t>
        </is>
      </c>
      <c r="B14" s="20" t="inlineStr">
        <is>
          <t>UU全体</t>
        </is>
      </c>
      <c r="C14" s="99" t="n"/>
      <c r="D14" s="42">
        <f>+H8</f>
        <v/>
      </c>
      <c r="E14" s="43" t="n">
        <v>6207</v>
      </c>
      <c r="F14" s="43" t="n">
        <v>6112</v>
      </c>
      <c r="G14" s="43" t="n">
        <v>6066</v>
      </c>
      <c r="H14" s="43" t="n">
        <v>6179</v>
      </c>
      <c r="I14" s="43" t="n">
        <v>6005</v>
      </c>
      <c r="J14" s="43" t="n">
        <v>6243</v>
      </c>
      <c r="K14" s="11" t="n"/>
      <c r="L14" s="7" t="n"/>
    </row>
    <row r="15" ht="19.5" customHeight="1" s="158">
      <c r="A15" s="164" t="n"/>
      <c r="B15" s="20" t="inlineStr">
        <is>
          <t>UU(うち広告)</t>
        </is>
      </c>
      <c r="C15" s="99" t="n"/>
      <c r="D15" s="42">
        <f>+H9</f>
        <v/>
      </c>
      <c r="E15" s="43" t="n">
        <v>5088</v>
      </c>
      <c r="F15" s="43" t="n">
        <v>5010</v>
      </c>
      <c r="G15" s="43" t="n">
        <v>4972</v>
      </c>
      <c r="H15" s="43" t="n">
        <v>5065</v>
      </c>
      <c r="I15" s="43" t="n">
        <v>4922</v>
      </c>
      <c r="J15" s="43" t="n">
        <v>5118</v>
      </c>
      <c r="K15" s="11" t="n"/>
      <c r="L15" s="7" t="n"/>
      <c r="N15" s="69" t="inlineStr">
        <is>
          <t>（サイト固定リンク）</t>
        </is>
      </c>
      <c r="O15" s="17" t="inlineStr">
        <is>
          <t>AD以外のLINE誘導</t>
        </is>
      </c>
      <c r="P15" s="79" t="n">
        <v>0.005</v>
      </c>
      <c r="S15" s="139" t="inlineStr">
        <is>
          <t>■従量計算式↓</t>
        </is>
      </c>
    </row>
    <row r="16" ht="19.5" customHeight="1" s="158">
      <c r="A16" s="161" t="n"/>
      <c r="B16" s="20" t="inlineStr">
        <is>
          <t>CV（別施策） ※想定</t>
        </is>
      </c>
      <c r="C16" s="99" t="n"/>
      <c r="D16" s="42">
        <f>H10</f>
        <v/>
      </c>
      <c r="E16" s="43" t="n">
        <v>40</v>
      </c>
      <c r="F16" s="43" t="n">
        <v>41</v>
      </c>
      <c r="G16" s="43" t="n">
        <v>43</v>
      </c>
      <c r="H16" s="43" t="n">
        <v>45</v>
      </c>
      <c r="I16" s="43" t="n">
        <v>44</v>
      </c>
      <c r="J16" s="43" t="n">
        <v>47</v>
      </c>
      <c r="K16" s="11" t="n"/>
      <c r="L16" s="7" t="n"/>
      <c r="N16" s="69" t="inlineStr">
        <is>
          <t>（サイト固定リンク）</t>
        </is>
      </c>
      <c r="O16" s="17" t="inlineStr">
        <is>
          <t>ADでのLP/HP→LINE</t>
        </is>
      </c>
      <c r="P16" s="79" t="n">
        <v>0.0025</v>
      </c>
      <c r="S16" s="5" t="inlineStr">
        <is>
          <t>■料金テーブル</t>
        </is>
      </c>
    </row>
    <row r="17">
      <c r="A17" s="163" t="inlineStr">
        <is>
          <t>施策</t>
        </is>
      </c>
      <c r="B17" s="8" t="inlineStr">
        <is>
          <t>CPF</t>
        </is>
      </c>
      <c r="C17" s="100" t="n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inlineStr">
        <is>
          <t>--</t>
        </is>
      </c>
      <c r="L17" s="9" t="inlineStr">
        <is>
          <t>--</t>
        </is>
      </c>
      <c r="S17" s="5" t="inlineStr">
        <is>
          <t>課金対象配信総数</t>
        </is>
      </c>
      <c r="W17" s="5" t="inlineStr">
        <is>
          <t>費用</t>
        </is>
      </c>
      <c r="Z17" s="35" t="inlineStr">
        <is>
          <t>単価</t>
        </is>
      </c>
    </row>
    <row r="18">
      <c r="A18" s="164" t="n"/>
      <c r="B18" s="8" t="inlineStr">
        <is>
          <t>離脱防止</t>
        </is>
      </c>
      <c r="C18" s="100" t="n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inlineStr">
        <is>
          <t>--</t>
        </is>
      </c>
      <c r="L18" s="9" t="inlineStr">
        <is>
          <t>--</t>
        </is>
      </c>
      <c r="N18" s="69" t="inlineStr">
        <is>
          <t>KaiU表示率</t>
        </is>
      </c>
      <c r="O18" s="148" t="inlineStr">
        <is>
          <t>離脱防止表示率（AD）</t>
        </is>
      </c>
      <c r="P18" s="78" t="n">
        <v>0.65</v>
      </c>
      <c r="S18" s="5" t="n">
        <v>0</v>
      </c>
      <c r="T18" s="5" t="inlineStr">
        <is>
          <t>-</t>
        </is>
      </c>
      <c r="U18" s="34" t="n">
        <v>200000</v>
      </c>
      <c r="W18" s="5" t="n">
        <v>0</v>
      </c>
      <c r="X18" s="5" t="inlineStr">
        <is>
          <t>-</t>
        </is>
      </c>
      <c r="Y18" s="34" t="n">
        <v>600000</v>
      </c>
      <c r="Z18" s="35" t="n">
        <v>3</v>
      </c>
    </row>
    <row r="19">
      <c r="A19" s="164" t="n"/>
      <c r="B19" s="8" t="inlineStr">
        <is>
          <t>サンクスLINE誘導</t>
        </is>
      </c>
      <c r="C19" s="100" t="n"/>
      <c r="D19" s="58" t="b">
        <v>0</v>
      </c>
      <c r="E19" s="57" t="b">
        <v>0</v>
      </c>
      <c r="F19" s="57" t="b">
        <v>0</v>
      </c>
      <c r="G19" s="57" t="b">
        <v>0</v>
      </c>
      <c r="H19" s="57" t="b">
        <v>0</v>
      </c>
      <c r="I19" s="57" t="b">
        <v>0</v>
      </c>
      <c r="J19" s="57" t="b">
        <v>0</v>
      </c>
      <c r="K19" s="14" t="n"/>
      <c r="L19" s="9" t="n"/>
      <c r="N19" s="69" t="inlineStr">
        <is>
          <t>KaiU表示率</t>
        </is>
      </c>
      <c r="O19" s="148" t="inlineStr">
        <is>
          <t>離脱防止表示率（SEO）</t>
        </is>
      </c>
      <c r="P19" s="78" t="n">
        <v>0.55</v>
      </c>
      <c r="S19" s="34" t="n">
        <v>200000</v>
      </c>
      <c r="T19" s="5" t="inlineStr">
        <is>
          <t>-</t>
        </is>
      </c>
      <c r="U19" s="34" t="n">
        <v>15000000</v>
      </c>
      <c r="W19" s="34" t="n">
        <v>600000</v>
      </c>
      <c r="X19" s="5" t="inlineStr">
        <is>
          <t>-</t>
        </is>
      </c>
      <c r="Y19" s="34">
        <f>+U19*2.5</f>
        <v/>
      </c>
      <c r="Z19" s="35" t="n">
        <v>2.5</v>
      </c>
    </row>
    <row r="20">
      <c r="A20" s="164" t="n"/>
      <c r="B20" s="8" t="inlineStr">
        <is>
          <t>通知メッセージ_CV</t>
        </is>
      </c>
      <c r="C20" s="100" t="n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 t="n"/>
      <c r="L20" s="9" t="n"/>
      <c r="S20" s="34" t="n"/>
      <c r="U20" s="34" t="n"/>
      <c r="W20" s="34" t="n"/>
      <c r="Y20" s="34" t="n"/>
      <c r="Z20" s="35" t="n"/>
    </row>
    <row r="21">
      <c r="A21" s="161" t="n"/>
      <c r="B21" s="8" t="inlineStr">
        <is>
          <t>通知メッセージ_既存リスト</t>
        </is>
      </c>
      <c r="C21" s="100" t="n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inlineStr">
        <is>
          <t>--</t>
        </is>
      </c>
      <c r="L21" s="9" t="inlineStr">
        <is>
          <t>--</t>
        </is>
      </c>
      <c r="O21" s="25" t="inlineStr">
        <is>
          <t>↓企画投稿</t>
        </is>
      </c>
      <c r="P21" s="26" t="n"/>
      <c r="S21" s="34" t="n"/>
      <c r="U21" s="34" t="n"/>
      <c r="W21" s="34" t="n"/>
      <c r="Y21" s="34" t="n"/>
      <c r="Z21" s="35" t="n"/>
    </row>
    <row r="22" ht="18.75" customHeight="1" s="158">
      <c r="A22" s="165" t="inlineStr">
        <is>
          <t>施策増分
※友だち</t>
        </is>
      </c>
      <c r="B22" s="6" t="inlineStr">
        <is>
          <t>CPF</t>
        </is>
      </c>
      <c r="C22" s="17" t="n"/>
      <c r="D22" s="44" t="inlineStr">
        <is>
          <t>--</t>
        </is>
      </c>
      <c r="E22" s="63">
        <f>IF(E17=FALSE,0,IF(E65=0,0,IFERROR(E65/P30,"D63を記入してください")))</f>
        <v/>
      </c>
      <c r="F22" s="63">
        <f>E22*1.01</f>
        <v/>
      </c>
      <c r="G22" s="63">
        <f>F22*1.01</f>
        <v/>
      </c>
      <c r="H22" s="63">
        <f>G22*1.01</f>
        <v/>
      </c>
      <c r="I22" s="63">
        <f>H22*1.01</f>
        <v/>
      </c>
      <c r="J22" s="63">
        <f>I22*1.01</f>
        <v/>
      </c>
      <c r="K22" s="11" t="n"/>
      <c r="L22" s="7" t="n"/>
      <c r="N22" s="69" t="inlineStr">
        <is>
          <t>CPFコスト / CPFの単価設定 ※ブロック率が上がりやすい</t>
        </is>
      </c>
      <c r="O22" s="17" t="inlineStr">
        <is>
          <t>開封率</t>
        </is>
      </c>
      <c r="P22" s="166" t="n">
        <v>0.78</v>
      </c>
      <c r="S22" s="34" t="n"/>
      <c r="U22" s="34" t="n"/>
      <c r="W22" s="34" t="n"/>
      <c r="Y22" s="34" t="n"/>
      <c r="Z22" s="35" t="n"/>
    </row>
    <row r="23" ht="19.5" customHeight="1" s="158">
      <c r="A23" s="164" t="n"/>
      <c r="B23" s="6" t="inlineStr">
        <is>
          <t>離脱防止</t>
        </is>
      </c>
      <c r="C23" s="17" t="n"/>
      <c r="D23" s="44" t="inlineStr">
        <is>
          <t>--</t>
        </is>
      </c>
      <c r="E23" s="46">
        <f>IF(E18=FALSE,0,E14*0.4*0.125*0.125*0.62)</f>
        <v/>
      </c>
      <c r="F23" s="46">
        <f>IF(F18=FALSE,0,F14*0.4*0.125*0.125*0.81)</f>
        <v/>
      </c>
      <c r="G23" s="63">
        <f>IF(G18=FALSE,0,G14*0.4*0.125*0.125*0.93)</f>
        <v/>
      </c>
      <c r="H23" s="63">
        <f>IF(H18=FALSE,0,H14*0.4*0.125*0.125*1.0)</f>
        <v/>
      </c>
      <c r="I23" s="63">
        <f>IF(I18=FALSE,0,I14*0.4*0.125*0.125*1.03)</f>
        <v/>
      </c>
      <c r="J23" s="63">
        <f>IF(J18=FALSE,0,J14*0.4*0.125*0.125*1.05)</f>
        <v/>
      </c>
      <c r="K23" s="11" t="n"/>
      <c r="L23" s="7" t="n"/>
      <c r="N23" s="69" t="inlineStr">
        <is>
          <t>離脱防止：UU×表示40%×クリック12.5%×追加12.5%×立ち上げ係数</t>
        </is>
      </c>
      <c r="O23" s="17" t="inlineStr">
        <is>
          <t>クリック率</t>
        </is>
      </c>
      <c r="P23" s="166" t="n">
        <v>0.1</v>
      </c>
      <c r="Q23" s="5" t="inlineStr">
        <is>
          <t>4‐6か月後係数</t>
        </is>
      </c>
      <c r="S23" s="34" t="n"/>
      <c r="U23" s="34" t="n"/>
      <c r="W23" s="34" t="n"/>
      <c r="Y23" s="34" t="n"/>
      <c r="Z23" s="35" t="n"/>
    </row>
    <row r="24" ht="19.5" customHeight="1" s="158">
      <c r="A24" s="164" t="n"/>
      <c r="B24" s="6" t="inlineStr">
        <is>
          <t>サンクスLINE誘導</t>
        </is>
      </c>
      <c r="C24" s="17" t="n"/>
      <c r="D24" s="44" t="inlineStr">
        <is>
          <t>--</t>
        </is>
      </c>
      <c r="E24" s="46">
        <f>IF(E19=FALSE,0,E16*0.8*0.45*0.62)</f>
        <v/>
      </c>
      <c r="F24" s="63">
        <f>IF(F19=FALSE,0,F16*0.8*0.45*0.81)</f>
        <v/>
      </c>
      <c r="G24" s="63">
        <f>IF(G19=FALSE,0,G16*0.8*0.45*0.93)</f>
        <v/>
      </c>
      <c r="H24" s="63">
        <f>IF(H19=FALSE,0,H16*0.8*0.45*1.0)</f>
        <v/>
      </c>
      <c r="I24" s="63">
        <f>IF(I19=FALSE,0,I16*0.8*0.45*1.03)</f>
        <v/>
      </c>
      <c r="J24" s="63">
        <f>IF(J19=FALSE,0,J16*0.8*0.45*1.05)</f>
        <v/>
      </c>
      <c r="K24" s="11" t="n"/>
      <c r="L24" s="7" t="n"/>
      <c r="N24" s="69" t="inlineStr">
        <is>
          <t>完了画面（サンクスLINE）：オプションのためSIMには入れない</t>
        </is>
      </c>
      <c r="O24" s="148" t="inlineStr">
        <is>
          <t>audienceターゲ率</t>
        </is>
      </c>
      <c r="P24" s="167" t="n">
        <v>0.8</v>
      </c>
      <c r="Q24" s="70" t="n">
        <v>0.8</v>
      </c>
      <c r="S24" s="34" t="n"/>
      <c r="U24" s="34" t="n"/>
      <c r="W24" s="34" t="n"/>
      <c r="Y24" s="34" t="n"/>
      <c r="Z24" s="35" t="n"/>
    </row>
    <row r="25" ht="19.5" customHeight="1" s="158">
      <c r="A25" s="161" t="n"/>
      <c r="B25" s="6" t="inlineStr">
        <is>
          <t>通知メッセージ</t>
        </is>
      </c>
      <c r="C25" s="17" t="n"/>
      <c r="D25" s="44" t="inlineStr">
        <is>
          <t>--</t>
        </is>
      </c>
      <c r="E25" s="46">
        <f>IF(E20=FALSE,0,E16*(1-0.8*0.45*0.62)*0.7*0.3)</f>
        <v/>
      </c>
      <c r="F25" s="46">
        <f>IF(F20=FALSE,0,F16*(1-0.8*0.45*0.81)*0.7*0.3)</f>
        <v/>
      </c>
      <c r="G25" s="46">
        <f>IF(G20=FALSE,0,G16*(1-0.8*0.45*0.93)*0.7*0.3)</f>
        <v/>
      </c>
      <c r="H25" s="46">
        <f>IF(H20=FALSE,0,H16*(1-0.8*0.45*1.0)*0.7*0.3)</f>
        <v/>
      </c>
      <c r="I25" s="46">
        <f>IF(I20=FALSE,0,I16*(1-0.8*0.45*1.03)*0.7*0.3)</f>
        <v/>
      </c>
      <c r="J25" s="46">
        <f>IF(J20=FALSE,0,J16*(1-0.8*0.45*1.05)*0.7*0.3)</f>
        <v/>
      </c>
      <c r="K25" s="11" t="n"/>
      <c r="L25" s="7" t="n"/>
      <c r="N25" s="69" t="inlineStr">
        <is>
          <t>通知メッセ：完了画面で追加しなかった応募者×情報一致70%×追加30%</t>
        </is>
      </c>
      <c r="O25" s="25" t="inlineStr">
        <is>
          <t>↓ステップ配信</t>
        </is>
      </c>
      <c r="P25" s="26" t="n"/>
      <c r="S25" s="34" t="n"/>
      <c r="U25" s="34" t="n"/>
      <c r="W25" s="34" t="n"/>
      <c r="Y25" s="34" t="n"/>
      <c r="Z25" s="35" t="n"/>
    </row>
    <row r="26" ht="19.5" customHeight="1" s="158">
      <c r="A26" s="163" t="inlineStr">
        <is>
          <t>友だち数_増加数</t>
        </is>
      </c>
      <c r="B26" s="162" t="n"/>
      <c r="C26" s="23" t="n"/>
      <c r="D26" s="44" t="inlineStr">
        <is>
          <t>--</t>
        </is>
      </c>
      <c r="E26" s="46">
        <f>SUM(E22:E25)+E14*0.02*0.62</f>
        <v/>
      </c>
      <c r="F26" s="46">
        <f>SUM(F22:F25)+F14*0.02*0.81</f>
        <v/>
      </c>
      <c r="G26" s="46">
        <f>SUM(G22:G25)+G14*0.02*0.93</f>
        <v/>
      </c>
      <c r="H26" s="46">
        <f>SUM(H22:H25)+H14*0.02*1.0</f>
        <v/>
      </c>
      <c r="I26" s="46">
        <f>SUM(I22:I25)+I14*0.02*1.03</f>
        <v/>
      </c>
      <c r="J26" s="46">
        <f>SUM(J22:J25)+J14*0.02*1.05</f>
        <v/>
      </c>
      <c r="K26" s="11" t="n"/>
      <c r="L26" s="7" t="n"/>
      <c r="N26" s="72" t="inlineStr">
        <is>
          <t>＋サイト内「LINEで登録」：UU×2.0%×立ち上げ係数（Profile+で入力ほぼゼロになる前提）</t>
        </is>
      </c>
      <c r="O26" s="17" t="inlineStr">
        <is>
          <t>開封率</t>
        </is>
      </c>
      <c r="P26" s="166" t="n">
        <v>0.725</v>
      </c>
      <c r="S26" s="34" t="n"/>
      <c r="U26" s="34" t="n"/>
      <c r="W26" s="34" t="n"/>
      <c r="Y26" s="34" t="n"/>
      <c r="Z26" s="35" t="n"/>
    </row>
    <row r="27" ht="19.5" customHeight="1" s="158">
      <c r="A27" s="163" t="inlineStr">
        <is>
          <t>ブロック率</t>
        </is>
      </c>
      <c r="B27" s="162" t="n"/>
      <c r="C27" s="23" t="n"/>
      <c r="D27" s="168" t="n">
        <v>0</v>
      </c>
      <c r="E27" s="47" t="n">
        <v>0.406</v>
      </c>
      <c r="F27" s="47" t="n">
        <v>0.391</v>
      </c>
      <c r="G27" s="47" t="n">
        <v>0.378</v>
      </c>
      <c r="H27" s="47" t="n">
        <v>0.362</v>
      </c>
      <c r="I27" s="47" t="n">
        <v>0.359</v>
      </c>
      <c r="J27" s="47" t="n">
        <v>0.344</v>
      </c>
      <c r="K27" s="11" t="n"/>
      <c r="L27" s="7" t="n"/>
      <c r="N27" s="0" t="inlineStr">
        <is>
          <t>ブロック率：40%前後から出し分け配信で徐々に低下（目標30%以内）</t>
        </is>
      </c>
      <c r="O27" s="17" t="inlineStr">
        <is>
          <t>クリック率</t>
        </is>
      </c>
      <c r="P27" s="166" t="n">
        <v>0.12</v>
      </c>
      <c r="Q27" s="5" t="inlineStr">
        <is>
          <t>4‐6か月後係数</t>
        </is>
      </c>
      <c r="S27" s="34" t="n"/>
      <c r="U27" s="34" t="n"/>
      <c r="W27" s="34" t="n"/>
      <c r="Y27" s="34" t="n"/>
      <c r="Z27" s="35" t="n"/>
    </row>
    <row r="28" ht="19.5" customHeight="1" s="158">
      <c r="A28" s="169" t="inlineStr">
        <is>
          <t>友だち数</t>
        </is>
      </c>
      <c r="B28" s="162" t="n"/>
      <c r="C28" s="101" t="n"/>
      <c r="D28" s="106" t="n">
        <v>0</v>
      </c>
      <c r="E28" s="49">
        <f>+D28+E26</f>
        <v/>
      </c>
      <c r="F28" s="49">
        <f>+E28+F26</f>
        <v/>
      </c>
      <c r="G28" s="49">
        <f>+F28+G26</f>
        <v/>
      </c>
      <c r="H28" s="49">
        <f>+G28+H26</f>
        <v/>
      </c>
      <c r="I28" s="49">
        <f>+H28+I26</f>
        <v/>
      </c>
      <c r="J28" s="49">
        <f>+I28+J26</f>
        <v/>
      </c>
      <c r="K28" s="12" t="n"/>
      <c r="L28" s="7" t="n"/>
      <c r="O28" s="148" t="inlineStr">
        <is>
          <t>audienceターゲ率</t>
        </is>
      </c>
      <c r="P28" s="167" t="n">
        <v>0.2</v>
      </c>
      <c r="Q28" s="70" t="n">
        <v>0.8</v>
      </c>
      <c r="S28" s="34" t="n"/>
      <c r="U28" s="34" t="n"/>
      <c r="W28" s="34" t="n"/>
      <c r="Y28" s="34" t="n"/>
      <c r="Z28" s="35" t="n"/>
    </row>
    <row r="29" ht="19.5" customHeight="1" s="158">
      <c r="A29" s="170" t="inlineStr">
        <is>
          <t>ターゲット数</t>
        </is>
      </c>
      <c r="B29" s="162" t="n"/>
      <c r="C29" s="102" t="n"/>
      <c r="D29" s="108" t="n">
        <v>0</v>
      </c>
      <c r="E29" s="50">
        <f>+E28*(1-E27)</f>
        <v/>
      </c>
      <c r="F29" s="50">
        <f>+F28*(1-F27)</f>
        <v/>
      </c>
      <c r="G29" s="50">
        <f>+G28*(1-G27)</f>
        <v/>
      </c>
      <c r="H29" s="50">
        <f>+H28*(1-H27)</f>
        <v/>
      </c>
      <c r="I29" s="50">
        <f>+I28*(1-I27)</f>
        <v/>
      </c>
      <c r="J29" s="50">
        <f>+J28*(1-J27)</f>
        <v/>
      </c>
      <c r="K29" s="12" t="n"/>
      <c r="L29" s="7" t="n"/>
      <c r="N29" s="69" t="inlineStr">
        <is>
          <t>※ターゲット数の増加分が通常の増加分を超えないように調整する</t>
        </is>
      </c>
      <c r="S29" s="34" t="n"/>
      <c r="U29" s="34" t="n"/>
      <c r="W29" s="34" t="n"/>
      <c r="Y29" s="34" t="n"/>
      <c r="Z29" s="35" t="n"/>
    </row>
    <row r="30" ht="19.5" customHeight="1" s="158">
      <c r="A30" s="171" t="inlineStr">
        <is>
          <t>企画投稿数</t>
        </is>
      </c>
      <c r="B30" s="162" t="n"/>
      <c r="C30" s="30" t="n"/>
      <c r="D30" s="48" t="n">
        <v>0</v>
      </c>
      <c r="E30" s="45" t="n">
        <v>4</v>
      </c>
      <c r="F30" s="45" t="n">
        <v>4</v>
      </c>
      <c r="G30" s="45" t="n">
        <v>4</v>
      </c>
      <c r="H30" s="45" t="n">
        <v>4</v>
      </c>
      <c r="I30" s="45" t="n">
        <v>4</v>
      </c>
      <c r="J30" s="45" t="n">
        <v>4</v>
      </c>
      <c r="K30" s="11" t="n"/>
      <c r="L30" s="7" t="n"/>
      <c r="N30" s="69" t="inlineStr">
        <is>
          <t>←基本本数が4本として設計する（ユーザー数と固定費で調整）</t>
        </is>
      </c>
      <c r="O30" s="17" t="inlineStr">
        <is>
          <t>CPFの単価設定</t>
        </is>
      </c>
      <c r="P30" s="172" t="n"/>
      <c r="S30" s="34" t="n"/>
      <c r="U30" s="34" t="n"/>
      <c r="W30" s="34" t="n"/>
      <c r="Y30" s="34" t="n"/>
      <c r="Z30" s="35" t="n"/>
    </row>
    <row r="31" ht="19.5" customHeight="1" s="158">
      <c r="A31" s="163" t="inlineStr">
        <is>
          <t>企画投稿からの流入</t>
        </is>
      </c>
      <c r="B31" s="162" t="n"/>
      <c r="C31" s="23" t="n"/>
      <c r="D31" s="108">
        <f>+D30*D29*0.41*0.07</f>
        <v/>
      </c>
      <c r="E31" s="63">
        <f>+E29*E30*$P$24*$P$22*$P$23*$P$36</f>
        <v/>
      </c>
      <c r="F31" s="63">
        <f>+F29*F30*$P$24*$P$22*$P$23*$P$36</f>
        <v/>
      </c>
      <c r="G31" s="63">
        <f>+G29*G30*$P$24*$P$22*$P$23*$P$36</f>
        <v/>
      </c>
      <c r="H31" s="63">
        <f>+H29*H30*$P$24*$P$22*$P$23*$P$36*$Q$24</f>
        <v/>
      </c>
      <c r="I31" s="63">
        <f>+I29*I30*$P$24*$P$22*$P$23*$P$36*$Q$24</f>
        <v/>
      </c>
      <c r="J31" s="63">
        <f>+J29*J30*$P$24*$P$22*$P$23*$P$36*$Q$24</f>
        <v/>
      </c>
      <c r="K31" s="11" t="n"/>
      <c r="L31" s="7" t="n"/>
      <c r="S31" s="34" t="n"/>
      <c r="U31" s="34" t="n"/>
      <c r="W31" s="34" t="n"/>
      <c r="Y31" s="34" t="n"/>
      <c r="Z31" s="35" t="n"/>
    </row>
    <row r="32" ht="19.5" customHeight="1" s="158">
      <c r="A32" s="171" t="inlineStr">
        <is>
          <t>ステップ配信本数</t>
        </is>
      </c>
      <c r="B32" s="162" t="n"/>
      <c r="C32" s="30" t="n"/>
      <c r="D32" s="48" t="n">
        <v>0</v>
      </c>
      <c r="E32" s="45" t="n">
        <v>10</v>
      </c>
      <c r="F32" s="45" t="n">
        <v>10</v>
      </c>
      <c r="G32" s="45" t="n">
        <v>10</v>
      </c>
      <c r="H32" s="45" t="n">
        <v>10</v>
      </c>
      <c r="I32" s="45" t="n">
        <v>10</v>
      </c>
      <c r="J32" s="45" t="n">
        <v>10</v>
      </c>
      <c r="K32" s="11" t="n"/>
      <c r="L32" s="7" t="n"/>
      <c r="N32" s="69" t="inlineStr">
        <is>
          <t>←基本本数が4本として設計する</t>
        </is>
      </c>
      <c r="O32" s="17" t="inlineStr">
        <is>
          <t>特典の強さ</t>
        </is>
      </c>
      <c r="P32" s="81" t="b">
        <v>1</v>
      </c>
      <c r="Q32" s="73">
        <f>+IF(P32=TRUE,1.1,0.95)</f>
        <v/>
      </c>
      <c r="S32" s="34" t="n"/>
      <c r="U32" s="34" t="n"/>
      <c r="W32" s="34" t="n"/>
      <c r="Z32" s="35" t="n"/>
    </row>
    <row r="33" ht="19.5" customHeight="1" s="158">
      <c r="A33" s="163" t="inlineStr">
        <is>
          <t>ステップ配信からの流入</t>
        </is>
      </c>
      <c r="B33" s="162" t="n"/>
      <c r="C33" s="23" t="n"/>
      <c r="D33" s="44" t="n">
        <v>0</v>
      </c>
      <c r="E33" s="63">
        <f>+E29*E32*$P$26*$P$27*$P$28*$P$36</f>
        <v/>
      </c>
      <c r="F33" s="63">
        <f>+F29*F32*$P$26*$P$27*$P$28*$P$36</f>
        <v/>
      </c>
      <c r="G33" s="63">
        <f>+G29*G32*$P$26*$P$27*$P$28*$P$36</f>
        <v/>
      </c>
      <c r="H33" s="63">
        <f>+H29*H32*$P$26*$P$27*$P$28*$P$36*$Q$28</f>
        <v/>
      </c>
      <c r="I33" s="63">
        <f>+I29*I32*$P$26*$P$27*$P$28*$P$36*$Q$28</f>
        <v/>
      </c>
      <c r="J33" s="63">
        <f>+J29*J32*$P$26*$P$27*$P$28*$P$36*$Q$28</f>
        <v/>
      </c>
      <c r="K33" s="11" t="n"/>
      <c r="L33" s="7" t="n"/>
      <c r="O33" s="17" t="inlineStr">
        <is>
          <t>クリエイティブ強さ</t>
        </is>
      </c>
      <c r="P33" s="81" t="b">
        <v>1</v>
      </c>
      <c r="Q33" s="73">
        <f>+IF(P33=TRUE,1.1,0.95)</f>
        <v/>
      </c>
    </row>
    <row r="34" ht="19.5" customHeight="1" s="158">
      <c r="A34" s="170" t="inlineStr">
        <is>
          <t>配信数</t>
        </is>
      </c>
      <c r="B34" s="162" t="n"/>
      <c r="C34" s="102" t="n"/>
      <c r="D34" s="108">
        <f>+D29*D30</f>
        <v/>
      </c>
      <c r="E34" s="46">
        <f>+E29*E30*$P$24+E29*E32*$P$28</f>
        <v/>
      </c>
      <c r="F34" s="46">
        <f>+F29*F30*$P$24+F29*F32*$P$28</f>
        <v/>
      </c>
      <c r="G34" s="46">
        <f>+G29*G30*$P$24+G29*G32*$P$28</f>
        <v/>
      </c>
      <c r="H34" s="46">
        <f>+H29*H30*$P$24*$Q$24+H29*H32*$P$28*$Q$28</f>
        <v/>
      </c>
      <c r="I34" s="46">
        <f>+I29*I30*$P$24*$Q$24+I29*I32*$P$28*$Q$28</f>
        <v/>
      </c>
      <c r="J34" s="46">
        <f>+J29*J30*$P$24*$Q$24+J29*J32*$P$28*$Q$28</f>
        <v/>
      </c>
      <c r="K34" s="11" t="n"/>
      <c r="L34" s="7" t="n"/>
      <c r="O34" s="17" t="inlineStr">
        <is>
          <t>知名度強さ</t>
        </is>
      </c>
      <c r="P34" s="81" t="b">
        <v>1</v>
      </c>
      <c r="Q34" s="73">
        <f>+IF(P34=TRUE,1.1,0.95)</f>
        <v/>
      </c>
    </row>
    <row r="35" ht="19.5" customHeight="1" s="158">
      <c r="A35" s="170" t="inlineStr">
        <is>
          <t>想定Click数</t>
        </is>
      </c>
      <c r="B35" s="162" t="n"/>
      <c r="C35" s="102" t="n"/>
      <c r="D35" s="109">
        <f>+D31*1.02</f>
        <v/>
      </c>
      <c r="E35" s="50">
        <f>+E31+E33+1.05*(E31+E33)+E29*0.3*2</f>
        <v/>
      </c>
      <c r="F35" s="50">
        <f>+F31+F33+1.05*(F31+F33)+F29*0.3*2</f>
        <v/>
      </c>
      <c r="G35" s="50">
        <f>+G31+G33+1.05*(G31+G33)+G29*0.3*2</f>
        <v/>
      </c>
      <c r="H35" s="50">
        <f>+H31+H33+1.05*(H31+H33)+H29*0.3*2</f>
        <v/>
      </c>
      <c r="I35" s="50">
        <f>+I31+I33+1.05*(I31+I33)+I29*0.3*2</f>
        <v/>
      </c>
      <c r="J35" s="50">
        <f>+J31+J33+1.05*(J31+J33)+J29*0.3*2</f>
        <v/>
      </c>
      <c r="K35" s="11" t="n"/>
      <c r="L35" s="7" t="n"/>
      <c r="N35" s="0" t="inlineStr">
        <is>
          <t>＋リッチメニューのタップ：有効な友だち×月に使う率30%×2回</t>
        </is>
      </c>
      <c r="O35" s="17" t="inlineStr">
        <is>
          <t>動線の強さ</t>
        </is>
      </c>
      <c r="P35" s="81" t="b">
        <v>1</v>
      </c>
      <c r="Q35" s="73">
        <f>+IF(P35=TRUE,1.1,0.95)</f>
        <v/>
      </c>
    </row>
    <row r="36">
      <c r="A36" s="173" t="inlineStr">
        <is>
          <t>新規CV</t>
        </is>
      </c>
      <c r="B36" s="6">
        <f>+C8</f>
        <v/>
      </c>
      <c r="C36" s="6" t="n"/>
      <c r="D36" s="11" t="n">
        <v>0</v>
      </c>
      <c r="E36" s="111">
        <f>ROUND(E14*0.02*0.62,0)</f>
        <v/>
      </c>
      <c r="F36" s="111">
        <f>ROUND(F14*0.02*0.81,0)</f>
        <v/>
      </c>
      <c r="G36" s="111">
        <f>ROUND(G14*0.02*0.93,0)</f>
        <v/>
      </c>
      <c r="H36" s="111">
        <f>ROUND(H14*0.02*1.0,0)</f>
        <v/>
      </c>
      <c r="I36" s="111">
        <f>ROUND(I14*0.02*1.03,0)</f>
        <v/>
      </c>
      <c r="J36" s="111">
        <f>ROUND(J14*0.02*1.05,0)</f>
        <v/>
      </c>
      <c r="K36" s="115">
        <f>SUM(E36:J36)</f>
        <v/>
      </c>
      <c r="L36" s="7" t="n"/>
      <c r="N36" s="69" t="inlineStr">
        <is>
          <t>CV①会員登録：UU×2.0%×立ち上げ係数（Profile+で入力ほぼゼロ）。CPA・CVRには含めない</t>
        </is>
      </c>
      <c r="O36" s="17" t="inlineStr">
        <is>
          <t>想定の係数（反応率）</t>
        </is>
      </c>
      <c r="P36" s="74">
        <f>1*(Q32*Q33*Q34*Q35)</f>
        <v/>
      </c>
      <c r="Q36" s="73" t="n"/>
    </row>
    <row r="37">
      <c r="A37" s="161" t="n"/>
      <c r="B37" s="6">
        <f>+C9</f>
        <v/>
      </c>
      <c r="C37" s="6" t="n"/>
      <c r="D37" s="11" t="n">
        <v>0</v>
      </c>
      <c r="E37" s="111">
        <f>1+ROUND(E29*(1-SUM($E$24:E25)/E28)*0.3*2*0.015,0)</f>
        <v/>
      </c>
      <c r="F37" s="111">
        <f>2+ROUND(F29*(1-SUM($E$24:F25)/F28)*0.3*2*0.015,0)</f>
        <v/>
      </c>
      <c r="G37" s="111">
        <f>3+ROUND(G29*(1-SUM($E$24:G25)/G28)*0.3*2*0.015,0)</f>
        <v/>
      </c>
      <c r="H37" s="111">
        <f>3+ROUND(H29*(1-SUM($E$24:H25)/H28)*0.3*2*0.015,0)</f>
        <v/>
      </c>
      <c r="I37" s="111">
        <f>4+ROUND(I29*(1-SUM($E$24:I25)/I28)*0.3*2*0.015,0)</f>
        <v/>
      </c>
      <c r="J37" s="111">
        <f>6+ROUND(J29*(1-SUM($E$24:J25)/J28)*0.3*2*0.015,0)</f>
        <v/>
      </c>
      <c r="K37" s="115">
        <f>SUM(E37:J37)</f>
        <v/>
      </c>
      <c r="L37" s="7" t="n"/>
      <c r="N37" s="69" t="inlineStr">
        <is>
          <t>CV②求人応募（LINE経由）＝配信経由（仮の数字）＋リッチメニュー経由（応募済みを除く有効な友だち×30%×2回×1.5%）</t>
        </is>
      </c>
    </row>
    <row r="38">
      <c r="A38" s="173" t="inlineStr">
        <is>
          <t>リピートCV</t>
        </is>
      </c>
      <c r="B38" s="6">
        <f>+C10</f>
        <v/>
      </c>
      <c r="C38" s="6" t="n"/>
      <c r="D38" s="11" t="n">
        <v>0</v>
      </c>
      <c r="E38" s="111" t="n">
        <v>0</v>
      </c>
      <c r="F38" s="111" t="n">
        <v>0</v>
      </c>
      <c r="G38" s="111" t="n">
        <v>0</v>
      </c>
      <c r="H38" s="111" t="n">
        <v>0</v>
      </c>
      <c r="I38" s="111" t="n">
        <v>0</v>
      </c>
      <c r="J38" s="111" t="n">
        <v>0</v>
      </c>
      <c r="K38" s="115">
        <f>SUM(E38:J38)</f>
        <v/>
      </c>
      <c r="L38" s="7" t="n"/>
      <c r="N38" s="69" t="inlineStr">
        <is>
          <t>既存向け_休眠顧客向け</t>
        </is>
      </c>
      <c r="O38" s="21" t="inlineStr">
        <is>
          <t>※①＞②で作成</t>
        </is>
      </c>
    </row>
    <row r="39">
      <c r="A39" s="161" t="n"/>
      <c r="B39" s="6">
        <f>+C11</f>
        <v/>
      </c>
      <c r="C39" s="6" t="n"/>
      <c r="D39" s="11" t="n">
        <v>0</v>
      </c>
      <c r="E39" s="111" t="n">
        <v>0</v>
      </c>
      <c r="F39" s="111" t="n">
        <v>0</v>
      </c>
      <c r="G39" s="111" t="n">
        <v>0</v>
      </c>
      <c r="H39" s="111" t="n">
        <v>0</v>
      </c>
      <c r="I39" s="111" t="n">
        <v>0</v>
      </c>
      <c r="J39" s="111" t="n">
        <v>0</v>
      </c>
      <c r="K39" s="115">
        <f>SUM(E39:J39)</f>
        <v/>
      </c>
      <c r="L39" s="7" t="n"/>
      <c r="N39" s="69" t="inlineStr">
        <is>
          <t>既存向け_休眠顧客向け</t>
        </is>
      </c>
      <c r="O39" s="21" t="inlineStr">
        <is>
          <t>※③＞④で作成</t>
        </is>
      </c>
    </row>
    <row r="40">
      <c r="A40" s="159" t="inlineStr">
        <is>
          <t>合計CV</t>
        </is>
      </c>
      <c r="B40" s="162" t="n"/>
      <c r="C40" s="123" t="n"/>
      <c r="D40" s="11">
        <f>+D37</f>
        <v/>
      </c>
      <c r="E40" s="10">
        <f>+E37</f>
        <v/>
      </c>
      <c r="F40" s="10">
        <f>+F37</f>
        <v/>
      </c>
      <c r="G40" s="10">
        <f>+G37</f>
        <v/>
      </c>
      <c r="H40" s="10">
        <f>+H37</f>
        <v/>
      </c>
      <c r="I40" s="10">
        <f>+I37</f>
        <v/>
      </c>
      <c r="J40" s="10">
        <f>+J37</f>
        <v/>
      </c>
      <c r="K40" s="115">
        <f>SUM(E40:J40)</f>
        <v/>
      </c>
      <c r="L40" s="7" t="n"/>
      <c r="N40" s="0" t="inlineStr">
        <is>
          <t>合計CVはCV②（応募）のみ。CPA・CVRは応募で計算</t>
        </is>
      </c>
      <c r="O40" s="17" t="n"/>
    </row>
    <row r="41">
      <c r="B41" s="5" t="inlineStr">
        <is>
          <t>CVR</t>
        </is>
      </c>
      <c r="D41" s="18">
        <f>+IFERROR(D40/D35,0)</f>
        <v/>
      </c>
      <c r="E41" s="18">
        <f>+IFERROR(E40/E35,0)</f>
        <v/>
      </c>
      <c r="F41" s="18">
        <f>+IFERROR(F40/F35,0)</f>
        <v/>
      </c>
      <c r="G41" s="18">
        <f>+IFERROR(G40/G35,0)</f>
        <v/>
      </c>
      <c r="H41" s="18">
        <f>+IFERROR(H40/H35,0)</f>
        <v/>
      </c>
      <c r="I41" s="18">
        <f>+IFERROR(I40/I35,0)</f>
        <v/>
      </c>
      <c r="J41" s="18">
        <f>+IFERROR(J40/J35,0)</f>
        <v/>
      </c>
      <c r="N41" s="69" t="inlineStr">
        <is>
          <t>CV/流入数で計算、0.3%〜1%とかで推移。</t>
        </is>
      </c>
    </row>
    <row r="42">
      <c r="B42" s="139" t="n"/>
      <c r="D42" s="18" t="n"/>
      <c r="E42" s="116" t="n"/>
      <c r="F42" s="116" t="n"/>
      <c r="G42" s="116" t="n"/>
      <c r="H42" s="116" t="n"/>
      <c r="I42" s="116" t="n"/>
      <c r="J42" s="116" t="n"/>
    </row>
    <row r="43">
      <c r="A43" s="139" t="inlineStr">
        <is>
          <t>■成果報酬運営</t>
        </is>
      </c>
      <c r="C43" s="5" t="inlineStr">
        <is>
          <t>現状数値</t>
        </is>
      </c>
      <c r="D43" s="5" t="inlineStr">
        <is>
          <t>初期</t>
        </is>
      </c>
    </row>
    <row r="44">
      <c r="A44" s="163" t="inlineStr">
        <is>
          <t>従量課金</t>
        </is>
      </c>
      <c r="B44" s="162" t="n"/>
      <c r="C44" s="103" t="n"/>
      <c r="D44" s="16" t="inlineStr">
        <is>
          <t>--</t>
        </is>
      </c>
      <c r="E44" s="174">
        <f>+E75*E76</f>
        <v/>
      </c>
      <c r="F44" s="174">
        <f>+F75*F76</f>
        <v/>
      </c>
      <c r="G44" s="174">
        <f>+G75*G76</f>
        <v/>
      </c>
      <c r="H44" s="174">
        <f>+H75*H76</f>
        <v/>
      </c>
      <c r="I44" s="174">
        <f>+I75*I76</f>
        <v/>
      </c>
      <c r="J44" s="174">
        <f>+J75*J76</f>
        <v/>
      </c>
      <c r="K44" s="11" t="n"/>
      <c r="L44" s="7" t="n"/>
    </row>
    <row r="45">
      <c r="A45" s="163" t="inlineStr">
        <is>
          <t>コスト想定(固定費)</t>
        </is>
      </c>
      <c r="B45" s="162" t="n"/>
      <c r="C45" s="175">
        <f>+SUM(C65:C72)</f>
        <v/>
      </c>
      <c r="D45" s="176">
        <f>+SUM(D65:D72)</f>
        <v/>
      </c>
      <c r="E45" s="177">
        <f>SUM(E65:E69)+SUM(E71:E72)</f>
        <v/>
      </c>
      <c r="F45" s="177">
        <f>SUM(F65:F69)+SUM(F71:F72)</f>
        <v/>
      </c>
      <c r="G45" s="177">
        <f>SUM(G65:G69)+SUM(G71:G72)</f>
        <v/>
      </c>
      <c r="H45" s="177">
        <f>SUM(H65:H69)+SUM(H71:H72)</f>
        <v/>
      </c>
      <c r="I45" s="177">
        <f>SUM(I65:I69)+SUM(I71:I72)</f>
        <v/>
      </c>
      <c r="J45" s="177">
        <f>SUM(J65:J69)+SUM(J71:J72)</f>
        <v/>
      </c>
      <c r="K45" s="11" t="n"/>
      <c r="L45" s="7" t="n"/>
    </row>
    <row r="46">
      <c r="A46" s="163" t="inlineStr">
        <is>
          <t>友だち獲得単価</t>
        </is>
      </c>
      <c r="B46" s="162" t="n"/>
      <c r="C46" s="103" t="n"/>
      <c r="D46" s="16" t="inlineStr">
        <is>
          <t>--</t>
        </is>
      </c>
      <c r="E46" s="178">
        <f>+SUM(E65:E67)/(E28-D28)</f>
        <v/>
      </c>
      <c r="F46" s="178">
        <f>+SUM(F65:F67)/(F28-E28)</f>
        <v/>
      </c>
      <c r="G46" s="178">
        <f>+SUM(G65:G67)/(G28-F28)</f>
        <v/>
      </c>
      <c r="H46" s="178">
        <f>+SUM(H65:H67)/(H28-G28)</f>
        <v/>
      </c>
      <c r="I46" s="178">
        <f>+SUM(I65:I67)/(I28-H28)</f>
        <v/>
      </c>
      <c r="J46" s="178">
        <f>+SUM(J65:J67)/(J28-I28)</f>
        <v/>
      </c>
      <c r="K46" s="11" t="n"/>
      <c r="L46" s="7" t="n"/>
    </row>
    <row r="47">
      <c r="A47" s="163" t="inlineStr">
        <is>
          <t>CPC想定</t>
        </is>
      </c>
      <c r="B47" s="162" t="n"/>
      <c r="C47" s="103" t="n"/>
      <c r="D47" s="16" t="inlineStr">
        <is>
          <t>--</t>
        </is>
      </c>
      <c r="E47" s="178">
        <f>+E51/E35</f>
        <v/>
      </c>
      <c r="F47" s="178">
        <f>+F51/F35</f>
        <v/>
      </c>
      <c r="G47" s="178">
        <f>+G51/G35</f>
        <v/>
      </c>
      <c r="H47" s="178">
        <f>+H51/H35</f>
        <v/>
      </c>
      <c r="I47" s="178">
        <f>+I51/I35</f>
        <v/>
      </c>
      <c r="J47" s="178">
        <f>+J51/J35</f>
        <v/>
      </c>
      <c r="K47" s="11" t="n"/>
      <c r="L47" s="7" t="n"/>
    </row>
    <row r="48">
      <c r="A48" s="163" t="inlineStr">
        <is>
          <t>CVR想定</t>
        </is>
      </c>
      <c r="B48" s="162" t="n"/>
      <c r="C48" s="103" t="n"/>
      <c r="D48" s="16" t="inlineStr">
        <is>
          <t>--</t>
        </is>
      </c>
      <c r="E48" s="32">
        <f>+SUM(E36:E39)/E35</f>
        <v/>
      </c>
      <c r="F48" s="32">
        <f>+SUM(F36:F39)/F35</f>
        <v/>
      </c>
      <c r="G48" s="32">
        <f>+SUM(G36:G39)/G35</f>
        <v/>
      </c>
      <c r="H48" s="32">
        <f>+SUM(H36:H39)/H35</f>
        <v/>
      </c>
      <c r="I48" s="32">
        <f>+SUM(I36:I39)/I35</f>
        <v/>
      </c>
      <c r="J48" s="32">
        <f>+SUM(J36:J39)/J35</f>
        <v/>
      </c>
      <c r="K48" s="11" t="n"/>
      <c r="L48" s="7" t="n"/>
    </row>
    <row r="49">
      <c r="A49" s="159" t="inlineStr">
        <is>
          <t>CPA想定</t>
        </is>
      </c>
      <c r="B49" s="162" t="n"/>
      <c r="C49" s="105" t="n"/>
      <c r="D49" s="16" t="inlineStr">
        <is>
          <t>--</t>
        </is>
      </c>
      <c r="E49" s="178">
        <f>+IFERROR(E51/SUM(E36:E39),0)</f>
        <v/>
      </c>
      <c r="F49" s="178">
        <f>+IFERROR(F51/SUM(F36:F39),0)</f>
        <v/>
      </c>
      <c r="G49" s="178">
        <f>+IFERROR(G51/SUM(G36:G39),0)</f>
        <v/>
      </c>
      <c r="H49" s="178">
        <f>+IFERROR(H51/SUM(H36:H39),0)</f>
        <v/>
      </c>
      <c r="I49" s="178">
        <f>+IFERROR(I51/SUM(I36:I39),0)</f>
        <v/>
      </c>
      <c r="J49" s="178">
        <f>+IFERROR(J51/SUM(J36:J39),0)</f>
        <v/>
      </c>
      <c r="K49" s="11" t="n"/>
      <c r="L49" s="7" t="n"/>
    </row>
    <row r="50">
      <c r="A50" s="159" t="inlineStr">
        <is>
          <t>成果報酬_費用発生</t>
        </is>
      </c>
      <c r="B50" s="162" t="n"/>
      <c r="C50" s="105" t="n"/>
      <c r="D50" s="64" t="inlineStr">
        <is>
          <t>--</t>
        </is>
      </c>
      <c r="E50" s="179">
        <f>+E36*$D$8+E38*$D$10</f>
        <v/>
      </c>
      <c r="F50" s="179">
        <f>+F36*$D$8+F38*$D$10</f>
        <v/>
      </c>
      <c r="G50" s="179">
        <f>+G36*$D$8+G38*$D$10</f>
        <v/>
      </c>
      <c r="H50" s="179">
        <f>+H36*$D$8+H38*$D$10</f>
        <v/>
      </c>
      <c r="I50" s="179">
        <f>+I36*$D$8+I38*$D$10</f>
        <v/>
      </c>
      <c r="J50" s="179">
        <f>+J36*$D$8+J38*$D$10</f>
        <v/>
      </c>
      <c r="K50" s="11" t="n"/>
      <c r="L50" s="7" t="n"/>
    </row>
    <row r="51">
      <c r="A51" s="4" t="inlineStr">
        <is>
          <t>総計コスト</t>
        </is>
      </c>
      <c r="B51" s="162" t="n"/>
      <c r="C51" s="180">
        <f>+C45</f>
        <v/>
      </c>
      <c r="D51" s="181">
        <f>+D45</f>
        <v/>
      </c>
      <c r="E51" s="181">
        <f>SUM(E45,E50)+E44</f>
        <v/>
      </c>
      <c r="F51" s="181">
        <f>SUM(F45,F50)+F44</f>
        <v/>
      </c>
      <c r="G51" s="181">
        <f>SUM(G45,G50)+G44</f>
        <v/>
      </c>
      <c r="H51" s="181">
        <f>SUM(H45,H50)+H44</f>
        <v/>
      </c>
      <c r="I51" s="181">
        <f>SUM(I45,I50)+I44</f>
        <v/>
      </c>
      <c r="J51" s="181">
        <f>SUM(J45,J50)+J44</f>
        <v/>
      </c>
      <c r="K51" s="11" t="n"/>
      <c r="L51" s="7" t="n"/>
    </row>
    <row r="52">
      <c r="A52" s="148" t="n"/>
      <c r="B52" s="148" t="n"/>
      <c r="C52" s="148" t="n"/>
      <c r="D52" s="182" t="n"/>
      <c r="E52" s="182" t="n"/>
      <c r="F52" s="182" t="n"/>
      <c r="G52" s="182" t="n"/>
      <c r="H52" s="182" t="n"/>
      <c r="I52" s="182" t="n"/>
      <c r="J52" s="182" t="n"/>
    </row>
    <row r="53" hidden="1" s="158">
      <c r="A53" s="139" t="inlineStr">
        <is>
          <t>■コンサル運営</t>
        </is>
      </c>
    </row>
    <row r="54" hidden="1" s="158">
      <c r="A54" s="163" t="inlineStr">
        <is>
          <t>従量課金</t>
        </is>
      </c>
      <c r="B54" s="162" t="n"/>
      <c r="C54" s="121" t="n"/>
      <c r="D54" s="178">
        <f>+D75*D76</f>
        <v/>
      </c>
      <c r="E54" s="178">
        <f>+E75*E76</f>
        <v/>
      </c>
      <c r="F54" s="178">
        <f>+F75*F76</f>
        <v/>
      </c>
      <c r="G54" s="178">
        <f>+G75*G76</f>
        <v/>
      </c>
      <c r="H54" s="178">
        <f>+H75*H76</f>
        <v/>
      </c>
      <c r="I54" s="178">
        <f>+I75*I76</f>
        <v/>
      </c>
      <c r="J54" s="178">
        <f>+J75*J76</f>
        <v/>
      </c>
      <c r="K54" s="11" t="n"/>
      <c r="L54" s="7" t="n"/>
    </row>
    <row r="55" hidden="1" s="158">
      <c r="A55" s="163" t="inlineStr">
        <is>
          <t>コスト想定(固定費)</t>
        </is>
      </c>
      <c r="B55" s="162" t="n"/>
      <c r="C55" s="121" t="n"/>
      <c r="D55" s="177">
        <f>+SUM(D65:D72)</f>
        <v/>
      </c>
      <c r="E55" s="177">
        <f>SUM(E65:E72)+E54</f>
        <v/>
      </c>
      <c r="F55" s="177">
        <f>SUM(F65:F72)+F54</f>
        <v/>
      </c>
      <c r="G55" s="177">
        <f>SUM(G65:G72)+G54</f>
        <v/>
      </c>
      <c r="H55" s="177">
        <f>SUM(H65:H72)+H54</f>
        <v/>
      </c>
      <c r="I55" s="177">
        <f>SUM(I65:I72)+I54</f>
        <v/>
      </c>
      <c r="J55" s="177">
        <f>SUM(J65:J72)+J54</f>
        <v/>
      </c>
      <c r="K55" s="11" t="n"/>
      <c r="L55" s="7" t="n"/>
    </row>
    <row r="56" hidden="1" s="158">
      <c r="A56" s="163" t="inlineStr">
        <is>
          <t>友だち獲得単価</t>
        </is>
      </c>
      <c r="B56" s="162" t="n"/>
      <c r="C56" s="121" t="n"/>
      <c r="D56" s="183" t="inlineStr">
        <is>
          <t>--</t>
        </is>
      </c>
      <c r="E56" s="178">
        <f>+SUM(E65:E67)/(E28-D28)</f>
        <v/>
      </c>
      <c r="F56" s="178">
        <f>+SUM(F65:F67)/(F28-E28)</f>
        <v/>
      </c>
      <c r="G56" s="178">
        <f>+SUM(G65:G67)/(G28-F28)</f>
        <v/>
      </c>
      <c r="H56" s="178">
        <f>+SUM(H65:H67)/(H28-G28)</f>
        <v/>
      </c>
      <c r="I56" s="178">
        <f>+SUM(I65:I67)/(I28-H28)</f>
        <v/>
      </c>
      <c r="J56" s="178">
        <f>+SUM(J65:J67)/(J28-I28)</f>
        <v/>
      </c>
      <c r="K56" s="11" t="n"/>
      <c r="L56" s="7" t="n"/>
    </row>
    <row r="57" hidden="1" s="158">
      <c r="A57" s="163" t="inlineStr">
        <is>
          <t>CPC想定</t>
        </is>
      </c>
      <c r="B57" s="162" t="n"/>
      <c r="C57" s="121" t="n"/>
      <c r="D57" s="183" t="inlineStr">
        <is>
          <t>--</t>
        </is>
      </c>
      <c r="E57" s="178">
        <f>+E61/E35</f>
        <v/>
      </c>
      <c r="F57" s="178">
        <f>+F61/F35</f>
        <v/>
      </c>
      <c r="G57" s="178">
        <f>+G61/G35</f>
        <v/>
      </c>
      <c r="H57" s="178">
        <f>+H61/H35</f>
        <v/>
      </c>
      <c r="I57" s="178">
        <f>+I61/I35</f>
        <v/>
      </c>
      <c r="J57" s="178">
        <f>+J61/J35</f>
        <v/>
      </c>
      <c r="K57" s="11" t="n"/>
      <c r="L57" s="7" t="n"/>
    </row>
    <row r="58" hidden="1" s="158">
      <c r="A58" s="163" t="inlineStr">
        <is>
          <t>CVR想定</t>
        </is>
      </c>
      <c r="B58" s="162" t="n"/>
      <c r="C58" s="121" t="n"/>
      <c r="D58" s="183" t="inlineStr">
        <is>
          <t>--</t>
        </is>
      </c>
      <c r="E58" s="32">
        <f>+SUM(E36:E39)/E35</f>
        <v/>
      </c>
      <c r="F58" s="32">
        <f>+SUM(F36:F39)/F35</f>
        <v/>
      </c>
      <c r="G58" s="32">
        <f>+SUM(G36:G39)/G35</f>
        <v/>
      </c>
      <c r="H58" s="32">
        <f>+SUM(H36:H39)/H35</f>
        <v/>
      </c>
      <c r="I58" s="32">
        <f>+SUM(I36:I39)/I35</f>
        <v/>
      </c>
      <c r="J58" s="32">
        <f>+SUM(J36:J39)/J35</f>
        <v/>
      </c>
      <c r="K58" s="11" t="n"/>
      <c r="L58" s="7" t="n"/>
    </row>
    <row r="59" hidden="1" s="158">
      <c r="A59" s="159" t="inlineStr">
        <is>
          <t>CPA想定</t>
        </is>
      </c>
      <c r="B59" s="162" t="n"/>
      <c r="C59" s="123" t="n"/>
      <c r="D59" s="178" t="n"/>
      <c r="E59" s="178">
        <f>+IFERROR(E55/E40,0)</f>
        <v/>
      </c>
      <c r="F59" s="178">
        <f>+IFERROR(F55/F40,0)</f>
        <v/>
      </c>
      <c r="G59" s="178">
        <f>+IFERROR(G55/G40,0)</f>
        <v/>
      </c>
      <c r="H59" s="178">
        <f>+IFERROR(H55/H40,0)</f>
        <v/>
      </c>
      <c r="I59" s="178">
        <f>+IFERROR(I55/I40,0)</f>
        <v/>
      </c>
      <c r="J59" s="178">
        <f>+IFERROR(J55/J40,0)</f>
        <v/>
      </c>
      <c r="K59" s="11" t="n"/>
      <c r="L59" s="7" t="n"/>
    </row>
    <row r="60" hidden="1" s="158">
      <c r="A60" s="159" t="inlineStr">
        <is>
          <t>成果報酬_費用発生</t>
        </is>
      </c>
      <c r="B60" s="162" t="n"/>
      <c r="C60" s="123" t="n"/>
      <c r="D60" s="178" t="n"/>
      <c r="E60" s="178" t="n"/>
      <c r="F60" s="178" t="n"/>
      <c r="G60" s="178" t="n"/>
      <c r="H60" s="178" t="n"/>
      <c r="I60" s="178" t="n"/>
      <c r="J60" s="178" t="n"/>
      <c r="K60" s="11" t="n"/>
      <c r="L60" s="7" t="n"/>
    </row>
    <row r="61" hidden="1" s="158">
      <c r="A61" s="4" t="inlineStr">
        <is>
          <t>総計コスト</t>
        </is>
      </c>
      <c r="B61" s="162" t="n"/>
      <c r="C61" s="119" t="n"/>
      <c r="D61" s="181">
        <f>+D55</f>
        <v/>
      </c>
      <c r="E61" s="181">
        <f>+SUM(E65:E72)+E54</f>
        <v/>
      </c>
      <c r="F61" s="181">
        <f>+SUM(F65:F72)+F54</f>
        <v/>
      </c>
      <c r="G61" s="181">
        <f>+SUM(G65:G72)+G54</f>
        <v/>
      </c>
      <c r="H61" s="181">
        <f>+SUM(H65:H72)+H54</f>
        <v/>
      </c>
      <c r="I61" s="181">
        <f>+SUM(I65:I72)+I54</f>
        <v/>
      </c>
      <c r="J61" s="181">
        <f>+SUM(J65:J72)+J54</f>
        <v/>
      </c>
      <c r="K61" s="11" t="n"/>
      <c r="L61" s="7" t="n"/>
    </row>
    <row r="62" hidden="1" s="158"/>
    <row r="64">
      <c r="C64" s="5" t="inlineStr">
        <is>
          <t>現状数値</t>
        </is>
      </c>
      <c r="D64" s="5" t="inlineStr">
        <is>
          <t>初期</t>
        </is>
      </c>
    </row>
    <row r="65">
      <c r="A65" s="52" t="inlineStr">
        <is>
          <t>コスト備考</t>
        </is>
      </c>
      <c r="B65" s="6" t="inlineStr">
        <is>
          <t>従量課金</t>
        </is>
      </c>
      <c r="C65" s="184" t="n">
        <v>0</v>
      </c>
      <c r="D65" s="185" t="n">
        <v>0</v>
      </c>
      <c r="E65" s="178">
        <f>MAX(0,15000+(E34-30000)*2.75)</f>
        <v/>
      </c>
      <c r="F65" s="178">
        <f>MAX(0,15000+(F34-30000)*2.75)</f>
        <v/>
      </c>
      <c r="G65" s="178">
        <f>MAX(0,15000+(G34-30000)*2.75)</f>
        <v/>
      </c>
      <c r="H65" s="178">
        <f>MAX(0,15000+(H34-30000)*2.75)</f>
        <v/>
      </c>
      <c r="I65" s="178">
        <f>MAX(0,15000+(I34-30000)*2.75)</f>
        <v/>
      </c>
      <c r="J65" s="178">
        <f>MAX(0,15000+(J34-30000)*2.75)</f>
        <v/>
      </c>
    </row>
    <row r="66">
      <c r="A66" s="53" t="inlineStr">
        <is>
          <t>※コンサル</t>
        </is>
      </c>
      <c r="B66" s="6" t="inlineStr">
        <is>
          <t>離脱防止</t>
        </is>
      </c>
      <c r="C66" s="184" t="n">
        <v>0</v>
      </c>
      <c r="D66" s="185" t="n">
        <v>15000</v>
      </c>
      <c r="E66" s="178" t="n">
        <v>30000</v>
      </c>
      <c r="F66" s="178" t="n">
        <v>30000</v>
      </c>
      <c r="G66" s="178" t="n">
        <v>30000</v>
      </c>
      <c r="H66" s="178" t="n">
        <v>30000</v>
      </c>
      <c r="I66" s="178" t="n">
        <v>30000</v>
      </c>
      <c r="J66" s="178" t="n">
        <v>30000</v>
      </c>
      <c r="N66" s="69" t="inlineStr">
        <is>
          <t>UUにかかわらず、10000円/月にて設定</t>
        </is>
      </c>
    </row>
    <row r="67">
      <c r="B67" s="6" t="inlineStr">
        <is>
          <t>サンクス誘導</t>
        </is>
      </c>
      <c r="C67" s="184" t="n">
        <v>0</v>
      </c>
      <c r="D67" s="185" t="n">
        <v>0</v>
      </c>
      <c r="E67" s="178" t="n">
        <v>0</v>
      </c>
      <c r="F67" s="178" t="n">
        <v>0</v>
      </c>
      <c r="G67" s="178" t="n">
        <v>0</v>
      </c>
      <c r="H67" s="178" t="n">
        <v>0</v>
      </c>
      <c r="I67" s="178" t="n">
        <v>0</v>
      </c>
      <c r="J67" s="178" t="n">
        <v>0</v>
      </c>
      <c r="N67" s="69" t="inlineStr">
        <is>
          <t>サンクスLINE（初期10万・月5万）はオプション。CVが付かないためSIMの費用に入れない</t>
        </is>
      </c>
    </row>
    <row r="68">
      <c r="A68" s="15" t="n"/>
      <c r="B68" s="6" t="inlineStr">
        <is>
          <t>アカウント費</t>
        </is>
      </c>
      <c r="C68" s="184" t="n">
        <v>0</v>
      </c>
      <c r="D68" s="185" t="n">
        <v>30000</v>
      </c>
      <c r="E68" s="178">
        <f>IF(E34&lt;5000,5000,15000)</f>
        <v/>
      </c>
      <c r="F68" s="178">
        <f>IF(F34&lt;5000,5000,15000)</f>
        <v/>
      </c>
      <c r="G68" s="178">
        <f>IF(G34&lt;5000,5000,15000)</f>
        <v/>
      </c>
      <c r="H68" s="178">
        <f>IF(H34&lt;5000,5000,15000)</f>
        <v/>
      </c>
      <c r="I68" s="178">
        <f>IF(I34&lt;5000,5000,15000)</f>
        <v/>
      </c>
      <c r="J68" s="178">
        <f>IF(J34&lt;5000,5000,15000)</f>
        <v/>
      </c>
      <c r="N68" s="69" t="inlineStr">
        <is>
          <t>アカウント費用（15000円or5000円）＋従量課金　※5000通を超える場合15000円～の設定にする ※重量課金は要確認</t>
        </is>
      </c>
      <c r="O68" s="17" t="inlineStr">
        <is>
          <t>プラン単価</t>
        </is>
      </c>
      <c r="P68" s="81" t="n">
        <v>5000</v>
      </c>
    </row>
    <row r="69">
      <c r="A69" s="15" t="n"/>
      <c r="B69" s="6" t="inlineStr">
        <is>
          <t>初期構築費</t>
        </is>
      </c>
      <c r="C69" s="184" t="n">
        <v>0</v>
      </c>
      <c r="D69" s="185" t="n">
        <v>200000</v>
      </c>
      <c r="E69" s="178" t="n">
        <v>200000</v>
      </c>
      <c r="F69" s="178" t="n">
        <v>200000</v>
      </c>
      <c r="G69" s="178" t="n">
        <v>200000</v>
      </c>
      <c r="H69" s="178" t="n">
        <v>200000</v>
      </c>
      <c r="I69" s="178" t="n">
        <v>200000</v>
      </c>
      <c r="J69" s="178" t="n">
        <v>200000</v>
      </c>
      <c r="N69" s="69" t="inlineStr">
        <is>
          <t>LINE運用コンサル（初期20万・月20万）</t>
        </is>
      </c>
      <c r="O69" s="5" t="inlineStr">
        <is>
          <t>←上限通数拡大の際に使用する。</t>
        </is>
      </c>
    </row>
    <row r="70">
      <c r="A70" s="15" t="n"/>
      <c r="B70" s="6" t="inlineStr">
        <is>
          <t>コンサル費②</t>
        </is>
      </c>
      <c r="C70" s="184" t="n">
        <v>0</v>
      </c>
      <c r="D70" s="185" t="n">
        <v>0</v>
      </c>
      <c r="E70" s="178" t="n">
        <v>0</v>
      </c>
      <c r="F70" s="178" t="n">
        <v>0</v>
      </c>
      <c r="G70" s="178" t="n">
        <v>0</v>
      </c>
      <c r="H70" s="178" t="n">
        <v>0</v>
      </c>
      <c r="I70" s="178" t="n">
        <v>0</v>
      </c>
      <c r="J70" s="178" t="n">
        <v>0</v>
      </c>
      <c r="N70" s="69" t="inlineStr">
        <is>
          <t>通知メッセージ初期費用（有のみ）</t>
        </is>
      </c>
    </row>
    <row r="71">
      <c r="A71" s="15" t="n"/>
      <c r="B71" s="6" t="inlineStr">
        <is>
          <t>機能拡張</t>
        </is>
      </c>
      <c r="C71" s="184" t="n">
        <v>0</v>
      </c>
      <c r="D71" s="185" t="n">
        <v>0</v>
      </c>
      <c r="E71" s="178">
        <f>IF(E20=FALSE,0,80000+ROUND(E16*(1-0.8*0.45*0.62),0)*7)</f>
        <v/>
      </c>
      <c r="F71" s="178">
        <f>IF(F20=FALSE,0,80000+ROUND(F16*(1-0.8*0.45*0.81),0)*7)</f>
        <v/>
      </c>
      <c r="G71" s="178">
        <f>IF(G20=FALSE,0,80000+ROUND(G16*(1-0.8*0.45*0.93),0)*7)</f>
        <v/>
      </c>
      <c r="H71" s="178">
        <f>IF(H20=FALSE,0,80000+ROUND(H16*(1-0.8*0.45*1.0),0)*7)</f>
        <v/>
      </c>
      <c r="I71" s="178">
        <f>IF(I20=FALSE,0,80000+ROUND(I16*(1-0.8*0.45*1.03),0)*7)</f>
        <v/>
      </c>
      <c r="J71" s="178">
        <f>IF(J20=FALSE,0,80000+ROUND(J16*(1-0.8*0.45*1.05),0)*7)</f>
        <v/>
      </c>
      <c r="N71" s="69" t="inlineStr">
        <is>
          <t>通知メッセージ：ツール費月8万＋通数×7円（有のみ）</t>
        </is>
      </c>
    </row>
    <row r="72">
      <c r="A72" s="15" t="n"/>
      <c r="B72" s="6" t="inlineStr">
        <is>
          <t>APIツール費</t>
        </is>
      </c>
      <c r="C72" s="184" t="n">
        <v>0</v>
      </c>
      <c r="D72" s="185" t="n">
        <v>0</v>
      </c>
      <c r="E72" s="178" t="n">
        <v>0</v>
      </c>
      <c r="F72" s="178" t="n">
        <v>0</v>
      </c>
      <c r="G72" s="178" t="n">
        <v>0</v>
      </c>
      <c r="H72" s="178" t="n">
        <v>0</v>
      </c>
      <c r="I72" s="178" t="n">
        <v>0</v>
      </c>
      <c r="J72" s="178" t="n">
        <v>0</v>
      </c>
    </row>
    <row r="73">
      <c r="A73" s="15" t="n"/>
      <c r="B73" s="112" t="inlineStr">
        <is>
          <t>コスト総計</t>
        </is>
      </c>
      <c r="C73" s="186" t="n">
        <v>0</v>
      </c>
      <c r="D73" s="187">
        <f>SUM(D65:D72)</f>
        <v/>
      </c>
      <c r="E73" s="187">
        <f>SUM(E65:E72)</f>
        <v/>
      </c>
      <c r="F73" s="187">
        <f>SUM(F65:F72)</f>
        <v/>
      </c>
      <c r="G73" s="187">
        <f>SUM(G65:G72)</f>
        <v/>
      </c>
      <c r="H73" s="187">
        <f>SUM(H65:H72)</f>
        <v/>
      </c>
      <c r="I73" s="187">
        <f>SUM(I65:I72)</f>
        <v/>
      </c>
      <c r="J73" s="187">
        <f>SUM(J65:J72)</f>
        <v/>
      </c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</row>
    <row r="75">
      <c r="B75" s="5" t="inlineStr">
        <is>
          <t>追加通数</t>
        </is>
      </c>
      <c r="D75" s="41">
        <f>+IF(D34&lt;30001,0,D34-30000)</f>
        <v/>
      </c>
      <c r="E75" s="41">
        <f>+IF(E34&lt;30001,0,E34-30000)</f>
        <v/>
      </c>
      <c r="F75" s="41">
        <f>+IF(F34&lt;30001,0,F34-30000)</f>
        <v/>
      </c>
      <c r="G75" s="41">
        <f>+IF(G34&lt;30001,0,G34-30000)</f>
        <v/>
      </c>
      <c r="H75" s="41">
        <f>+IF(H34&lt;30001,0,H34-30000)</f>
        <v/>
      </c>
      <c r="I75" s="41">
        <f>+IF(I34&lt;30001,0,I34-30000)</f>
        <v/>
      </c>
      <c r="J75" s="41">
        <f>+IF(J34&lt;30001,0,J34-30000)</f>
        <v/>
      </c>
    </row>
    <row r="76">
      <c r="B76" s="5" t="inlineStr">
        <is>
          <t>想定単価</t>
        </is>
      </c>
      <c r="D76" s="5">
        <f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/>
      </c>
      <c r="E76" s="5">
        <f>+IF(E75&lt;=$U$18,$Z$18,IF(E75&lt;=$U$19,$Z$19,IF(E75&lt;=$U$20,$Z$20,IF(E75&lt;=$U$21,$Z$21,IF(E75&lt;=$U$22,$Z$22,IF(E75&lt;=$U$23,$Z$23,IF(E75&lt;=$U$24,$Z$24,IF(E75&lt;=$U$25,$Z$25,IF(E75&lt;=$U$26,$Z$26,IF(E75&lt;=$U$27,$Z$27,IF(E75&lt;=$U$28,$Z$28,IF(E75&lt;=$U$29,$Z$29,IF(E75&lt;=$U$30,$Z$30,0)))))))))))))</f>
        <v/>
      </c>
      <c r="F76" s="5">
        <f>+IF(F75&lt;=$U$18,$Z$18,IF(F75&lt;=$U$19,$Z$19,IF(F75&lt;=$U$20,$Z$20,IF(F75&lt;=$U$21,$Z$21,IF(F75&lt;=$U$22,$Z$22,IF(F75&lt;=$U$23,$Z$23,IF(F75&lt;=$U$24,$Z$24,IF(F75&lt;=$U$25,$Z$25,IF(F75&lt;=$U$26,$Z$26,IF(F75&lt;=$U$27,$Z$27,IF(F75&lt;=$U$28,$Z$28,IF(F75&lt;=$U$29,$Z$29,IF(F75&lt;=$U$30,$Z$30,0)))))))))))))</f>
        <v/>
      </c>
      <c r="G76" s="5">
        <f>+IF(G75&lt;=$U$18,$Z$18,IF(G75&lt;=$U$19,$Z$19,IF(G75&lt;=$U$20,$Z$20,IF(G75&lt;=$U$21,$Z$21,IF(G75&lt;=$U$22,$Z$22,IF(G75&lt;=$U$23,$Z$23,IF(G75&lt;=$U$24,$Z$24,IF(G75&lt;=$U$25,$Z$25,IF(G75&lt;=$U$26,$Z$26,IF(G75&lt;=$U$27,$Z$27,IF(G75&lt;=$U$28,$Z$28,IF(G75&lt;=$U$29,$Z$29,IF(G75&lt;=$U$30,$Z$30,0)))))))))))))</f>
        <v/>
      </c>
      <c r="H76" s="5">
        <f>+IF(H75&lt;=$U$18,$Z$18,IF(H75&lt;=$U$19,$Z$19,IF(H75&lt;=$U$20,$Z$20,IF(H75&lt;=$U$21,$Z$21,IF(H75&lt;=$U$22,$Z$22,IF(H75&lt;=$U$23,$Z$23,IF(H75&lt;=$U$24,$Z$24,IF(H75&lt;=$U$25,$Z$25,IF(H75&lt;=$U$26,$Z$26,IF(H75&lt;=$U$27,$Z$27,IF(H75&lt;=$U$28,$Z$28,IF(H75&lt;=$U$29,$Z$29,IF(H75&lt;=$U$30,$Z$30,0)))))))))))))</f>
        <v/>
      </c>
      <c r="I76" s="5">
        <f>+IF(I75&lt;=$U$18,$Z$18,IF(I75&lt;=$U$19,$Z$19,IF(I75&lt;=$U$20,$Z$20,IF(I75&lt;=$U$21,$Z$21,IF(I75&lt;=$U$22,$Z$22,IF(I75&lt;=$U$23,$Z$23,IF(I75&lt;=$U$24,$Z$24,IF(I75&lt;=$U$25,$Z$25,IF(I75&lt;=$U$26,$Z$26,IF(I75&lt;=$U$27,$Z$27,IF(I75&lt;=$U$28,$Z$28,IF(I75&lt;=$U$29,$Z$29,IF(I75&lt;=$U$30,$Z$30,0)))))))))))))</f>
        <v/>
      </c>
      <c r="J76" s="5">
        <f>+IF(J75&lt;=$U$18,$Z$18,IF(J75&lt;=$U$19,$Z$19,IF(J75&lt;=$U$20,$Z$20,IF(J75&lt;=$U$21,$Z$21,IF(J75&lt;=$U$22,$Z$22,IF(J75&lt;=$U$23,$Z$23,IF(J75&lt;=$U$24,$Z$24,IF(J75&lt;=$U$25,$Z$25,IF(J75&lt;=$U$26,$Z$26,IF(J75&lt;=$U$27,$Z$27,IF(J75&lt;=$U$28,$Z$28,IF(J75&lt;=$U$29,$Z$29,IF(J75&lt;=$U$30,$Z$30,0)))))))))))))</f>
        <v/>
      </c>
    </row>
  </sheetData>
  <mergeCells count="35">
    <mergeCell ref="A48:B48"/>
    <mergeCell ref="A30:B30"/>
    <mergeCell ref="A59:B59"/>
    <mergeCell ref="A60:B60"/>
    <mergeCell ref="A49:B49"/>
    <mergeCell ref="A51:B51"/>
    <mergeCell ref="A45:B45"/>
    <mergeCell ref="A36:A37"/>
    <mergeCell ref="A14:A16"/>
    <mergeCell ref="A61:B61"/>
    <mergeCell ref="A17:A21"/>
    <mergeCell ref="A54:B54"/>
    <mergeCell ref="A46:B46"/>
    <mergeCell ref="A56:B56"/>
    <mergeCell ref="A27:B27"/>
    <mergeCell ref="A55:B55"/>
    <mergeCell ref="A50:B50"/>
    <mergeCell ref="A26:B26"/>
    <mergeCell ref="A8:A9"/>
    <mergeCell ref="A57:B57"/>
    <mergeCell ref="A33:B33"/>
    <mergeCell ref="A47:B47"/>
    <mergeCell ref="A32:B32"/>
    <mergeCell ref="A10:A11"/>
    <mergeCell ref="A22:A25"/>
    <mergeCell ref="A35:B35"/>
    <mergeCell ref="A38:A39"/>
    <mergeCell ref="A29:B29"/>
    <mergeCell ref="A28:B28"/>
    <mergeCell ref="A13:B13"/>
    <mergeCell ref="A44:B44"/>
    <mergeCell ref="A40:B40"/>
    <mergeCell ref="A31:B31"/>
    <mergeCell ref="A58:B58"/>
    <mergeCell ref="A34:B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selection activeCell="A1" sqref="A1"/>
    </sheetView>
  </sheetViews>
  <sheetFormatPr baseColWidth="8" defaultColWidth="9" defaultRowHeight="18.75"/>
  <cols>
    <col width="41.75" customWidth="1" style="139" min="1" max="1"/>
    <col width="3" customWidth="1" style="5" min="2" max="2"/>
    <col width="26.125" customWidth="1" style="5" min="3" max="6"/>
    <col width="9" customWidth="1" style="5" min="7" max="17"/>
    <col width="10.875" bestFit="1" customWidth="1" style="5" min="18" max="18"/>
    <col width="9" customWidth="1" style="5" min="19" max="19"/>
    <col width="14.875" customWidth="1" style="5" min="20" max="27"/>
    <col width="9" customWidth="1" style="5" min="28" max="16384"/>
  </cols>
  <sheetData>
    <row r="1">
      <c r="E1" s="81" t="inlineStr">
        <is>
          <t>→通数減らすように係数：</t>
        </is>
      </c>
      <c r="F1" s="81" t="n">
        <v>0.6</v>
      </c>
    </row>
    <row r="3">
      <c r="A3" s="82" t="inlineStr">
        <is>
          <t>比較項目</t>
        </is>
      </c>
      <c r="B3" s="82" t="n"/>
      <c r="C3" s="83" t="inlineStr">
        <is>
          <t>DYM実装前</t>
        </is>
      </c>
      <c r="D3" s="84" t="inlineStr">
        <is>
          <t>DYM実装後（③か月）</t>
        </is>
      </c>
      <c r="E3" s="84" t="inlineStr">
        <is>
          <t>DYM実装後（⑥か月）</t>
        </is>
      </c>
      <c r="F3" s="84" t="n"/>
    </row>
    <row r="4">
      <c r="A4" s="85" t="inlineStr">
        <is>
          <t>コスト想定 ※月額（成果報酬プラン）</t>
        </is>
      </c>
      <c r="B4" s="7" t="n"/>
      <c r="C4" s="188">
        <f>+'SIM3_LINE登録2%'!D24</f>
        <v/>
      </c>
      <c r="D4" s="178">
        <f>+'SIM3_LINE登録2%'!G51</f>
        <v/>
      </c>
      <c r="E4" s="178">
        <f>+'SIM3_LINE登録2%'!J51</f>
        <v/>
      </c>
      <c r="F4" s="178" t="n"/>
    </row>
    <row r="5">
      <c r="A5" s="85" t="inlineStr">
        <is>
          <t>コスト想定 ※月額（固定プラン）</t>
        </is>
      </c>
      <c r="B5" s="7" t="n"/>
      <c r="C5" s="188">
        <f>+'SIM3_LINE登録2%'!D25</f>
        <v/>
      </c>
      <c r="D5" s="178">
        <f>+'SIM3_LINE登録2%'!G61</f>
        <v/>
      </c>
      <c r="E5" s="178">
        <f>+'SIM3_LINE登録2%'!J61</f>
        <v/>
      </c>
      <c r="F5" s="177" t="n"/>
    </row>
    <row r="6">
      <c r="A6" s="85" t="inlineStr">
        <is>
          <t>友だち数想定</t>
        </is>
      </c>
      <c r="B6" s="7" t="n"/>
      <c r="C6" s="117">
        <f>+'SIM3_LINE登録2%'!D28</f>
        <v/>
      </c>
      <c r="D6" s="87">
        <f>+'SIM3_LINE登録2%'!G28</f>
        <v/>
      </c>
      <c r="E6" s="87">
        <f>+'SIM3_LINE登録2%'!J28</f>
        <v/>
      </c>
      <c r="F6" s="10" t="n"/>
    </row>
    <row r="7">
      <c r="A7" s="85" t="inlineStr">
        <is>
          <t>ブロック率想定</t>
        </is>
      </c>
      <c r="B7" s="7" t="n"/>
      <c r="C7" s="88">
        <f>+'SIM3_LINE登録2%'!D27</f>
        <v/>
      </c>
      <c r="D7" s="189">
        <f>'SIM3_LINE登録2%'!G27</f>
        <v/>
      </c>
      <c r="E7" s="189">
        <f>'SIM3_LINE登録2%'!J27</f>
        <v/>
      </c>
      <c r="F7" s="189" t="n"/>
    </row>
    <row r="8">
      <c r="A8" s="85" t="inlineStr">
        <is>
          <t>友だち数（アクティブ）想定</t>
        </is>
      </c>
      <c r="B8" s="7" t="n"/>
      <c r="C8" s="117">
        <f>+'SIM3_LINE登録2%'!D29</f>
        <v/>
      </c>
      <c r="D8" s="10">
        <f>+'SIM3_LINE登録2%'!G29</f>
        <v/>
      </c>
      <c r="E8" s="10">
        <f>+'SIM3_LINE登録2%'!J29</f>
        <v/>
      </c>
      <c r="F8" s="10" t="n"/>
    </row>
    <row r="9">
      <c r="A9" s="85" t="n"/>
      <c r="B9" s="7" t="n"/>
      <c r="C9" s="7" t="n"/>
      <c r="D9" s="7" t="n"/>
      <c r="E9" s="7" t="n"/>
      <c r="F9" s="7" t="n"/>
    </row>
    <row r="10">
      <c r="A10" s="85" t="inlineStr">
        <is>
          <t>メッセ通数</t>
        </is>
      </c>
      <c r="B10" s="7" t="n"/>
      <c r="C10" s="117">
        <f>+'SIM3_LINE登録2%'!D34</f>
        <v/>
      </c>
      <c r="D10" s="10">
        <f>+'SIM3_LINE登録2%'!G34</f>
        <v/>
      </c>
      <c r="E10" s="10">
        <f>+'SIM3_LINE登録2%'!J34</f>
        <v/>
      </c>
      <c r="F10" s="10" t="n"/>
    </row>
    <row r="11">
      <c r="A11" s="85" t="inlineStr">
        <is>
          <t>サイト流入数（LINEから）</t>
        </is>
      </c>
      <c r="B11" s="7" t="n"/>
      <c r="C11" s="117">
        <f>+'SIM3_LINE登録2%'!D35</f>
        <v/>
      </c>
      <c r="D11" s="10">
        <f>+'SIM3_LINE登録2%'!G35</f>
        <v/>
      </c>
      <c r="E11" s="10">
        <f>+'SIM3_LINE登録2%'!J35</f>
        <v/>
      </c>
      <c r="F11" s="10" t="n"/>
    </row>
    <row r="12">
      <c r="A12" s="85" t="inlineStr">
        <is>
          <t>想定CPC（LINEOA施策）_成果報酬プラン</t>
        </is>
      </c>
      <c r="B12" s="7" t="n"/>
      <c r="C12" s="178">
        <f>+IFERROR(C5/C11,0)</f>
        <v/>
      </c>
      <c r="D12" s="178">
        <f>+D4/D11</f>
        <v/>
      </c>
      <c r="E12" s="178">
        <f>+E4/E11</f>
        <v/>
      </c>
      <c r="F12" s="178" t="n"/>
    </row>
    <row r="13">
      <c r="A13" s="85" t="inlineStr">
        <is>
          <t>想定CPC（LINEOA施策）_固定運用プラン</t>
        </is>
      </c>
      <c r="B13" s="7" t="n"/>
      <c r="C13" s="178">
        <f>+IFERROR(C6/C12,0)</f>
        <v/>
      </c>
      <c r="D13" s="178">
        <f>+D5/D11</f>
        <v/>
      </c>
      <c r="E13" s="178">
        <f>+E5/E11</f>
        <v/>
      </c>
      <c r="F13" s="178" t="n"/>
    </row>
    <row r="14">
      <c r="A14" s="85" t="n"/>
      <c r="B14" s="7" t="n"/>
      <c r="C14" s="7" t="n"/>
      <c r="D14" s="7" t="n"/>
      <c r="E14" s="7" t="n"/>
      <c r="F14" s="7" t="n"/>
      <c r="R14" s="139" t="inlineStr">
        <is>
          <t>■従量計算式↓</t>
        </is>
      </c>
    </row>
    <row r="15">
      <c r="A15" s="85" t="inlineStr">
        <is>
          <t>CV数（もともと）</t>
        </is>
      </c>
      <c r="B15" s="7" t="n"/>
      <c r="C15" s="87">
        <f>+'SIM3_LINE登録2%'!D16</f>
        <v/>
      </c>
      <c r="D15" s="87">
        <f>+'SIM3_LINE登録2%'!E16</f>
        <v/>
      </c>
      <c r="E15" s="87">
        <f>+'SIM3_LINE登録2%'!F16</f>
        <v/>
      </c>
      <c r="F15" s="87" t="n"/>
      <c r="R15" s="5" t="inlineStr">
        <is>
          <t>■料金テーブル</t>
        </is>
      </c>
    </row>
    <row r="16">
      <c r="A16" s="85" t="inlineStr">
        <is>
          <t>CV数（+LINEOA施策）※応募のみ</t>
        </is>
      </c>
      <c r="B16" s="7" t="n"/>
      <c r="C16" s="87">
        <f>+C18</f>
        <v/>
      </c>
      <c r="D16" s="87">
        <f>+D18</f>
        <v/>
      </c>
      <c r="E16" s="87">
        <f>+E18</f>
        <v/>
      </c>
      <c r="F16" s="87" t="n"/>
      <c r="R16" s="5" t="inlineStr">
        <is>
          <t>課金対象配信総数</t>
        </is>
      </c>
      <c r="V16" s="5" t="inlineStr">
        <is>
          <t>費用</t>
        </is>
      </c>
      <c r="Y16" s="35" t="inlineStr">
        <is>
          <t>単価</t>
        </is>
      </c>
    </row>
    <row r="17">
      <c r="A17" s="85" t="inlineStr">
        <is>
          <t>CV①_会員登録（参考・CPAに含めない）</t>
        </is>
      </c>
      <c r="B17" s="7" t="n"/>
      <c r="C17" s="87">
        <f>+'SIM3_LINE登録2%'!D36</f>
        <v/>
      </c>
      <c r="D17" s="87">
        <f>+'SIM3_LINE登録2%'!G36</f>
        <v/>
      </c>
      <c r="E17" s="87">
        <f>+'SIM3_LINE登録2%'!J36</f>
        <v/>
      </c>
      <c r="F17" s="10" t="n"/>
      <c r="R17" s="5" t="n">
        <v>0</v>
      </c>
      <c r="S17" s="5" t="inlineStr">
        <is>
          <t>-</t>
        </is>
      </c>
      <c r="T17" s="34" t="n">
        <v>200000</v>
      </c>
      <c r="V17" s="5" t="n">
        <v>0</v>
      </c>
      <c r="W17" s="5" t="inlineStr">
        <is>
          <t>-</t>
        </is>
      </c>
      <c r="X17" s="34" t="n">
        <v>600000</v>
      </c>
      <c r="Y17" s="35" t="n">
        <v>3</v>
      </c>
    </row>
    <row r="18">
      <c r="A18" s="85" t="inlineStr">
        <is>
          <t>CV②_求人応募（LINE経由）</t>
        </is>
      </c>
      <c r="B18" s="7" t="n"/>
      <c r="C18" s="87">
        <f>+'SIM3_LINE登録2%'!D37</f>
        <v/>
      </c>
      <c r="D18" s="87">
        <f>+'SIM3_LINE登録2%'!G37</f>
        <v/>
      </c>
      <c r="E18" s="87">
        <f>+'SIM3_LINE登録2%'!J37</f>
        <v/>
      </c>
      <c r="F18" s="10" t="n"/>
      <c r="R18" s="34" t="n">
        <v>200000</v>
      </c>
      <c r="S18" s="5" t="inlineStr">
        <is>
          <t>-</t>
        </is>
      </c>
      <c r="T18" s="34" t="n">
        <v>15000000</v>
      </c>
      <c r="V18" s="34" t="n">
        <v>600000</v>
      </c>
      <c r="W18" s="5" t="inlineStr">
        <is>
          <t>-</t>
        </is>
      </c>
      <c r="X18" s="34">
        <f>+T18*2.5</f>
        <v/>
      </c>
      <c r="Y18" s="35" t="n">
        <v>2.5</v>
      </c>
    </row>
    <row r="19">
      <c r="A19" s="85" t="inlineStr">
        <is>
          <t>OA施策CV_内訳③_リピCV3</t>
        </is>
      </c>
      <c r="B19" s="7" t="n"/>
      <c r="C19" s="87">
        <f>+'SIM3_LINE登録2%'!D38</f>
        <v/>
      </c>
      <c r="D19" s="87">
        <f>+'SIM3_LINE登録2%'!G38</f>
        <v/>
      </c>
      <c r="E19" s="87">
        <f>+'SIM3_LINE登録2%'!J38</f>
        <v/>
      </c>
      <c r="F19" s="10" t="n"/>
      <c r="R19" s="34" t="n"/>
      <c r="T19" s="34" t="n"/>
      <c r="V19" s="34" t="n"/>
      <c r="X19" s="34" t="n"/>
      <c r="Y19" s="35" t="n"/>
    </row>
    <row r="20">
      <c r="A20" s="85" t="inlineStr">
        <is>
          <t>OA施策CV_内訳④_リピCV4</t>
        </is>
      </c>
      <c r="B20" s="7" t="n"/>
      <c r="C20" s="87">
        <f>+'SIM3_LINE登録2%'!D39</f>
        <v/>
      </c>
      <c r="D20" s="87">
        <f>+'SIM3_LINE登録2%'!G39</f>
        <v/>
      </c>
      <c r="E20" s="87">
        <f>+'SIM3_LINE登録2%'!J39</f>
        <v/>
      </c>
      <c r="F20" s="10" t="n"/>
      <c r="R20" s="34" t="n"/>
      <c r="T20" s="34" t="n"/>
      <c r="V20" s="34" t="n"/>
      <c r="X20" s="34" t="n"/>
      <c r="Y20" s="35" t="n"/>
    </row>
    <row r="21">
      <c r="A21" s="85" t="n"/>
      <c r="B21" s="7" t="n"/>
      <c r="C21" s="7" t="n"/>
      <c r="D21" s="7" t="n"/>
      <c r="E21" s="7" t="n"/>
      <c r="F21" s="7" t="n"/>
      <c r="R21" s="34" t="n"/>
      <c r="T21" s="34" t="n"/>
      <c r="V21" s="34" t="n"/>
      <c r="X21" s="34" t="n"/>
      <c r="Y21" s="35" t="n"/>
    </row>
    <row r="22">
      <c r="A22" s="85" t="inlineStr">
        <is>
          <t>成果報酬プラン_CPA（単純計算）</t>
        </is>
      </c>
      <c r="B22" s="7" t="n"/>
      <c r="C22" s="184">
        <f>+IFERROR(C4/C16,"--")</f>
        <v/>
      </c>
      <c r="D22" s="184">
        <f>+IFERROR(D4/D16,"--")</f>
        <v/>
      </c>
      <c r="E22" s="184">
        <f>+IFERROR(E4/E16,"--")</f>
        <v/>
      </c>
      <c r="F22" s="184" t="n"/>
      <c r="R22" s="34" t="n"/>
      <c r="T22" s="34" t="n"/>
      <c r="V22" s="34" t="n"/>
      <c r="X22" s="34" t="n"/>
      <c r="Y22" s="35" t="n"/>
    </row>
    <row r="23">
      <c r="A23" s="85" t="inlineStr">
        <is>
          <t>固定費プラン_CPA（単純計算）</t>
        </is>
      </c>
      <c r="B23" s="7" t="n"/>
      <c r="C23" s="184">
        <f>+IFERROR(C5/C16,"--")</f>
        <v/>
      </c>
      <c r="D23" s="184">
        <f>+IFERROR(D5/D16,"--")</f>
        <v/>
      </c>
      <c r="E23" s="184">
        <f>+IFERROR(E5/E16,"--")</f>
        <v/>
      </c>
      <c r="F23" s="184" t="n"/>
      <c r="R23" s="34" t="n"/>
      <c r="T23" s="34" t="n"/>
      <c r="V23" s="34" t="n"/>
      <c r="X23" s="34" t="n"/>
      <c r="Y23" s="35" t="n"/>
    </row>
    <row r="24">
      <c r="A24" s="85" t="n"/>
      <c r="B24" s="7" t="n"/>
      <c r="C24" s="7" t="n"/>
      <c r="D24" s="7" t="n"/>
      <c r="E24" s="7" t="n"/>
      <c r="F24" s="7" t="n"/>
      <c r="R24" s="34" t="n"/>
      <c r="T24" s="34" t="n"/>
      <c r="V24" s="34" t="n"/>
      <c r="X24" s="34" t="n"/>
      <c r="Y24" s="35" t="n"/>
    </row>
    <row r="25">
      <c r="A25" s="85" t="inlineStr">
        <is>
          <t>備考_合計コスト(従量課金) ※アカウント費用</t>
        </is>
      </c>
      <c r="B25" s="7" t="n"/>
      <c r="C25" s="10">
        <f>15000+C29*C30</f>
        <v/>
      </c>
      <c r="D25" s="10">
        <f>15000+D29*D30</f>
        <v/>
      </c>
      <c r="E25" s="10">
        <f>15000+E29*E30</f>
        <v/>
      </c>
      <c r="F25" s="10" t="n"/>
      <c r="R25" s="34" t="n"/>
      <c r="T25" s="34" t="n"/>
      <c r="V25" s="34" t="n"/>
      <c r="X25" s="34" t="n"/>
      <c r="Y25" s="35" t="n"/>
    </row>
    <row r="26">
      <c r="R26" s="34" t="n"/>
      <c r="T26" s="34" t="n"/>
      <c r="V26" s="34" t="n"/>
      <c r="X26" s="34" t="n"/>
      <c r="Y26" s="35" t="n"/>
    </row>
    <row r="27">
      <c r="R27" s="34" t="n"/>
      <c r="T27" s="34" t="n"/>
      <c r="V27" s="34" t="n"/>
      <c r="X27" s="34" t="n"/>
      <c r="Y27" s="35" t="n"/>
    </row>
    <row r="28">
      <c r="R28" s="34" t="n"/>
      <c r="T28" s="34" t="n"/>
      <c r="V28" s="34" t="n"/>
      <c r="X28" s="34" t="n"/>
      <c r="Y28" s="35" t="n"/>
    </row>
    <row r="29">
      <c r="A29" s="139" t="inlineStr">
        <is>
          <t>従量課金対象単価</t>
        </is>
      </c>
      <c r="C29" s="5">
        <f>+IF(C10&lt;=30000,0,C10-30000)</f>
        <v/>
      </c>
      <c r="D29" s="91">
        <f>+IF(D10&lt;=30000,0,D10-30000)</f>
        <v/>
      </c>
      <c r="E29" s="91">
        <f>+IF(E10&lt;=30000,0,E10-30000)</f>
        <v/>
      </c>
      <c r="F29" s="91" t="n"/>
      <c r="R29" s="34" t="n"/>
      <c r="T29" s="34" t="n"/>
      <c r="V29" s="34" t="n"/>
      <c r="X29" s="34" t="n"/>
      <c r="Y29" s="35" t="n"/>
    </row>
    <row r="30">
      <c r="A30" s="139" t="inlineStr">
        <is>
          <t>備考単価</t>
        </is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/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/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/>
      </c>
      <c r="R30" s="34" t="n"/>
      <c r="T30" s="34" t="n"/>
      <c r="V30" s="34" t="n"/>
      <c r="X30" s="34" t="n"/>
      <c r="Y30" s="35" t="n"/>
    </row>
    <row r="31">
      <c r="R31" s="34" t="n"/>
      <c r="T31" s="34" t="n"/>
      <c r="V31" s="34" t="n"/>
      <c r="Y31" s="35" t="n"/>
    </row>
    <row r="35">
      <c r="A35" s="92" t="inlineStr">
        <is>
          <t>階層別</t>
        </is>
      </c>
      <c r="B35" s="92" t="n"/>
      <c r="C35" s="93" t="inlineStr">
        <is>
          <t>母数</t>
        </is>
      </c>
      <c r="D35" s="94" t="inlineStr">
        <is>
          <t>誘導率</t>
        </is>
      </c>
      <c r="E35" s="94" t="inlineStr">
        <is>
          <t>想定CVR</t>
        </is>
      </c>
      <c r="F35" s="94" t="inlineStr">
        <is>
          <t>想定CVR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42"/>
  <sheetViews>
    <sheetView workbookViewId="0">
      <selection activeCell="B4" sqref="B4"/>
    </sheetView>
  </sheetViews>
  <sheetFormatPr baseColWidth="8" defaultRowHeight="18.75"/>
  <cols>
    <col width="14.25" customWidth="1" style="158" min="1" max="1"/>
    <col width="14.25" customWidth="1" style="158" min="5" max="5"/>
  </cols>
  <sheetData>
    <row r="2">
      <c r="A2" s="59" t="inlineStr">
        <is>
          <t>友だち数_増加施策</t>
        </is>
      </c>
      <c r="B2" s="59" t="n"/>
      <c r="C2" s="59" t="n"/>
      <c r="D2" s="59" t="n"/>
      <c r="E2" s="59" t="n"/>
      <c r="F2" s="59" t="n"/>
      <c r="G2" s="59" t="n"/>
    </row>
    <row r="3">
      <c r="A3" s="54" t="inlineStr">
        <is>
          <t>離脱防止 ※</t>
        </is>
      </c>
    </row>
    <row r="4">
      <c r="A4" s="0" t="inlineStr">
        <is>
          <t>掲載率</t>
        </is>
      </c>
      <c r="B4" s="0" t="inlineStr">
        <is>
          <t>※サイト構成、要望により変動</t>
        </is>
      </c>
      <c r="E4" s="0" t="n">
        <v>1000</v>
      </c>
    </row>
    <row r="5">
      <c r="A5" s="0" t="inlineStr">
        <is>
          <t>クリック率</t>
        </is>
      </c>
      <c r="B5" s="60" t="n">
        <v>0.08500000000000001</v>
      </c>
    </row>
    <row r="6">
      <c r="A6" s="0" t="inlineStr">
        <is>
          <t>追加率</t>
        </is>
      </c>
      <c r="B6" s="60" t="n">
        <v>0.08</v>
      </c>
    </row>
    <row r="7">
      <c r="E7" s="0">
        <f>+E4*B5*B6</f>
        <v/>
      </c>
    </row>
    <row r="8">
      <c r="A8" s="54" t="inlineStr">
        <is>
          <t>サイト→LINEの導線の改善 ※</t>
        </is>
      </c>
    </row>
    <row r="9">
      <c r="A9" s="0" t="inlineStr">
        <is>
          <t>掲載率</t>
        </is>
      </c>
      <c r="B9" s="0" t="inlineStr">
        <is>
          <t>※サイト構成、要望により変動</t>
        </is>
      </c>
      <c r="E9" s="0" t="n">
        <v>1000</v>
      </c>
    </row>
    <row r="10">
      <c r="A10" s="0" t="inlineStr">
        <is>
          <t>クリック率</t>
        </is>
      </c>
      <c r="B10" s="60" t="n">
        <v>0.005</v>
      </c>
    </row>
    <row r="11">
      <c r="A11" s="0" t="inlineStr">
        <is>
          <t>追加率</t>
        </is>
      </c>
      <c r="B11" s="60" t="n">
        <v>0.08</v>
      </c>
    </row>
    <row r="12">
      <c r="E12" s="0">
        <f>+E9*B10*B11</f>
        <v/>
      </c>
    </row>
    <row r="13">
      <c r="A13" s="54" t="inlineStr">
        <is>
          <t>サンクスページ誘導 ※</t>
        </is>
      </c>
      <c r="D13" s="0" t="inlineStr">
        <is>
          <t>ただCVが増えるわけではない</t>
        </is>
      </c>
    </row>
    <row r="14">
      <c r="A14" s="0" t="inlineStr">
        <is>
          <t>掲載数</t>
        </is>
      </c>
      <c r="B14" s="0" t="inlineStr">
        <is>
          <t>※サイト構成、要望により変動</t>
        </is>
      </c>
      <c r="E14" s="0" t="n">
        <v>1000</v>
      </c>
    </row>
    <row r="15">
      <c r="A15" s="0" t="inlineStr">
        <is>
          <t>クリック率</t>
        </is>
      </c>
      <c r="B15" s="60" t="n">
        <v>0.9</v>
      </c>
      <c r="C15" s="0" t="inlineStr">
        <is>
          <t>※カウントしない</t>
        </is>
      </c>
    </row>
    <row r="16">
      <c r="A16" s="0" t="inlineStr">
        <is>
          <t>追加率</t>
        </is>
      </c>
      <c r="B16" s="60" t="n">
        <v>0.35</v>
      </c>
    </row>
    <row r="17">
      <c r="E17" s="0">
        <f>+E14*B15*B16</f>
        <v/>
      </c>
    </row>
    <row r="18">
      <c r="A18" s="54" t="inlineStr">
        <is>
          <t>通知メッセの改善 ※</t>
        </is>
      </c>
      <c r="D18" s="0" t="inlineStr">
        <is>
          <t>ただCVが増えるわけではない</t>
        </is>
      </c>
    </row>
    <row r="19">
      <c r="A19" s="0" t="inlineStr">
        <is>
          <t>掲載率</t>
        </is>
      </c>
      <c r="B19" s="60" t="n">
        <v>0.7</v>
      </c>
      <c r="C19" s="0" t="inlineStr">
        <is>
          <t>※サイト構成、要望により変動</t>
        </is>
      </c>
      <c r="E19" s="0" t="n">
        <v>1000</v>
      </c>
    </row>
    <row r="20">
      <c r="A20" s="0" t="inlineStr">
        <is>
          <t>クリック率</t>
        </is>
      </c>
      <c r="B20" s="60" t="n">
        <v>1</v>
      </c>
    </row>
    <row r="21">
      <c r="A21" s="0" t="inlineStr">
        <is>
          <t>追加率</t>
        </is>
      </c>
      <c r="B21" s="60" t="n">
        <v>0.2</v>
      </c>
    </row>
    <row r="22">
      <c r="E22" s="0">
        <f>+E19*B20*B21</f>
        <v/>
      </c>
    </row>
    <row r="23">
      <c r="A23" s="59" t="inlineStr">
        <is>
          <t>配信効率改善施策</t>
        </is>
      </c>
      <c r="B23" s="59" t="n"/>
      <c r="C23" s="59" t="inlineStr">
        <is>
          <t>※具体的なセグメントの仕方、企画により変動</t>
        </is>
      </c>
      <c r="D23" s="59" t="n"/>
      <c r="E23" s="59" t="n"/>
      <c r="F23" s="59" t="n"/>
      <c r="G23" s="59" t="n"/>
      <c r="I23" s="67" t="inlineStr">
        <is>
          <t>課金</t>
        </is>
      </c>
      <c r="J23" s="68" t="n"/>
    </row>
    <row r="24">
      <c r="A24" s="54" t="inlineStr">
        <is>
          <t>&gt; 通常メッセ</t>
        </is>
      </c>
      <c r="I24" s="66" t="n">
        <v>1</v>
      </c>
      <c r="J24" s="0" t="inlineStr">
        <is>
          <t>企画投稿（セグメントor一斉配信）</t>
        </is>
      </c>
    </row>
    <row r="25">
      <c r="A25" s="0" t="inlineStr">
        <is>
          <t>開封率</t>
        </is>
      </c>
      <c r="B25" s="190" t="n">
        <v>0.8</v>
      </c>
      <c r="I25" s="66" t="n">
        <v>2</v>
      </c>
      <c r="J25" s="0" t="inlineStr">
        <is>
          <t>追いメッセージ（ステップ、シナリオ）</t>
        </is>
      </c>
    </row>
    <row r="26">
      <c r="A26" s="0" t="inlineStr">
        <is>
          <t>クリック率</t>
        </is>
      </c>
      <c r="B26" s="190" t="n">
        <v>0.06</v>
      </c>
      <c r="I26" s="66" t="n">
        <v>3</v>
      </c>
      <c r="J26" s="0" t="inlineStr">
        <is>
          <t>VOOM投稿　※同時進行の場合が多い</t>
        </is>
      </c>
    </row>
    <row r="27">
      <c r="A27" s="0" t="inlineStr">
        <is>
          <t>CV率</t>
        </is>
      </c>
      <c r="B27" s="190" t="n">
        <v>0.003</v>
      </c>
      <c r="I27" s="66" t="n">
        <v>4</v>
      </c>
      <c r="J27" s="0" t="inlineStr">
        <is>
          <t>通知メッセージ（1通7円くらいの想定）　※機能導入が必要　※ツール費：月8万～</t>
        </is>
      </c>
    </row>
    <row r="29">
      <c r="A29" s="54" t="inlineStr">
        <is>
          <t>&gt; 追いメッセ（ステップ、シナリオ）</t>
        </is>
      </c>
      <c r="I29" s="67" t="inlineStr">
        <is>
          <t>非課金</t>
        </is>
      </c>
      <c r="J29" s="68" t="n"/>
    </row>
    <row r="30">
      <c r="A30" s="0" t="inlineStr">
        <is>
          <t>開封率</t>
        </is>
      </c>
      <c r="B30" s="190" t="n">
        <v>0.75</v>
      </c>
      <c r="I30" s="66" t="n">
        <v>1</v>
      </c>
      <c r="J30" s="0" t="inlineStr">
        <is>
          <t>自動の即時応答</t>
        </is>
      </c>
    </row>
    <row r="31">
      <c r="A31" s="0" t="inlineStr">
        <is>
          <t>クリック率</t>
        </is>
      </c>
      <c r="B31" s="190" t="n">
        <v>0.08</v>
      </c>
      <c r="I31" s="66" t="n">
        <v>2</v>
      </c>
      <c r="J31" s="0" t="inlineStr">
        <is>
          <t>個別チャット対応</t>
        </is>
      </c>
    </row>
    <row r="32">
      <c r="A32" s="0" t="inlineStr">
        <is>
          <t>CV率</t>
        </is>
      </c>
      <c r="B32" s="190" t="n">
        <v>0.006</v>
      </c>
      <c r="I32" s="66" t="n">
        <v>3</v>
      </c>
      <c r="J32" s="0" t="inlineStr">
        <is>
          <t>あいさつメッセージ</t>
        </is>
      </c>
    </row>
    <row r="33">
      <c r="I33" s="66" t="n">
        <v>4</v>
      </c>
      <c r="J33" s="0" t="inlineStr">
        <is>
          <t>（リッチメニュー）</t>
        </is>
      </c>
    </row>
    <row r="34">
      <c r="A34" s="54" t="inlineStr">
        <is>
          <t>&gt; その他（リッチメニュー）</t>
        </is>
      </c>
    </row>
    <row r="35">
      <c r="A35" s="0" t="inlineStr">
        <is>
          <t>開封率</t>
        </is>
      </c>
      <c r="B35" s="191" t="inlineStr">
        <is>
          <t>--</t>
        </is>
      </c>
    </row>
    <row r="36">
      <c r="A36" s="0" t="inlineStr">
        <is>
          <t>クリック率</t>
        </is>
      </c>
      <c r="B36" s="190" t="n">
        <v>0.02</v>
      </c>
    </row>
    <row r="37">
      <c r="A37" s="0" t="inlineStr">
        <is>
          <t>CV率</t>
        </is>
      </c>
      <c r="B37" s="190" t="n">
        <v>0.004</v>
      </c>
    </row>
    <row r="39">
      <c r="A39" s="54" t="inlineStr">
        <is>
          <t>&gt;挨拶メッセ</t>
        </is>
      </c>
      <c r="E39" s="54" t="inlineStr">
        <is>
          <t>&gt;挨拶メッセ（アンケート回答率）</t>
        </is>
      </c>
    </row>
    <row r="40">
      <c r="A40" s="0" t="inlineStr">
        <is>
          <t>開封率</t>
        </is>
      </c>
      <c r="B40" s="191" t="n">
        <v>1</v>
      </c>
      <c r="E40" s="0" t="inlineStr">
        <is>
          <t>開封率</t>
        </is>
      </c>
      <c r="F40" s="191" t="inlineStr">
        <is>
          <t>--</t>
        </is>
      </c>
    </row>
    <row r="41">
      <c r="A41" s="0" t="inlineStr">
        <is>
          <t>クリック率</t>
        </is>
      </c>
      <c r="B41" s="190" t="n">
        <v>0.035</v>
      </c>
      <c r="E41" s="0" t="inlineStr">
        <is>
          <t>回答率</t>
        </is>
      </c>
      <c r="F41" s="190" t="n">
        <v>0.25</v>
      </c>
    </row>
    <row r="42">
      <c r="A42" s="0" t="inlineStr">
        <is>
          <t>CV率</t>
        </is>
      </c>
      <c r="B42" s="190" t="n">
        <v>0.006</v>
      </c>
      <c r="F42" s="19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佐村 徳人</dc:creator>
  <dcterms:created xmlns:dcterms="http://purl.org/dc/terms/" xmlns:xsi="http://www.w3.org/2001/XMLSchema-instance" xsi:type="dcterms:W3CDTF">2025-11-21T11:18:04Z</dcterms:created>
  <dcterms:modified xmlns:dcterms="http://purl.org/dc/terms/" xmlns:xsi="http://www.w3.org/2001/XMLSchema-instance" xsi:type="dcterms:W3CDTF">2026-09-29T05:18:54Z</dcterms:modified>
  <cp:lastModifiedBy>佐村 徳人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0x010100C357D3FFD3874644B9B63D306D91E343</vt:lpwstr>
  </property>
</Properties>
</file>
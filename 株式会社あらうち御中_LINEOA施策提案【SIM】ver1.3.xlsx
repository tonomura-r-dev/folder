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ra-n\Downloads\"/>
    </mc:Choice>
  </mc:AlternateContent>
  <xr:revisionPtr revIDLastSave="0" documentId="13_ncr:1_{29A23919-D8B6-4451-9491-3DC3CF42E353}" xr6:coauthVersionLast="47" xr6:coauthVersionMax="47" xr10:uidLastSave="{00000000-0000-0000-0000-000000000000}"/>
  <bookViews>
    <workbookView xWindow="-120" yWindow="-120" windowWidth="29040" windowHeight="15720" xr2:uid="{02433765-3560-48F5-BC99-B30FC64129A4}"/>
  </bookViews>
  <sheets>
    <sheet name="SIM_離脱防止＋サンクスLINE" sheetId="1" r:id="rId1"/>
    <sheet name="SIM_比較" sheetId="2" r:id="rId2"/>
    <sheet name="SIM考え方" sheetId="3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<sst xmlns="http://schemas.openxmlformats.org/spreadsheetml/2006/main" count="278" uniqueCount="195">
  <si>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</si>
  <si>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</si>
  <si>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</si>
  <si>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</si>
  <si>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</si>
  <si>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離脱防止</t>
    <rPh sb="0" eb="2">
      <t>リダツ</t>
    </rPh>
    <rPh sb="2" eb="4">
      <t>ボウシ</t>
    </rPh>
    <phoneticPr fontId="2"/>
  </si>
  <si>
    <t>サンクス誘導</t>
    <rPh sb="4" eb="6">
      <t>ユウドウ</t>
    </rPh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</si>
  <si>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</si>
  <si>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</si>
  <si>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</si>
  <si>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</si>
  <si>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</si>
  <si>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</si>
  <si>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</si>
  <si>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</si>
  <si>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</si>
  <si>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</si>
  <si>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</si>
  <si>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</si>
  <si>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</si>
  <si>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</si>
  <si>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</si>
  <si>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</si>
  <si>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</si>
  <si>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</si>
  <si>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</si>
  <si>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</si>
  <si>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</si>
  <si>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</si>
  <si>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</si>
  <si>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</si>
  <si>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</si>
  <si>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</si>
  <si>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</si>
  <si>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</si>
  <si>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</si>
  <si>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</si>
  <si>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</si>
  <si>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</si>
  <si>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</si>
  <si>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</si>
  <si>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</si>
  <si>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</si>
  <si>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</si>
  <si>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</si>
  <si>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</si>
  <si>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</si>
  <si>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</si>
  <si>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</si>
  <si>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</si>
  <si>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</si>
  <si>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</si>
  <si>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</si>
  <si>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</si>
  <si>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</si>
  <si>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</si>
  <si>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</si>
  <si>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</si>
  <si>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</si>
  <si>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</si>
  <si>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</si>
  <si>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</si>
  <si>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</si>
  <si>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</si>
  <si>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</si>
  <si>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</si>
  <si>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</si>
  <si>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UU</t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</si>
  <si>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</si>
  <si>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</si>
  <si>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</si>
  <si>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</si>
  <si>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1か月目</t>
    <rPh sb="2" eb="4">
      <t>ゲツメ</t>
    </rPh>
    <phoneticPr fontId="2"/>
  </si>
  <si>
    <t>2か月目</t>
    <rPh sb="2" eb="4">
      <t>ゲツメ</t>
    </rPh>
    <phoneticPr fontId="2"/>
  </si>
  <si>
    <t>3か月目</t>
    <rPh sb="2" eb="4">
      <t>ゲツメ</t>
    </rPh>
    <phoneticPr fontId="2"/>
  </si>
  <si>
    <t>4か月目</t>
    <rPh sb="2" eb="4">
      <t>ゲツメ</t>
    </rPh>
    <phoneticPr fontId="2"/>
  </si>
  <si>
    <t>5か月目</t>
    <rPh sb="2" eb="4">
      <t>ゲツメ</t>
    </rPh>
    <phoneticPr fontId="2"/>
  </si>
  <si>
    <t>6か月目</t>
    <rPh sb="2" eb="4">
      <t>ゲツメ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</si>
  <si>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</si>
  <si>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</si>
  <si>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</si>
  <si>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</si>
  <si>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</si>
  <si>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</si>
  <si>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</si>
  <si>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</si>
  <si>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</si>
  <si>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CV数（もともと）</t>
    <rPh sb="2" eb="3">
      <t>スウ</t>
    </rPh>
    <phoneticPr fontId="2"/>
  </si>
  <si>
    <t>CV数（+LINEOA施策）</t>
    <rPh sb="2" eb="3">
      <t>スウ</t>
    </rPh>
    <rPh sb="11" eb="13">
      <t>シサク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</si>
  <si>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</si>
  <si>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</si>
  <si>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OA施策CV_内訳①_新規CV1</t>
    <rPh sb="2" eb="4">
      <t>シサク</t>
    </rPh>
    <rPh sb="7" eb="9">
      <t>ウチワケ</t>
    </rPh>
    <rPh sb="11" eb="13">
      <t>シンキ</t>
    </rPh>
    <phoneticPr fontId="2"/>
  </si>
  <si>
    <t>OA施策CV_内訳②_新規CV2</t>
    <rPh sb="2" eb="4">
      <t>シサク</t>
    </rPh>
    <rPh sb="7" eb="9">
      <t>ウチワケ</t>
    </rPh>
    <rPh sb="11" eb="13">
      <t>シンキ</t>
    </rPh>
    <phoneticPr fontId="2"/>
  </si>
  <si>
    <t>OA施策CV_内訳④_リピCV4</t>
    <rPh sb="2" eb="4">
      <t>シサク</t>
    </rPh>
    <rPh sb="7" eb="9">
      <t>ウチワケ</t>
    </rPh>
    <phoneticPr fontId="2"/>
  </si>
  <si>
    <t>OA施策CV_内訳③_リピCV3</t>
    <rPh sb="2" eb="4">
      <t>シサク</t>
    </rPh>
    <rPh sb="7" eb="9">
      <t>ウチワケ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</si>
  <si>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</si>
  <si>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</si>
  <si>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</si>
  <si>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</si>
  <si>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</si>
  <si>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</si>
  <si>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</si>
  <si>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</si>
  <si>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</si>
  <si>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</si>
  <si>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</si>
  <si>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</si>
  <si>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</si>
  <si>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</si>
  <si>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</si>
  <si>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</si>
  <si>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</si>
  <si>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</si>
  <si>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</si>
  <si>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</si>
  <si>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</si>
  <si>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</si>
  <si>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</si>
  <si>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</si>
  <si>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</si>
  <si>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</si>
  <si>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</si>
  <si>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</si>
  <si>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</si>
  <si>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</si>
  <si>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</si>
  <si>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SimilarWeb等を参考に</t>
    <rPh sb="10" eb="11">
      <t>トウ</t>
    </rPh>
    <rPh sb="12" eb="14">
      <t>サンコウ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</si>
  <si>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</si>
  <si>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CV聞けてれば→通知メッセ、サンクスLINE誘導</t>
    <rPh sb="2" eb="3">
      <t>キ</t>
    </rPh>
    <rPh sb="8" eb="10">
      <t>ツウチ</t>
    </rPh>
    <rPh sb="22" eb="24">
      <t>ユウドウ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</si>
  <si>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</si>
  <si>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</si>
  <si>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</si>
  <si>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</si>
  <si>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</si>
  <si>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</si>
  <si>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</si>
  <si>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</si>
  <si>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</si>
  <si>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</si>
  <si>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離脱防止表示率×UU×クリック率×実追加率</t>
    <rPh sb="0" eb="4">
      <t>リダツボウシ</t>
    </rPh>
    <rPh sb="4" eb="6">
      <t>ヒョウジ</t>
    </rPh>
    <rPh sb="6" eb="7">
      <t>リツ</t>
    </rPh>
    <rPh sb="15" eb="16">
      <t>リツ</t>
    </rPh>
    <rPh sb="17" eb="18">
      <t>ジツ</t>
    </rPh>
    <rPh sb="18" eb="20">
      <t>ツイカ</t>
    </rPh>
    <rPh sb="20" eb="21">
      <t>リツ</t>
    </rPh>
    <phoneticPr fontId="2"/>
  </si>
  <si>
    <t>CV(別施策)*誘導成功率*実追加率</t>
    <rPh sb="3" eb="6">
      <t>ベツシサク</t>
    </rPh>
    <rPh sb="8" eb="10">
      <t>ユウドウ</t>
    </rPh>
    <rPh sb="10" eb="13">
      <t>セイコウリツ</t>
    </rPh>
    <rPh sb="14" eb="18">
      <t>ジツツイカリツ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</si>
  <si>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</si>
  <si>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</si>
  <si>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※上記記載に追加して、LP、HPからのLINE誘導を加味する</t>
    <rPh sb="1" eb="5">
      <t>ジョウキキサイ</t>
    </rPh>
    <rPh sb="6" eb="8">
      <t>ツイカ</t>
    </rPh>
    <rPh sb="23" eb="25">
      <t>ユウドウ</t>
    </rPh>
    <rPh sb="26" eb="28">
      <t>カミ</t>
    </rPh>
    <phoneticPr fontId="2"/>
  </si>
  <si>
    <t>CV（別施策）1</t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</si>
  <si>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</si>
  <si>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</si>
  <si>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</si>
  <si>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サンクス誘導：初期10万円/通期5万円　※20%のコストカットOK</t>
    <rPh sb="4" eb="6">
      <t>ユウドウ</t>
    </rPh>
    <rPh sb="7" eb="9">
      <t>ショキ</t>
    </rPh>
    <rPh sb="11" eb="13">
      <t>マンエン</t>
    </rPh>
    <rPh sb="14" eb="16">
      <t>ツウキ</t>
    </rPh>
    <rPh sb="17" eb="19">
      <t>マンエン</t>
    </rPh>
    <phoneticPr fontId="2"/>
  </si>
  <si>
    <t>UUにかかわらず、10000円/月にて設定</t>
    <rPh sb="14" eb="15">
      <t>エン</t>
    </rPh>
    <rPh sb="16" eb="17">
      <t>ツキ</t>
    </rPh>
    <rPh sb="19" eb="21">
      <t>セッテイ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</si>
  <si>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</si>
  <si>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</si>
  <si>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コンサル費用固定</t>
    <rPh sb="4" eb="6">
      <t>ヒヨウ</t>
    </rPh>
    <rPh sb="6" eb="8">
      <t>コテイ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</si>
  <si>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</si>
  <si>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</si>
  <si>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r>
      <t>アカウント費用（15000円or5000円）＋従量課金　</t>
    </r>
    <r>
      <rPr>
        <sz val="9"/>
        <color rgb="FFFF0000"/>
        <rFont val="メイリオ"/>
        <family val="3"/>
        <charset val="128"/>
      </rPr>
      <t>※5000通を超える場合15000円～の設定にする ※重量課金は要確認</t>
    </r>
    <rPh sb="5" eb="7">
      <t>ヒヨウ</t>
    </rPh>
    <rPh sb="13" eb="14">
      <t>エン</t>
    </rPh>
    <rPh sb="20" eb="21">
      <t>エン</t>
    </rPh>
    <rPh sb="23" eb="27">
      <t>ジュウリョウカキン</t>
    </rPh>
    <rPh sb="33" eb="34">
      <t>ツウ</t>
    </rPh>
    <rPh sb="35" eb="36">
      <t>コ</t>
    </rPh>
    <rPh sb="38" eb="40">
      <t>バアイ</t>
    </rPh>
    <rPh sb="45" eb="46">
      <t>エン</t>
    </rPh>
    <rPh sb="48" eb="50">
      <t>セッテイ</t>
    </rPh>
    <rPh sb="55" eb="57">
      <t>ジュウリョウ</t>
    </rPh>
    <rPh sb="57" eb="59">
      <t>カキン</t>
    </rPh>
    <rPh sb="60" eb="61">
      <t>ヨウ</t>
    </rPh>
    <rPh sb="61" eb="63">
      <t>カクニン</t>
    </rPh>
    <phoneticPr fontId="2"/>
  </si>
  <si>
    <t>コスト想定(固定費)</t>
    <rPh sb="3" eb="5">
      <t>ソウテイ</t>
    </rPh>
    <rPh sb="6" eb="9">
      <t>コテイヒ</t>
    </rPh>
    <phoneticPr fontId="2"/>
  </si>
  <si>
    <t>←基本本数が4本として設計する</t>
    <rPh sb="1" eb="5">
      <t>キホンホンスウ</t>
    </rPh>
    <rPh sb="7" eb="8">
      <t>ホン</t>
    </rPh>
    <rPh sb="11" eb="13">
      <t>セッケイ</t>
    </rPh>
    <phoneticPr fontId="2"/>
  </si>
  <si>
    <t>←基本本数が4本として設計する（ユーザー数と固定費で調整）</t>
    <rPh sb="1" eb="5">
      <t>キホンホンスウ</t>
    </rPh>
    <rPh sb="7" eb="8">
      <t>ホン</t>
    </rPh>
    <rPh sb="11" eb="13">
      <t>セッケイ</t>
    </rPh>
    <rPh sb="20" eb="21">
      <t>スウ</t>
    </rPh>
    <rPh sb="22" eb="25">
      <t>コテイヒ</t>
    </rPh>
    <rPh sb="26" eb="28">
      <t>チョウセイ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</si>
  <si>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</si>
  <si>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</si>
  <si>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</si>
  <si>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</si>
  <si>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</si>
  <si>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</si>
  <si>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</si>
  <si>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</si>
  <si>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</si>
  <si>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</si>
  <si>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</si>
  <si>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</si>
  <si>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</si>
  <si>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</si>
  <si>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-</t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</si>
  <si>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</si>
  <si>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</si>
  <si>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</si>
  <si>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広告・アフィUU</t>
    <rPh sb="0" eb="2">
      <t>コウコク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</si>
  <si>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</si>
  <si>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</si>
  <si>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</si>
  <si>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</si>
  <si>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購入（新規）</t>
    <phoneticPr fontId="2"/>
  </si>
  <si>
    <t>購入（リピート）</t>
    <phoneticPr fontId="2"/>
  </si>
  <si>
    <t>初期構築費</t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</si>
  <si>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</si>
  <si>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</si>
  <si>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</si>
  <si>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</si>
  <si>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</si>
  <si>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株式会社御中_LINEOA施策提案【SIM】</t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</si>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</sst>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  <font>
      <sz val="9"/>
      <color rgb="FFFF0000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8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0" borderId="0" xfId="0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zoomScale="55" zoomScaleNormal="55" workbookViewId="0"/>
  </sheetViews>
  <sheetFormatPr defaultColWidth="9" defaultRowHeight="18.75" x14ac:dyDescent="0.4"/>
  <cols>
    <col min="1" max="1" width="19.375" style="5" customWidth="1"/>
    <col min="2" max="2" width="29.25" style="5" customWidth="1"/>
    <col min="3" max="12" width="20" style="5" customWidth="1"/>
    <col min="13" max="13" width="2.625" style="5" customWidth="1"/>
    <col min="14" max="14" width="44.5" style="69" customWidth="1"/>
    <col min="15" max="17" width="24.125" style="5" customWidth="1"/>
    <col min="18" max="18" width="2.875" style="5" customWidth="1"/>
    <col min="19" max="19" width="12.125" style="5" customWidth="1"/>
    <col min="20" max="20" width="2.625" style="5" bestFit="1" customWidth="1"/>
    <col min="21" max="21" width="12.125" style="5" customWidth="1"/>
    <col min="22" max="22" width="2.875" style="5" customWidth="1"/>
    <col min="23" max="23" width="12.125" style="5" customWidth="1"/>
    <col min="24" max="24" width="2.625" style="5" bestFit="1" customWidth="1"/>
    <col min="25" max="25" width="12.125" style="5" customWidth="1"/>
    <col min="26" max="16384" width="9" style="5"/>
  </cols>
  <sheetData>
    <row r="2" spans="1:25" x14ac:dyDescent="0.4">
      <c r="A2" s="156" t="s">
        <v>194</v>
      </c>
      <c r="B2" s="157">
        <v>46269</v>
      </c>
    </row>
    <row r="4" spans="1:25" ht="45.75" customHeight="1" x14ac:dyDescent="0.4">
      <c r="A4" s="56" t="inlineStr">
        <is>
          <t xml:space="preserve">株式会社あらうち御中_LINEOA施策提案【SIM】（離脱防止＋サンクスLINE＋サイトのLINEボタン）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4">
      <c r="A5" s="1"/>
      <c r="B5" s="1"/>
      <c r="C5" s="1"/>
      <c r="D5" s="1"/>
      <c r="N5" s="55" t="s">
        <v>189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9.5" thickBot="1" x14ac:dyDescent="0.45">
      <c r="A7" s="29" t="s">
        <v>50</v>
      </c>
      <c r="B7" s="17" t="s">
        <v>55</v>
      </c>
      <c r="C7" s="17" t="s">
        <v>56</v>
      </c>
      <c r="D7" s="17" t="s">
        <v>57</v>
      </c>
    </row>
    <row r="8" spans="1:25" ht="19.5" thickBot="1" x14ac:dyDescent="0.45">
      <c r="A8" s="130" t="s">
        <v>7</v>
      </c>
      <c r="B8" s="19" t="s">
        <v>8</v>
      </c>
      <c r="C8" s="19" t="inlineStr">
        <is>
          <t xml:space="preserve">問い合わせ①（LINEで物件URL送付）</t>
        </is>
      </c>
      <c r="D8" s="33">
        <v>0</v>
      </c>
      <c r="G8" s="143" t="s">
        <v>67</v>
      </c>
      <c r="H8" s="144">
        <v>1737</v>
      </c>
      <c r="I8" s="145"/>
      <c r="J8" s="145" t="s">
        <v>78</v>
      </c>
      <c r="K8" s="152">
        <v>0</v>
      </c>
      <c r="N8" s="69" t="inlineStr">
        <is>
          <t xml:space="preserve">UU 1,737/月・友だち1,241人（2026-10-09 殿村さん提供）。ターゲット＝都内在住の女性オフィスワーカー</t>
        </is>
      </c>
      <c r="O8" s="35" t="s">
        <v>188</v>
      </c>
    </row>
    <row r="9" spans="1:25" ht="19.5" thickBot="1" x14ac:dyDescent="0.45">
      <c r="A9" s="131"/>
      <c r="B9" s="19" t="s">
        <v>9</v>
      </c>
      <c r="C9" s="38" t="inlineStr">
        <is>
          <t xml:space="preserve">問い合わせ②（配信経由）</t>
        </is>
      </c>
      <c r="D9" s="33">
        <v>0</v>
      </c>
      <c r="G9" s="146" t="s">
        <v>177</v>
      </c>
      <c r="H9" s="147">
        <v>0</v>
      </c>
      <c r="I9" s="148"/>
      <c r="J9" s="139"/>
      <c r="K9" s="140"/>
      <c r="N9" s="155" t="s">
        <v>127</v>
      </c>
      <c r="O9" s="153" t="s">
        <v>187</v>
      </c>
      <c r="P9" s="154" t="b">
        <v>0</v>
      </c>
    </row>
    <row r="10" spans="1:25" x14ac:dyDescent="0.4">
      <c r="A10" s="130" t="s">
        <v>10</v>
      </c>
      <c r="B10" s="19" t="s">
        <v>11</v>
      </c>
      <c r="C10" s="19" t="inlineStr">
        <is>
          <t xml:space="preserve">-</t>
        </is>
      </c>
      <c r="D10" s="33">
        <v>0</v>
      </c>
      <c r="G10" s="146" t="s">
        <v>144</v>
      </c>
      <c r="H10" s="147">
        <v>30</v>
      </c>
      <c r="I10" s="148" t="s">
        <v>186</v>
      </c>
      <c r="J10" s="139"/>
      <c r="K10" s="140"/>
      <c r="N10" s="155" t="inlineStr">
        <is>
          <t xml:space="preserve">サイトのフォームの問い合わせ 月30件（仮置き。UUの約1.7%）＝サンクスLINEの母数</t>
        </is>
      </c>
    </row>
    <row r="11" spans="1:25" ht="19.5" thickBot="1" x14ac:dyDescent="0.45">
      <c r="A11" s="131"/>
      <c r="B11" s="19" t="s">
        <v>12</v>
      </c>
      <c r="C11" s="38" t="inlineStr">
        <is>
          <t xml:space="preserve">-</t>
        </is>
      </c>
      <c r="D11" s="33">
        <v>0</v>
      </c>
      <c r="G11" s="149" t="s">
        <v>145</v>
      </c>
      <c r="H11" s="150">
        <v>0</v>
      </c>
      <c r="I11" s="151" t="s">
        <v>185</v>
      </c>
      <c r="J11" s="141"/>
      <c r="K11" s="142"/>
    </row>
    <row r="12" spans="1:25" x14ac:dyDescent="0.4">
      <c r="O12" s="55" t="s">
        <v>79</v>
      </c>
      <c r="P12" s="55"/>
      <c r="Q12" s="55"/>
      <c r="S12" s="55"/>
      <c r="T12" s="55"/>
      <c r="U12" s="55"/>
      <c r="V12" s="55"/>
    </row>
    <row r="13" spans="1:25" x14ac:dyDescent="0.4">
      <c r="A13" s="132" t="s">
        <v>0</v>
      </c>
      <c r="B13" s="132"/>
      <c r="C13" s="95"/>
      <c r="D13" s="13" t="s">
        <v>30</v>
      </c>
      <c r="E13" s="36" t="inlineStr">
        <is>
          <t xml:space="preserve">1か月目</t>
        </is>
      </c>
      <c r="F13" s="36" t="inlineStr">
        <is>
          <t xml:space="preserve">2か月目</t>
        </is>
      </c>
      <c r="G13" s="36" t="inlineStr">
        <is>
          <t xml:space="preserve">3か月目</t>
        </is>
      </c>
      <c r="H13" s="36" t="inlineStr">
        <is>
          <t xml:space="preserve">4か月目</t>
        </is>
      </c>
      <c r="I13" s="36" t="inlineStr">
        <is>
          <t xml:space="preserve">5か月目</t>
        </is>
      </c>
      <c r="J13" s="36" t="inlineStr">
        <is>
          <t xml:space="preserve">6か月目</t>
        </is>
      </c>
      <c r="K13" s="3" t="s">
        <v>1</v>
      </c>
      <c r="L13" s="4" t="s">
        <v>2</v>
      </c>
      <c r="N13" s="71" t="s">
        <v>142</v>
      </c>
      <c r="O13" s="30" t="s">
        <v>44</v>
      </c>
      <c r="P13" s="23"/>
      <c r="Q13" s="23"/>
      <c r="S13" s="23"/>
      <c r="T13" s="23"/>
      <c r="U13" s="23"/>
      <c r="V13" s="23"/>
    </row>
    <row r="14" spans="1:25" ht="19.5" x14ac:dyDescent="0.4">
      <c r="A14" s="133" t="s">
        <v>33</v>
      </c>
      <c r="B14" s="20" t="s">
        <v>37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</row>
    <row r="15" spans="1:25" ht="19.5" x14ac:dyDescent="0.4">
      <c r="A15" s="134"/>
      <c r="B15" s="20" t="s">
        <v>36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193</v>
      </c>
      <c r="O15" s="17" t="s">
        <v>34</v>
      </c>
      <c r="P15" s="79">
        <v>5.0000000000000001E-3</v>
      </c>
      <c r="S15" s="29" t="s">
        <v>48</v>
      </c>
    </row>
    <row r="16" spans="1:25" ht="19.5" x14ac:dyDescent="0.4">
      <c r="A16" s="135"/>
      <c r="B16" s="20" t="s">
        <v>180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192</v>
      </c>
      <c r="O16" s="17" t="s">
        <v>35</v>
      </c>
      <c r="P16" s="79">
        <v>2.5000000000000001E-3</v>
      </c>
      <c r="S16" s="5" t="s">
        <v>59</v>
      </c>
    </row>
    <row r="17" spans="1:26" x14ac:dyDescent="0.4">
      <c r="A17" s="133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23</v>
      </c>
      <c r="L17" s="9" t="s">
        <v>23</v>
      </c>
      <c r="S17" s="5" t="s">
        <v>60</v>
      </c>
      <c r="W17" s="5" t="s">
        <v>61</v>
      </c>
      <c r="Z17" s="35" t="s">
        <v>62</v>
      </c>
    </row>
    <row r="18" spans="1:26" x14ac:dyDescent="0.4">
      <c r="A18" s="134"/>
      <c r="B18" s="8" t="s">
        <v>5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23</v>
      </c>
      <c r="L18" s="9" t="s">
        <v>23</v>
      </c>
      <c r="N18" s="69" t="s">
        <v>191</v>
      </c>
      <c r="O18" s="22" t="s">
        <v>40</v>
      </c>
      <c r="P18" s="78">
        <v>0.65</v>
      </c>
      <c r="S18" s="5">
        <v>0</v>
      </c>
      <c r="T18" s="5" t="s">
        <v>63</v>
      </c>
      <c r="U18" s="34">
        <v>200000</v>
      </c>
      <c r="W18" s="5">
        <v>0</v>
      </c>
      <c r="X18" s="5" t="s">
        <v>63</v>
      </c>
      <c r="Y18" s="34">
        <v>600000</v>
      </c>
      <c r="Z18" s="35">
        <v>3</v>
      </c>
    </row>
    <row r="19" spans="1:26" x14ac:dyDescent="0.4">
      <c r="A19" s="134"/>
      <c r="B19" s="8" t="s">
        <v>131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191</v>
      </c>
      <c r="O19" s="22" t="s">
        <v>41</v>
      </c>
      <c r="P19" s="78">
        <v>0.55000000000000004</v>
      </c>
      <c r="S19" s="34">
        <v>200000</v>
      </c>
      <c r="T19" s="5" t="s">
        <v>63</v>
      </c>
      <c r="U19" s="34">
        <v>15000000</v>
      </c>
      <c r="W19" s="34">
        <v>600000</v>
      </c>
      <c r="X19" s="5" t="s">
        <v>63</v>
      </c>
      <c r="Y19" s="34">
        <f>+U19*2.5</f>
      </c>
      <c r="Z19" s="35">
        <v>2.5</v>
      </c>
    </row>
    <row r="20" spans="1:26" x14ac:dyDescent="0.4">
      <c r="A20" s="134"/>
      <c r="B20" s="8" t="s">
        <v>129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4">
      <c r="A21" s="135"/>
      <c r="B21" s="8" t="s">
        <v>130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23</v>
      </c>
      <c r="L21" s="9" t="s">
        <v>23</v>
      </c>
      <c r="O21" s="25" t="s">
        <v>46</v>
      </c>
      <c r="P21" s="26"/>
      <c r="S21" s="34"/>
      <c r="U21" s="34"/>
      <c r="W21" s="34"/>
      <c r="Y21" s="34"/>
      <c r="Z21" s="35"/>
    </row>
    <row r="22" spans="1:26" ht="18.75" customHeight="1" x14ac:dyDescent="0.4">
      <c r="A22" s="136" t="s">
        <v>13</v>
      </c>
      <c r="B22" s="6" t="s">
        <v>4</v>
      </c>
      <c r="C22" s="17"/>
      <c r="D22" s="44" t="s">
        <v>22</v>
      </c>
      <c r="E22" s="63">
        <f>IF(E17=FALSE,0,E71/$P$30)</f>
      </c>
      <c r="F22" s="63">
        <f>IF(F17=FALSE,0,F71/$P$30)</f>
      </c>
      <c r="G22" s="63">
        <f>IF(G17=FALSE,0,G71/$P$30)</f>
      </c>
      <c r="H22" s="63">
        <f>IF(H17=FALSE,0,H71/$P$30)</f>
      </c>
      <c r="I22" s="63">
        <f>IF(I17=FALSE,0,I71/$P$30)</f>
      </c>
      <c r="J22" s="63">
        <f>IF(J17=FALSE,0,J71/$P$30)</f>
      </c>
      <c r="K22" s="11"/>
      <c r="L22" s="7"/>
      <c r="N22" s="69" t="inlineStr">
        <is>
          <t xml:space="preserve">友だち追加広告（CPF）は使わない（30万／100万はADの提案予算でLINEのSIMには入れない）</t>
        </is>
      </c>
      <c r="O22" s="17" t="s">
        <v>42</v>
      </c>
      <c r="P22" s="24">
        <v>0.78</v>
      </c>
      <c r="S22" s="34"/>
      <c r="U22" s="34"/>
      <c r="W22" s="34"/>
      <c r="Y22" s="34"/>
      <c r="Z22" s="35"/>
    </row>
    <row r="23" spans="1:26" ht="19.5" x14ac:dyDescent="0.4">
      <c r="A23" s="134"/>
      <c r="B23" s="6" t="s">
        <v>5</v>
      </c>
      <c r="C23" s="17"/>
      <c r="D23" s="44" t="s">
        <v>22</v>
      </c>
      <c r="E23" s="46">
        <f>IF(E18=FALSE,0,E15*$P$18*0.08*0.08+(E14-E15)*$P$19*0.12*0.12)</f>
      </c>
      <c r="F23" s="46">
        <f>IF(F18=FALSE,0,F15*$P$18*0.08*0.08+(F14-F15)*$P$19*0.12*0.12)</f>
      </c>
      <c r="G23" s="63">
        <f t="shared" ref="G23:J24" si="4">F23*1.01</f>
      </c>
      <c r="H23" s="63">
        <f t="shared" si="4"/>
      </c>
      <c r="I23" s="63">
        <f t="shared" si="4"/>
      </c>
      <c r="J23" s="63">
        <f t="shared" si="4"/>
      </c>
      <c r="K23" s="11"/>
      <c r="L23" s="7"/>
      <c r="N23" s="69" t="inlineStr">
        <is>
          <t xml:space="preserve">離脱防止＝UU×表示55%×クリック12%×追加12%（FMTの式）</t>
        </is>
      </c>
      <c r="O23" s="17" t="s">
        <v>43</v>
      </c>
      <c r="P23" s="24">
        <v>0.1</v>
      </c>
      <c r="Q23" s="5" t="s">
        <v>136</v>
      </c>
      <c r="S23" s="34"/>
      <c r="U23" s="34"/>
      <c r="W23" s="34"/>
      <c r="Y23" s="34"/>
      <c r="Z23" s="35"/>
    </row>
    <row r="24" spans="1:26" ht="19.5" x14ac:dyDescent="0.4">
      <c r="A24" s="134"/>
      <c r="B24" s="6" t="s">
        <v>131</v>
      </c>
      <c r="C24" s="17"/>
      <c r="D24" s="44" t="s">
        <v>22</v>
      </c>
      <c r="E24" s="46">
        <f>+IF(E19=FALSE,0,SUM(H10:H11)*0.15)</f>
      </c>
      <c r="F24" s="63">
        <f>E24*1.01</f>
      </c>
      <c r="G24" s="63">
        <f t="shared" si="4"/>
      </c>
      <c r="H24" s="63">
        <f t="shared" si="4"/>
      </c>
      <c r="I24" s="63">
        <f t="shared" si="4"/>
      </c>
      <c r="J24" s="63">
        <f t="shared" si="4"/>
      </c>
      <c r="K24" s="11"/>
      <c r="L24" s="7"/>
      <c r="N24" s="69" t="inlineStr">
        <is>
          <t xml:space="preserve">サンクスLINE＝フォームの問い合わせ×15%（到達×情報一致70%前後×追加。FMTの式）</t>
        </is>
      </c>
      <c r="O24" s="22" t="s">
        <v>45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.5" x14ac:dyDescent="0.4">
      <c r="A25" s="135"/>
      <c r="B25" s="6" t="s">
        <v>70</v>
      </c>
      <c r="C25" s="17"/>
      <c r="D25" s="44" t="s">
        <v>22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141</v>
      </c>
      <c r="O25" s="25" t="s">
        <v>47</v>
      </c>
      <c r="P25" s="26"/>
      <c r="S25" s="34"/>
      <c r="U25" s="34"/>
      <c r="W25" s="34"/>
      <c r="Y25" s="34"/>
      <c r="Z25" s="35"/>
    </row>
    <row r="26" spans="1:26" ht="19.5" x14ac:dyDescent="0.4">
      <c r="A26" s="120" t="s">
        <v>17</v>
      </c>
      <c r="B26" s="121"/>
      <c r="C26" s="23"/>
      <c r="D26" s="44" t="s">
        <v>22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s">
        <v>143</v>
      </c>
      <c r="O26" s="17" t="s">
        <v>42</v>
      </c>
      <c r="P26" s="24">
        <v>0.72499999999999998</v>
      </c>
      <c r="S26" s="34"/>
      <c r="U26" s="34"/>
      <c r="W26" s="34"/>
      <c r="Y26" s="34"/>
      <c r="Z26" s="35"/>
    </row>
    <row r="27" spans="1:26" ht="19.5" x14ac:dyDescent="0.4">
      <c r="A27" s="120" t="s">
        <v>16</v>
      </c>
      <c r="B27" s="121"/>
      <c r="C27" s="23"/>
      <c r="D27" s="107">
        <v>0.35</v>
      </c>
      <c r="E27" s="47">
        <v>0.35</v>
      </c>
      <c r="F27" s="47">
        <f>ROUND(E27*1.01,3)</f>
      </c>
      <c r="G27" s="47">
        <f>ROUND(F27*1.01,3)</f>
      </c>
      <c r="H27" s="47">
        <f>ROUND(G27*1.01,3)</f>
      </c>
      <c r="I27" s="47">
        <f>ROUND(H27*1.01,3)</f>
      </c>
      <c r="J27" s="47">
        <f>ROUND(I27*1.01,3)</f>
      </c>
      <c r="K27" s="11"/>
      <c r="L27" s="7"/>
      <c r="N27" t="inlineStr">
        <is>
          <t xml:space="preserve">ブロック率：現状35%（仮置き）から月1%ずつ上昇（用済み型。友だち追加広告の流入が無いので上げ幅は小さい）</t>
        </is>
      </c>
      <c r="O27" s="17" t="s">
        <v>43</v>
      </c>
      <c r="P27" s="24">
        <v>0.12</v>
      </c>
      <c r="Q27" s="5" t="s">
        <v>136</v>
      </c>
      <c r="S27" s="34"/>
      <c r="U27" s="34"/>
      <c r="W27" s="34"/>
      <c r="Y27" s="34"/>
      <c r="Z27" s="35"/>
    </row>
    <row r="28" spans="1:26" ht="19.5" x14ac:dyDescent="0.4">
      <c r="A28" s="137" t="s">
        <v>14</v>
      </c>
      <c r="B28" s="138"/>
      <c r="C28" s="101"/>
      <c r="D28" s="106">
        <v>1241</v>
      </c>
      <c r="E28" s="49">
        <f>+D28+E26</f>
      </c>
      <c r="F28" s="49">
        <f t="shared" ref="F28:J28" si="8">+E28+F26</f>
      </c>
      <c r="G28" s="49">
        <f t="shared" si="8"/>
      </c>
      <c r="H28" s="49">
        <f t="shared" si="8"/>
      </c>
      <c r="I28" s="49">
        <f t="shared" si="8"/>
      </c>
      <c r="J28" s="49">
        <f t="shared" si="8"/>
      </c>
      <c r="K28" s="12"/>
      <c r="L28" s="7"/>
      <c r="O28" s="22" t="s">
        <v>45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.5" x14ac:dyDescent="0.4">
      <c r="A29" s="126" t="s">
        <v>15</v>
      </c>
      <c r="B29" s="127"/>
      <c r="C29" s="102"/>
      <c r="D29" s="108">
        <f>+D28*(1-D27)</f>
      </c>
      <c r="E29" s="50">
        <f>+E28*(1-E27)</f>
      </c>
      <c r="F29" s="50">
        <f t="shared" ref="F29:J29" si="9">+F28*(1-F27)</f>
      </c>
      <c r="G29" s="50">
        <f t="shared" si="9"/>
      </c>
      <c r="H29" s="50">
        <f t="shared" si="9"/>
      </c>
      <c r="I29" s="50">
        <f t="shared" si="9"/>
      </c>
      <c r="J29" s="50">
        <f t="shared" si="9"/>
      </c>
      <c r="K29" s="12"/>
      <c r="L29" s="7"/>
      <c r="N29" s="69" t="s">
        <v>159</v>
      </c>
      <c r="S29" s="34"/>
      <c r="U29" s="34"/>
      <c r="W29" s="34"/>
      <c r="Y29" s="34"/>
      <c r="Z29" s="35"/>
    </row>
    <row r="30" spans="1:26" ht="19.5" x14ac:dyDescent="0.4">
      <c r="A30" s="124" t="s">
        <v>24</v>
      </c>
      <c r="B30" s="125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158</v>
      </c>
      <c r="O30" s="17" t="s">
        <v>137</v>
      </c>
      <c r="P30" s="76"/>
      <c r="S30" s="34"/>
      <c r="U30" s="34"/>
      <c r="W30" s="34"/>
      <c r="Y30" s="34"/>
      <c r="Z30" s="35"/>
    </row>
    <row r="31" spans="1:26" ht="19.5" x14ac:dyDescent="0.4">
      <c r="A31" s="120" t="s">
        <v>25</v>
      </c>
      <c r="B31" s="121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.5" x14ac:dyDescent="0.4">
      <c r="A32" s="124" t="s">
        <v>31</v>
      </c>
      <c r="B32" s="125"/>
      <c r="C32" s="30"/>
      <c r="D32" s="48">
        <v>0</v>
      </c>
      <c r="E32" s="45">
        <v>10</v>
      </c>
      <c r="F32" s="45">
        <v>10</v>
      </c>
      <c r="G32" s="45">
        <v>10</v>
      </c>
      <c r="H32" s="45">
        <v>10</v>
      </c>
      <c r="I32" s="45">
        <v>10</v>
      </c>
      <c r="J32" s="45">
        <v>10</v>
      </c>
      <c r="K32" s="11"/>
      <c r="L32" s="7"/>
      <c r="N32" s="69" t="s">
        <v>157</v>
      </c>
      <c r="O32" s="17" t="s">
        <v>146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.5" x14ac:dyDescent="0.4">
      <c r="A33" s="120" t="s">
        <v>32</v>
      </c>
      <c r="B33" s="121"/>
      <c r="C33" s="23"/>
      <c r="D33" s="44">
        <v>0</v>
      </c>
      <c r="E33" s="63">
        <f>+E29*E32*$P$26*$P$27*$P$28*$P$36</f>
      </c>
      <c r="F33" s="63">
        <f t="shared" ref="F33:G33" si="10">+F29*F32*$P$26*$P$27*$P$28*$P$36</f>
      </c>
      <c r="G33" s="63">
        <f t="shared" si="10"/>
      </c>
      <c r="H33" s="63">
        <f>+H29*H32*$P$26*$P$27*$P$28*$P$36*$Q$28</f>
      </c>
      <c r="I33" s="63">
        <f t="shared" ref="I33:J33" si="11">+I29*I32*$P$26*$P$27*$P$28*$P$36*$Q$28</f>
      </c>
      <c r="J33" s="63">
        <f t="shared" si="11"/>
      </c>
      <c r="K33" s="11"/>
      <c r="L33" s="7"/>
      <c r="O33" s="17" t="s">
        <v>160</v>
      </c>
      <c r="P33" s="75" t="b">
        <v>1</v>
      </c>
      <c r="Q33" s="73">
        <f t="shared" ref="Q33:Q35" si="12">+IF(P33=TRUE,1.1,0.95)</f>
      </c>
    </row>
    <row r="34" spans="1:17" ht="19.5" x14ac:dyDescent="0.4">
      <c r="A34" s="126" t="s">
        <v>27</v>
      </c>
      <c r="B34" s="127"/>
      <c r="C34" s="102"/>
      <c r="D34" s="108">
        <f>+D29*D30</f>
      </c>
      <c r="E34" s="46">
        <f>+E29*E30*$P$24+E29*E32*$P$28</f>
      </c>
      <c r="F34" s="46">
        <f>+F29*F30*$P$24+F29*F32*$P$28</f>
      </c>
      <c r="G34" s="46">
        <f>+G29*G30*$P$24+G29*G32*$P$28</f>
      </c>
      <c r="H34" s="46">
        <f>+H29*H30*$P$24*$Q$24+H29*H32*$P$28*$Q$28</f>
      </c>
      <c r="I34" s="46">
        <f>+I29*I30*$P$24*$Q$24+I29*I32*$P$28*$Q$28</f>
      </c>
      <c r="J34" s="46">
        <f>+J29*J30*$P$24*$Q$24+J29*J32*$P$28*$Q$28</f>
      </c>
      <c r="K34" s="11"/>
      <c r="L34" s="7"/>
      <c r="O34" s="17" t="s">
        <v>161</v>
      </c>
      <c r="P34" s="75" t="b">
        <v>1</v>
      </c>
      <c r="Q34" s="73">
        <f t="shared" si="12"/>
      </c>
    </row>
    <row r="35" spans="1:17" ht="19.5" x14ac:dyDescent="0.4">
      <c r="A35" s="126" t="s">
        <v>26</v>
      </c>
      <c r="B35" s="127"/>
      <c r="C35" s="102"/>
      <c r="D35" s="109">
        <f>+D31*1.02</f>
      </c>
      <c r="E35" s="50">
        <f>+E31+E33+1.05*(E31+E33)</f>
      </c>
      <c r="F35" s="50">
        <f t="shared" ref="F35:J35" si="13">+F31+F33+1.05*(F31+F33)</f>
      </c>
      <c r="G35" s="50">
        <f t="shared" si="13"/>
      </c>
      <c r="H35" s="50">
        <f t="shared" si="13"/>
      </c>
      <c r="I35" s="50">
        <f t="shared" si="13"/>
      </c>
      <c r="J35" s="50">
        <f t="shared" si="13"/>
      </c>
      <c r="K35" s="11"/>
      <c r="L35" s="7"/>
      <c r="O35" s="17" t="s">
        <v>162</v>
      </c>
      <c r="P35" s="75" t="b">
        <v>1</v>
      </c>
      <c r="Q35" s="73">
        <f t="shared" si="12"/>
      </c>
    </row>
    <row r="36" spans="1:17" x14ac:dyDescent="0.4">
      <c r="A36" s="128" t="s">
        <v>7</v>
      </c>
      <c r="B36" s="6">
        <f>+C8</f>
      </c>
      <c r="C36" s="6"/>
      <c r="D36" s="11">
        <v>0</v>
      </c>
      <c r="E36" s="111">
        <f>ROUND((E26-E24)*0.25,0)</f>
      </c>
      <c r="F36" s="111">
        <f>ROUND((F26-F24)*0.25,0)</f>
      </c>
      <c r="G36" s="111">
        <f>ROUND((G26-G24)*0.25,0)</f>
      </c>
      <c r="H36" s="111">
        <f>ROUND((H26-H24)*0.25,0)</f>
      </c>
      <c r="I36" s="111">
        <f>ROUND((I26-I24)*0.25,0)</f>
      </c>
      <c r="J36" s="111">
        <f>ROUND((J26-J24)*0.25,0)</f>
      </c>
      <c r="K36" s="115">
        <f>SUM(E36:J36)</f>
      </c>
      <c r="L36" s="7"/>
      <c r="N36" s="69" t="inlineStr">
        <is>
          <t xml:space="preserve">問い合わせ①＝（新規友だち−サンクスLINE経由）×25%（LINEで物件URLを送る＝問い合わせ。仮置き）。サンクスLINE経由はフォームで問い合わせ済みなので数えない</t>
        </is>
      </c>
      <c r="O36" s="17" t="s">
        <v>147</v>
      </c>
      <c r="P36" s="74">
        <f>1*(Q32*Q33*Q34*Q35)</f>
      </c>
      <c r="Q36" s="73"/>
    </row>
    <row r="37" spans="1:17" x14ac:dyDescent="0.4">
      <c r="A37" s="129"/>
      <c r="B37" s="6">
        <f>+C9</f>
      </c>
      <c r="C37" s="6"/>
      <c r="D37" s="11">
        <v>0</v>
      </c>
      <c r="E37" s="111">
        <f>ROUND(E35*0.004,0)</f>
      </c>
      <c r="F37" s="111">
        <f>ROUND(F35*0.005,0)</f>
      </c>
      <c r="G37" s="111">
        <f>ROUND(G35*0.006,0)</f>
      </c>
      <c r="H37" s="111">
        <f>ROUND(H35*0.007,0)</f>
      </c>
      <c r="I37" s="111">
        <f>ROUND(I35*0.008,0)</f>
      </c>
      <c r="J37" s="111">
        <f>ROUND(J35*0.008,0)</f>
      </c>
      <c r="K37" s="115">
        <f>SUM(E37:J37)</f>
      </c>
      <c r="L37" s="7"/>
      <c r="N37" s="69" t="inlineStr">
        <is>
          <t xml:space="preserve">問い合わせ②＝配信クリック×0.4〜0.8%（運用が育つ想定で月ごとに上げる）</t>
        </is>
      </c>
    </row>
    <row r="38" spans="1:17" x14ac:dyDescent="0.4">
      <c r="A38" s="128" t="s">
        <v>10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</c>
      <c r="L38" s="7"/>
      <c r="N38" s="69" t="s">
        <v>135</v>
      </c>
      <c r="O38" s="21" t="s">
        <v>38</v>
      </c>
    </row>
    <row r="39" spans="1:17" x14ac:dyDescent="0.4">
      <c r="A39" s="129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135</v>
      </c>
      <c r="O39" s="21" t="s">
        <v>39</v>
      </c>
    </row>
    <row r="40" spans="1:17" x14ac:dyDescent="0.4">
      <c r="A40" s="122" t="s">
        <v>54</v>
      </c>
      <c r="B40" s="123"/>
      <c r="C40" s="97"/>
      <c r="D40" s="11">
        <f t="shared" ref="D40:J40" si="14">+SUM(D36:D39)</f>
      </c>
      <c r="E40" s="10">
        <f t="shared" si="14"/>
      </c>
      <c r="F40" s="10">
        <f t="shared" si="14"/>
      </c>
      <c r="G40" s="10">
        <f t="shared" si="14"/>
      </c>
      <c r="H40" s="10">
        <f t="shared" si="14"/>
      </c>
      <c r="I40" s="10">
        <f t="shared" si="14"/>
      </c>
      <c r="J40" s="10">
        <f t="shared" si="14"/>
      </c>
      <c r="K40" s="115">
        <f>SUM(E40:J40)</f>
      </c>
      <c r="L40" s="7"/>
      <c r="O40" s="17"/>
    </row>
    <row r="41" spans="1:17" x14ac:dyDescent="0.4">
      <c r="B41" s="5" t="s">
        <v>68</v>
      </c>
      <c r="D41" s="18">
        <f t="shared" ref="D41" si="15">+IFERROR(D40/D35,0)</f>
      </c>
      <c r="E41" s="18">
        <f>+IFERROR(E37/E35,0)</f>
      </c>
      <c r="F41" s="18">
        <f>+IFERROR(F37/F35,0)</f>
      </c>
      <c r="G41" s="18">
        <f>+IFERROR(G37/G35,0)</f>
      </c>
      <c r="H41" s="18">
        <f>+IFERROR(H37/H35,0)</f>
      </c>
      <c r="I41" s="18">
        <f>+IFERROR(I37/I35,0)</f>
      </c>
      <c r="J41" s="18">
        <f>+IFERROR(J37/J35,0)</f>
      </c>
      <c r="N41" s="69" t="inlineStr">
        <is>
          <t xml:space="preserve">CVRは②（配信経由）だけで計算。①は友だち追加の直後に物件URLを送る問い合わせで、配信のクリック経由ではない</t>
        </is>
      </c>
    </row>
    <row r="42" spans="1:17" x14ac:dyDescent="0.4">
      <c r="B42" s="29"/>
      <c r="D42" s="18"/>
      <c r="E42" s="116"/>
      <c r="F42" s="116"/>
      <c r="G42" s="116"/>
      <c r="H42" s="116"/>
      <c r="I42" s="116"/>
      <c r="J42" s="116"/>
    </row>
    <row r="43" spans="1:17" x14ac:dyDescent="0.4">
      <c r="A43" s="29" t="s">
        <v>52</v>
      </c>
      <c r="C43" s="5" t="s">
        <v>178</v>
      </c>
      <c r="D43" s="5" t="s">
        <v>179</v>
      </c>
    </row>
    <row r="44" spans="1:17" x14ac:dyDescent="0.4">
      <c r="A44" s="120" t="s">
        <v>28</v>
      </c>
      <c r="B44" s="121"/>
      <c r="C44" s="103"/>
      <c r="D44" s="16" t="s">
        <v>23</v>
      </c>
      <c r="E44" s="31">
        <f>+E75*E76</f>
      </c>
      <c r="F44" s="31">
        <f t="shared" ref="F44:J44" si="17">+F75*F76</f>
      </c>
      <c r="G44" s="31">
        <f t="shared" si="17"/>
      </c>
      <c r="H44" s="31">
        <f t="shared" si="17"/>
      </c>
      <c r="I44" s="31">
        <f t="shared" si="17"/>
      </c>
      <c r="J44" s="31">
        <f t="shared" si="17"/>
      </c>
      <c r="K44" s="11"/>
      <c r="L44" s="7"/>
    </row>
    <row r="45" spans="1:17" x14ac:dyDescent="0.4">
      <c r="A45" s="120" t="s">
        <v>156</v>
      </c>
      <c r="B45" s="121"/>
      <c r="C45" s="104">
        <f>+SUM(C65:C72)</f>
      </c>
      <c r="D45" s="80">
        <f>+SUM(D65:D72)</f>
      </c>
      <c r="E45" s="27">
        <f>SUM(E65:E69)+SUM(E71:E72)</f>
      </c>
      <c r="F45" s="27">
        <f t="shared" ref="F45:J45" si="18">SUM(F65:F69)+SUM(F71:F72)</f>
      </c>
      <c r="G45" s="27">
        <f t="shared" si="18"/>
      </c>
      <c r="H45" s="27">
        <f t="shared" si="18"/>
      </c>
      <c r="I45" s="27">
        <f t="shared" si="18"/>
      </c>
      <c r="J45" s="27">
        <f t="shared" si="18"/>
      </c>
      <c r="K45" s="11"/>
      <c r="L45" s="7"/>
    </row>
    <row r="46" spans="1:17" x14ac:dyDescent="0.4">
      <c r="A46" s="120" t="s">
        <v>18</v>
      </c>
      <c r="B46" s="121"/>
      <c r="C46" s="103"/>
      <c r="D46" s="16" t="s">
        <v>23</v>
      </c>
      <c r="E46" s="28">
        <f>(SUM(E65:E67)+E71)/(E28-D28)</f>
      </c>
      <c r="F46" s="28">
        <f>(SUM(F65:F67)+F71)/(F28-E28)</f>
      </c>
      <c r="G46" s="28">
        <f>(SUM(G65:G67)+G71)/(G28-F28)</f>
      </c>
      <c r="H46" s="28">
        <f>(SUM(H65:H67)+H71)/(H28-G28)</f>
      </c>
      <c r="I46" s="28">
        <f>(SUM(I65:I67)+I71)/(I28-H28)</f>
      </c>
      <c r="J46" s="28">
        <f>(SUM(J65:J67)+J71)/(J28-I28)</f>
      </c>
      <c r="K46" s="11"/>
      <c r="L46" s="7"/>
    </row>
    <row r="47" spans="1:17" x14ac:dyDescent="0.4">
      <c r="A47" s="120" t="s">
        <v>19</v>
      </c>
      <c r="B47" s="121"/>
      <c r="C47" s="103"/>
      <c r="D47" s="16" t="s">
        <v>23</v>
      </c>
      <c r="E47" s="28">
        <f t="shared" ref="E47:I47" si="20">+E51/E35</f>
      </c>
      <c r="F47" s="28">
        <f t="shared" si="20"/>
      </c>
      <c r="G47" s="28">
        <f t="shared" si="20"/>
      </c>
      <c r="H47" s="28">
        <f t="shared" si="20"/>
      </c>
      <c r="I47" s="28">
        <f t="shared" si="20"/>
      </c>
      <c r="J47" s="28">
        <f>+J51/J35</f>
      </c>
      <c r="K47" s="11"/>
      <c r="L47" s="7"/>
    </row>
    <row r="48" spans="1:17" x14ac:dyDescent="0.4">
      <c r="A48" s="120" t="s">
        <v>21</v>
      </c>
      <c r="B48" s="121"/>
      <c r="C48" s="103"/>
      <c r="D48" s="16" t="s">
        <v>23</v>
      </c>
      <c r="E48" s="32">
        <f>+IFERROR(E37/E35,0)</f>
      </c>
      <c r="F48" s="32">
        <f>+IFERROR(F37/F35,0)</f>
      </c>
      <c r="G48" s="32">
        <f>+IFERROR(G37/G35,0)</f>
      </c>
      <c r="H48" s="32">
        <f>+IFERROR(H37/H35,0)</f>
      </c>
      <c r="I48" s="32">
        <f>+IFERROR(I37/I35,0)</f>
      </c>
      <c r="J48" s="32">
        <f>+IFERROR(J37/J35,0)</f>
      </c>
      <c r="K48" s="11"/>
      <c r="L48" s="7"/>
    </row>
    <row r="49" spans="1:12" x14ac:dyDescent="0.4">
      <c r="A49" s="122" t="s">
        <v>20</v>
      </c>
      <c r="B49" s="123"/>
      <c r="C49" s="105"/>
      <c r="D49" s="16" t="s">
        <v>23</v>
      </c>
      <c r="E49" s="28">
        <f>+IFERROR(E51/SUM(E36:E39),0)</f>
      </c>
      <c r="F49" s="28">
        <f t="shared" ref="F49:J49" si="22">+IFERROR(F51/SUM(F36:F39),0)</f>
      </c>
      <c r="G49" s="28">
        <f t="shared" si="22"/>
      </c>
      <c r="H49" s="28">
        <f t="shared" si="22"/>
      </c>
      <c r="I49" s="28">
        <f t="shared" si="22"/>
      </c>
      <c r="J49" s="28">
        <f t="shared" si="22"/>
      </c>
      <c r="K49" s="11"/>
      <c r="L49" s="7"/>
    </row>
    <row r="50" spans="1:12" x14ac:dyDescent="0.4">
      <c r="A50" s="122" t="s">
        <v>132</v>
      </c>
      <c r="B50" s="123"/>
      <c r="C50" s="105"/>
      <c r="D50" s="64" t="s">
        <v>23</v>
      </c>
      <c r="E50" s="65">
        <f>+E36*$D$8+E38*$D$10</f>
      </c>
      <c r="F50" s="65">
        <f t="shared" ref="F50:J50" si="23">+F36*$D$8+F38*$D$10</f>
      </c>
      <c r="G50" s="65">
        <f t="shared" si="23"/>
      </c>
      <c r="H50" s="65">
        <f t="shared" si="23"/>
      </c>
      <c r="I50" s="65">
        <f t="shared" si="23"/>
      </c>
      <c r="J50" s="65">
        <f t="shared" si="23"/>
      </c>
      <c r="K50" s="11"/>
      <c r="L50" s="7"/>
    </row>
    <row r="51" spans="1:12" x14ac:dyDescent="0.4">
      <c r="A51" s="118" t="s">
        <v>71</v>
      </c>
      <c r="B51" s="119"/>
      <c r="C51" s="110">
        <f>+C45</f>
      </c>
      <c r="D51" s="40">
        <f>+D45</f>
      </c>
      <c r="E51" s="40">
        <f>SUM(E45,E50)+E44</f>
      </c>
      <c r="F51" s="40">
        <f t="shared" ref="F51:I51" si="24">SUM(F45,F50)+F44</f>
      </c>
      <c r="G51" s="40">
        <f t="shared" si="24"/>
      </c>
      <c r="H51" s="40">
        <f t="shared" si="24"/>
      </c>
      <c r="I51" s="40">
        <f t="shared" si="24"/>
      </c>
      <c r="J51" s="40">
        <f>SUM(J45,J50)+J44</f>
      </c>
      <c r="K51" s="11"/>
      <c r="L51" s="7"/>
    </row>
    <row r="52" spans="1:12" x14ac:dyDescent="0.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4">
      <c r="A53" s="29" t="s">
        <v>69</v>
      </c>
    </row>
    <row r="54" spans="1:12" hidden="1" x14ac:dyDescent="0.4">
      <c r="A54" s="120" t="s">
        <v>28</v>
      </c>
      <c r="B54" s="121"/>
      <c r="C54" s="96"/>
      <c r="D54" s="28">
        <f>+D75*D76</f>
      </c>
      <c r="E54" s="28">
        <f t="shared" ref="E54:J54" si="25">+E75*E76</f>
      </c>
      <c r="F54" s="28">
        <f t="shared" si="25"/>
      </c>
      <c r="G54" s="28">
        <f t="shared" si="25"/>
      </c>
      <c r="H54" s="28">
        <f t="shared" si="25"/>
      </c>
      <c r="I54" s="28">
        <f t="shared" si="25"/>
      </c>
      <c r="J54" s="28">
        <f t="shared" si="25"/>
      </c>
      <c r="K54" s="11"/>
      <c r="L54" s="7"/>
    </row>
    <row r="55" spans="1:12" hidden="1" x14ac:dyDescent="0.4">
      <c r="A55" s="120" t="s">
        <v>156</v>
      </c>
      <c r="B55" s="121"/>
      <c r="C55" s="96"/>
      <c r="D55" s="27">
        <f>+SUM(D65:D72)</f>
      </c>
      <c r="E55" s="27">
        <f>SUM(E65:E72)+E54</f>
      </c>
      <c r="F55" s="27">
        <f t="shared" ref="F55:J55" si="26">SUM(F65:F72)+F54</f>
      </c>
      <c r="G55" s="27">
        <f t="shared" si="26"/>
      </c>
      <c r="H55" s="27">
        <f t="shared" si="26"/>
      </c>
      <c r="I55" s="27">
        <f t="shared" si="26"/>
      </c>
      <c r="J55" s="27">
        <f t="shared" si="26"/>
      </c>
      <c r="K55" s="11"/>
      <c r="L55" s="7"/>
    </row>
    <row r="56" spans="1:12" hidden="1" x14ac:dyDescent="0.4">
      <c r="A56" s="120" t="s">
        <v>18</v>
      </c>
      <c r="B56" s="121"/>
      <c r="C56" s="96"/>
      <c r="D56" s="39" t="s">
        <v>23</v>
      </c>
      <c r="E56" s="28">
        <f>(SUM(E65:E67)+E71)/(E28-D28)</f>
      </c>
      <c r="F56" s="28">
        <f>(SUM(F65:F67)+F71)/(F28-E28)</f>
      </c>
      <c r="G56" s="28">
        <f>(SUM(G65:G67)+G71)/(G28-F28)</f>
      </c>
      <c r="H56" s="28">
        <f>(SUM(H65:H67)+H71)/(H28-G28)</f>
      </c>
      <c r="I56" s="28">
        <f>(SUM(I65:I67)+I71)/(I28-H28)</f>
      </c>
      <c r="J56" s="28">
        <f>(SUM(J65:J67)+J71)/(J28-I28)</f>
      </c>
      <c r="K56" s="11"/>
      <c r="L56" s="7"/>
    </row>
    <row r="57" spans="1:12" hidden="1" x14ac:dyDescent="0.4">
      <c r="A57" s="120" t="s">
        <v>19</v>
      </c>
      <c r="B57" s="121"/>
      <c r="C57" s="96"/>
      <c r="D57" s="39" t="s">
        <v>23</v>
      </c>
      <c r="E57" s="28">
        <f>+E61/E35</f>
      </c>
      <c r="F57" s="28">
        <f t="shared" ref="F57:J57" si="28">+F61/F35</f>
      </c>
      <c r="G57" s="28">
        <f t="shared" si="28"/>
      </c>
      <c r="H57" s="28">
        <f t="shared" si="28"/>
      </c>
      <c r="I57" s="28">
        <f t="shared" si="28"/>
      </c>
      <c r="J57" s="28">
        <f t="shared" si="28"/>
      </c>
      <c r="K57" s="11"/>
      <c r="L57" s="7"/>
    </row>
    <row r="58" spans="1:12" hidden="1" x14ac:dyDescent="0.4">
      <c r="A58" s="120" t="s">
        <v>21</v>
      </c>
      <c r="B58" s="121"/>
      <c r="C58" s="96"/>
      <c r="D58" s="39" t="s">
        <v>23</v>
      </c>
      <c r="E58" s="32">
        <f>+IFERROR(E37/E35,0)</f>
      </c>
      <c r="F58" s="32">
        <f>+IFERROR(F37/F35,0)</f>
      </c>
      <c r="G58" s="32">
        <f>+IFERROR(G37/G35,0)</f>
      </c>
      <c r="H58" s="32">
        <f>+IFERROR(H37/H35,0)</f>
      </c>
      <c r="I58" s="32">
        <f>+IFERROR(I37/I35,0)</f>
      </c>
      <c r="J58" s="32">
        <f>+IFERROR(J37/J35,0)</f>
      </c>
      <c r="K58" s="11"/>
      <c r="L58" s="7"/>
    </row>
    <row r="59" spans="1:12" hidden="1" x14ac:dyDescent="0.4">
      <c r="A59" s="122" t="s">
        <v>20</v>
      </c>
      <c r="B59" s="123"/>
      <c r="C59" s="97"/>
      <c r="D59" s="28"/>
      <c r="E59" s="28">
        <f>+IFERROR(E55/E40,0)</f>
      </c>
      <c r="F59" s="28">
        <f t="shared" ref="F59:J59" si="30">+IFERROR(F55/F40,0)</f>
      </c>
      <c r="G59" s="28">
        <f t="shared" si="30"/>
      </c>
      <c r="H59" s="28">
        <f t="shared" si="30"/>
      </c>
      <c r="I59" s="28">
        <f t="shared" si="30"/>
      </c>
      <c r="J59" s="28">
        <f t="shared" si="30"/>
      </c>
      <c r="K59" s="11"/>
      <c r="L59" s="7"/>
    </row>
    <row r="60" spans="1:12" hidden="1" x14ac:dyDescent="0.4">
      <c r="A60" s="122" t="s">
        <v>132</v>
      </c>
      <c r="B60" s="12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4">
      <c r="A61" s="118" t="s">
        <v>71</v>
      </c>
      <c r="B61" s="119"/>
      <c r="C61" s="98"/>
      <c r="D61" s="40">
        <f>+D55</f>
      </c>
      <c r="E61" s="40">
        <f>+SUM(E65:E72)+E54</f>
      </c>
      <c r="F61" s="40">
        <f t="shared" ref="F61:J61" si="31">+SUM(F65:F72)+F54</f>
      </c>
      <c r="G61" s="40">
        <f t="shared" si="31"/>
      </c>
      <c r="H61" s="40">
        <f t="shared" si="31"/>
      </c>
      <c r="I61" s="40">
        <f t="shared" si="31"/>
      </c>
      <c r="J61" s="40">
        <f t="shared" si="31"/>
      </c>
      <c r="K61" s="11"/>
      <c r="L61" s="7"/>
    </row>
    <row r="62" spans="1:12" hidden="1" x14ac:dyDescent="0.4"/>
    <row r="64" spans="1:12" x14ac:dyDescent="0.4">
      <c r="C64" s="5" t="s">
        <v>178</v>
      </c>
      <c r="D64" s="5" t="s">
        <v>179</v>
      </c>
    </row>
    <row r="65" spans="1:16" x14ac:dyDescent="0.4">
      <c r="A65" s="52" t="s">
        <v>29</v>
      </c>
      <c r="B65" s="6" t="s">
        <v>28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N65" t="inlineStr">
        <is>
          <t xml:space="preserve">従量課金は54行（新料金テーブル）で計算。65行の旧式（2.75円）は二重計上になるため0</t>
        </is>
      </c>
    </row>
    <row r="66" spans="1:16" x14ac:dyDescent="0.4">
      <c r="A66" s="53" t="s">
        <v>51</v>
      </c>
      <c r="B66" s="6" t="s">
        <v>5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inlineStr">
        <is>
          <t xml:space="preserve">離脱防止：初期1.5万・月3万（資料S19）</t>
        </is>
      </c>
    </row>
    <row r="67" spans="1:16" x14ac:dyDescent="0.4">
      <c r="B67" s="6" t="inlineStr">
        <is>
          <t xml:space="preserve">サンクスLINE</t>
        </is>
      </c>
      <c r="C67" s="90">
        <v>0</v>
      </c>
      <c r="D67" s="51">
        <v>100000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inlineStr">
        <is>
          <t xml:space="preserve">サンクスLINE：初期10万・月3万（資料S23）。お問い合わせ・100円チェッカー・内見依頼の完了画面に設置</t>
        </is>
      </c>
    </row>
    <row r="68" spans="1:16" x14ac:dyDescent="0.4">
      <c r="A68" s="15"/>
      <c r="B68" s="6" t="s">
        <v>49</v>
      </c>
      <c r="C68" s="90">
        <v>0</v>
      </c>
      <c r="D68" s="51">
        <v>30000</v>
      </c>
      <c r="E68" s="28">
        <f t="shared" ref="E68:J68" si="33">IF(E34&lt;5000,5000,15000)</f>
      </c>
      <c r="F68" s="28">
        <f t="shared" si="33"/>
      </c>
      <c r="G68" s="28">
        <f t="shared" si="33"/>
      </c>
      <c r="H68" s="28">
        <f t="shared" si="33"/>
      </c>
      <c r="I68" s="28">
        <f t="shared" si="33"/>
      </c>
      <c r="J68" s="28">
        <f t="shared" si="33"/>
      </c>
      <c r="N68" s="69" t="s">
        <v>155</v>
      </c>
      <c r="O68" s="17" t="s">
        <v>154</v>
      </c>
      <c r="P68" s="75">
        <v>5000</v>
      </c>
    </row>
    <row r="69" spans="1:16" x14ac:dyDescent="0.4">
      <c r="A69" s="15"/>
      <c r="B69" s="6" t="inlineStr">
        <is>
          <t xml:space="preserve">LINE運用コンサル</t>
        </is>
      </c>
      <c r="C69" s="90">
        <v>0</v>
      </c>
      <c r="D69" s="51">
        <v>200000</v>
      </c>
      <c r="E69" s="28">
        <v>100000</v>
      </c>
      <c r="F69" s="28">
        <v>100000</v>
      </c>
      <c r="G69" s="28">
        <v>100000</v>
      </c>
      <c r="H69" s="28">
        <v>100000</v>
      </c>
      <c r="I69" s="28">
        <v>100000</v>
      </c>
      <c r="J69" s="28">
        <v>100000</v>
      </c>
      <c r="N69" s="69" t="inlineStr">
        <is>
          <t xml:space="preserve">LINE運用コンサル：初期20万（アカウントの作り直し：あいさつ・リッチメニュー・自動応答・ステップ配信）／月10万（企画4本＋ステップ10本の運用）</t>
        </is>
      </c>
      <c r="O69" s="5" t="s">
        <v>53</v>
      </c>
    </row>
    <row r="70" spans="1:16" x14ac:dyDescent="0.4">
      <c r="A70" s="15"/>
      <c r="B70" s="6" t="s">
        <v>58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153</v>
      </c>
    </row>
    <row r="71" spans="1:16" x14ac:dyDescent="0.4">
      <c r="A71" s="15"/>
      <c r="B71" s="6" t="s">
        <v>150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151</v>
      </c>
    </row>
    <row r="72" spans="1:16" x14ac:dyDescent="0.4">
      <c r="A72" s="15"/>
      <c r="B72" s="6" t="s">
        <v>64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4">
      <c r="A73" s="15"/>
      <c r="B73" s="112" t="s">
        <v>181</v>
      </c>
      <c r="C73" s="113">
        <v>0</v>
      </c>
      <c r="D73" s="114">
        <f>SUM(D65:D72)</f>
      </c>
      <c r="E73" s="114">
        <f t="shared" ref="E73" si="34">SUM(E65:E72)</f>
      </c>
      <c r="F73" s="114">
        <f t="shared" ref="F73" si="35">SUM(F65:F72)</f>
      </c>
      <c r="G73" s="114">
        <f t="shared" ref="G73" si="36">SUM(G65:G72)</f>
      </c>
      <c r="H73" s="114">
        <f t="shared" ref="H73" si="37">SUM(H65:H72)</f>
      </c>
      <c r="I73" s="114">
        <f t="shared" ref="I73" si="38">SUM(I65:I72)</f>
      </c>
      <c r="J73" s="114">
        <f t="shared" ref="J73" si="39">SUM(J65:J72)</f>
      </c>
    </row>
    <row r="74" spans="1:16" x14ac:dyDescent="0.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4">
      <c r="B75" s="5" t="s">
        <v>65</v>
      </c>
      <c r="D75" s="41">
        <f t="shared" ref="D75:J75" si="40">+IF(D34&lt;30001,0,D34-30000)</f>
      </c>
      <c r="E75" s="41">
        <f t="shared" si="40"/>
      </c>
      <c r="F75" s="41">
        <f t="shared" si="40"/>
      </c>
      <c r="G75" s="41">
        <f t="shared" si="40"/>
      </c>
      <c r="H75" s="41">
        <f t="shared" si="40"/>
      </c>
      <c r="I75" s="41">
        <f t="shared" si="40"/>
      </c>
      <c r="J75" s="41">
        <f t="shared" si="40"/>
      </c>
    </row>
    <row r="76" spans="1:16" x14ac:dyDescent="0.4">
      <c r="B76" s="5" t="s">
        <v>66</v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8.75" x14ac:dyDescent="0.4"/>
  <cols>
    <col min="1" max="1" width="41.75" style="29" customWidth="1"/>
    <col min="2" max="2" width="3" style="5" customWidth="1"/>
    <col min="3" max="6" width="26.125" style="5" customWidth="1"/>
    <col min="7" max="17" width="9" style="5"/>
    <col min="18" max="18" width="10.875" style="5" bestFit="1" customWidth="1"/>
    <col min="19" max="19" width="9" style="5"/>
    <col min="20" max="27" width="14.875" style="5" customWidth="1"/>
    <col min="28" max="16384" width="9" style="5"/>
  </cols>
  <sheetData>
    <row r="1" spans="1:25" x14ac:dyDescent="0.4">
      <c r="E1" s="81" t="s">
        <v>171</v>
      </c>
      <c r="F1" s="81">
        <v>0.6</v>
      </c>
    </row>
    <row r="3" spans="1:25" x14ac:dyDescent="0.4">
      <c r="A3" s="82" t="s">
        <v>86</v>
      </c>
      <c r="B3" s="82"/>
      <c r="C3" s="83" t="s">
        <v>80</v>
      </c>
      <c r="D3" s="84" t="s">
        <v>81</v>
      </c>
      <c r="E3" s="84" t="s">
        <v>82</v>
      </c>
      <c r="F3" s="84"/>
    </row>
    <row r="4" spans="1:25" x14ac:dyDescent="0.4">
      <c r="A4" s="85" t="s">
        <v>166</v>
      </c>
      <c r="B4" s="7"/>
      <c r="C4" s="86">
        <f>+'SIM_離脱防止＋サンクスLINE'!D24</f>
      </c>
      <c r="D4" s="28">
        <f>+'SIM_離脱防止＋サンクスLINE'!G51</f>
      </c>
      <c r="E4" s="28">
        <f>+'SIM_離脱防止＋サンクスLINE'!J51</f>
      </c>
      <c r="F4" s="28"/>
    </row>
    <row r="5" spans="1:25" x14ac:dyDescent="0.4">
      <c r="A5" s="85" t="s">
        <v>167</v>
      </c>
      <c r="B5" s="7"/>
      <c r="C5" s="86">
        <f>+'SIM_離脱防止＋サンクスLINE'!D25</f>
      </c>
      <c r="D5" s="28">
        <f>+'SIM_離脱防止＋サンクスLINE'!G61</f>
      </c>
      <c r="E5" s="28">
        <f>+'SIM_離脱防止＋サンクスLINE'!J61</f>
      </c>
      <c r="F5" s="27"/>
    </row>
    <row r="6" spans="1:25" x14ac:dyDescent="0.4">
      <c r="A6" s="85" t="s">
        <v>83</v>
      </c>
      <c r="B6" s="7"/>
      <c r="C6" s="117">
        <f>+'SIM_離脱防止＋サンクスLINE'!D28</f>
      </c>
      <c r="D6" s="87">
        <f>+'SIM_離脱防止＋サンクスLINE'!G28</f>
      </c>
      <c r="E6" s="87">
        <f>+'SIM_離脱防止＋サンクスLINE'!J28</f>
      </c>
      <c r="F6" s="10"/>
    </row>
    <row r="7" spans="1:25" x14ac:dyDescent="0.4">
      <c r="A7" s="85" t="s">
        <v>84</v>
      </c>
      <c r="B7" s="7"/>
      <c r="C7" s="88">
        <f>+'SIM_離脱防止＋サンクスLINE'!D27</f>
      </c>
      <c r="D7" s="89">
        <f>+'SIM_離脱防止＋サンクスLINE'!G27</f>
      </c>
      <c r="E7" s="89">
        <f>+'SIM_離脱防止＋サンクスLINE'!J27</f>
      </c>
      <c r="F7" s="89"/>
    </row>
    <row r="8" spans="1:25" x14ac:dyDescent="0.4">
      <c r="A8" s="85" t="s">
        <v>85</v>
      </c>
      <c r="B8" s="7"/>
      <c r="C8" s="117">
        <f>+'SIM_離脱防止＋サンクスLINE'!D29</f>
      </c>
      <c r="D8" s="10">
        <f>+'SIM_離脱防止＋サンクスLINE'!G29</f>
      </c>
      <c r="E8" s="10">
        <f>+'SIM_離脱防止＋サンクスLINE'!J29</f>
      </c>
      <c r="F8" s="10"/>
    </row>
    <row r="9" spans="1:25" x14ac:dyDescent="0.4">
      <c r="A9" s="85"/>
      <c r="B9" s="7"/>
      <c r="C9" s="7"/>
      <c r="D9" s="7"/>
      <c r="E9" s="7"/>
      <c r="F9" s="7"/>
    </row>
    <row r="10" spans="1:25" x14ac:dyDescent="0.4">
      <c r="A10" s="85" t="s">
        <v>89</v>
      </c>
      <c r="B10" s="7"/>
      <c r="C10" s="117">
        <f>+'SIM_離脱防止＋サンクスLINE'!D34</f>
      </c>
      <c r="D10" s="10">
        <f>+'SIM_離脱防止＋サンクスLINE'!G34</f>
      </c>
      <c r="E10" s="10">
        <f>+'SIM_離脱防止＋サンクスLINE'!J34</f>
      </c>
      <c r="F10" s="10"/>
    </row>
    <row r="11" spans="1:25" x14ac:dyDescent="0.4">
      <c r="A11" s="85" t="s">
        <v>90</v>
      </c>
      <c r="B11" s="7"/>
      <c r="C11" s="117">
        <f>+'SIM_離脱防止＋サンクスLINE'!D35</f>
      </c>
      <c r="D11" s="10">
        <f>+'SIM_離脱防止＋サンクスLINE'!G35</f>
      </c>
      <c r="E11" s="10">
        <f>+'SIM_離脱防止＋サンクスLINE'!J35</f>
      </c>
      <c r="F11" s="10"/>
    </row>
    <row r="12" spans="1:25" x14ac:dyDescent="0.4">
      <c r="A12" s="85" t="s">
        <v>174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4">
      <c r="A13" s="85" t="s">
        <v>175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4">
      <c r="A14" s="85"/>
      <c r="B14" s="7"/>
      <c r="C14" s="7"/>
      <c r="D14" s="7"/>
      <c r="E14" s="7"/>
      <c r="F14" s="7"/>
      <c r="R14" s="29" t="s">
        <v>48</v>
      </c>
    </row>
    <row r="15" spans="1:25" x14ac:dyDescent="0.4">
      <c r="A15" s="85" t="s">
        <v>87</v>
      </c>
      <c r="B15" s="7"/>
      <c r="C15" s="87">
        <f>+'SIM_離脱防止＋サンクスLINE'!D16</f>
      </c>
      <c r="D15" s="87">
        <f>+'SIM_離脱防止＋サンクスLINE'!E16</f>
      </c>
      <c r="E15" s="87">
        <f>+'SIM_離脱防止＋サンクスLINE'!F16</f>
      </c>
      <c r="F15" s="87"/>
      <c r="R15" s="5" t="s">
        <v>59</v>
      </c>
    </row>
    <row r="16" spans="1:25" x14ac:dyDescent="0.4">
      <c r="A16" s="85" t="s">
        <v>88</v>
      </c>
      <c r="B16" s="7"/>
      <c r="C16" s="87">
        <f>SUM(C17:C20)</f>
      </c>
      <c r="D16" s="87">
        <f>SUM(D17:D20)</f>
      </c>
      <c r="E16" s="87">
        <f>SUM(E17:E20)</f>
      </c>
      <c r="F16" s="87"/>
      <c r="R16" s="5" t="s">
        <v>60</v>
      </c>
      <c r="V16" s="5" t="s">
        <v>61</v>
      </c>
      <c r="Y16" s="35" t="s">
        <v>62</v>
      </c>
    </row>
    <row r="17" spans="1:25" x14ac:dyDescent="0.4">
      <c r="A17" s="85" t="inlineStr">
        <is>
          <t xml:space="preserve">CV①_問い合わせ①（LINEで物件URL送付）</t>
        </is>
      </c>
      <c r="B17" s="7"/>
      <c r="C17" s="87">
        <f>+'SIM_離脱防止＋サンクスLINE'!D36</f>
      </c>
      <c r="D17" s="87">
        <f>+'SIM_離脱防止＋サンクスLINE'!G36</f>
      </c>
      <c r="E17" s="87">
        <f>+'SIM_離脱防止＋サンクスLINE'!J36</f>
      </c>
      <c r="F17" s="10"/>
      <c r="R17" s="5">
        <v>0</v>
      </c>
      <c r="S17" s="5" t="s">
        <v>63</v>
      </c>
      <c r="T17" s="34">
        <v>200000</v>
      </c>
      <c r="V17" s="5">
        <v>0</v>
      </c>
      <c r="W17" s="5" t="s">
        <v>63</v>
      </c>
      <c r="X17" s="34">
        <v>600000</v>
      </c>
      <c r="Y17" s="35">
        <v>3</v>
      </c>
    </row>
    <row r="18" spans="1:25" x14ac:dyDescent="0.4">
      <c r="A18" s="85" t="inlineStr">
        <is>
          <t xml:space="preserve">CV②_問い合わせ②（配信経由）</t>
        </is>
      </c>
      <c r="B18" s="7"/>
      <c r="C18" s="87">
        <f>+'SIM_離脱防止＋サンクスLINE'!D37</f>
      </c>
      <c r="D18" s="87">
        <f>+'SIM_離脱防止＋サンクスLINE'!G37</f>
      </c>
      <c r="E18" s="87">
        <f>+'SIM_離脱防止＋サンクスLINE'!J37</f>
      </c>
      <c r="F18" s="10"/>
      <c r="R18" s="34">
        <v>200000</v>
      </c>
      <c r="S18" s="5" t="s">
        <v>63</v>
      </c>
      <c r="T18" s="34">
        <v>15000000</v>
      </c>
      <c r="V18" s="34">
        <v>600000</v>
      </c>
      <c r="W18" s="5" t="s">
        <v>63</v>
      </c>
      <c r="X18" s="34">
        <f>+T18*2.5</f>
      </c>
      <c r="Y18" s="35">
        <v>2.5</v>
      </c>
    </row>
    <row r="19" spans="1:25" x14ac:dyDescent="0.4">
      <c r="A19" s="85" t="s">
        <v>94</v>
      </c>
      <c r="B19" s="7"/>
      <c r="C19" s="87">
        <f>+'SIM_離脱防止＋サンクスLINE'!D38</f>
      </c>
      <c r="D19" s="87">
        <f>+'SIM_離脱防止＋サンクスLINE'!G38</f>
      </c>
      <c r="E19" s="87">
        <f>+'SIM_離脱防止＋サンクスLINE'!J38</f>
      </c>
      <c r="F19" s="10"/>
      <c r="R19" s="34"/>
      <c r="T19" s="34"/>
      <c r="V19" s="34"/>
      <c r="X19" s="34"/>
      <c r="Y19" s="35"/>
    </row>
    <row r="20" spans="1:25" x14ac:dyDescent="0.4">
      <c r="A20" s="85" t="s">
        <v>93</v>
      </c>
      <c r="B20" s="7"/>
      <c r="C20" s="87">
        <f>+'SIM_離脱防止＋サンクスLINE'!D39</f>
      </c>
      <c r="D20" s="87">
        <f>+'SIM_離脱防止＋サンクスLINE'!G39</f>
      </c>
      <c r="E20" s="87">
        <f>+'SIM_離脱防止＋サンクスLINE'!J39</f>
      </c>
      <c r="F20" s="10"/>
      <c r="R20" s="34"/>
      <c r="T20" s="34"/>
      <c r="V20" s="34"/>
      <c r="X20" s="34"/>
      <c r="Y20" s="35"/>
    </row>
    <row r="21" spans="1:25" x14ac:dyDescent="0.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4">
      <c r="A22" s="85" t="s">
        <v>168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4">
      <c r="A23" s="85" t="s">
        <v>169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4">
      <c r="A25" s="85" t="s">
        <v>176</v>
      </c>
      <c r="B25" s="7"/>
      <c r="C25" s="10">
        <f>15000+C29*C30</f>
      </c>
      <c r="D25" s="10">
        <f>15000+D29*D30</f>
      </c>
      <c r="E25" s="10">
        <f>15000+E29*E30</f>
      </c>
      <c r="F25" s="10"/>
      <c r="R25" s="34"/>
      <c r="T25" s="34"/>
      <c r="V25" s="34"/>
      <c r="X25" s="34"/>
      <c r="Y25" s="35"/>
    </row>
    <row r="26" spans="1:25" x14ac:dyDescent="0.4">
      <c r="R26" s="34"/>
      <c r="T26" s="34"/>
      <c r="V26" s="34"/>
      <c r="X26" s="34"/>
      <c r="Y26" s="35"/>
    </row>
    <row r="27" spans="1:25" x14ac:dyDescent="0.4">
      <c r="R27" s="34"/>
      <c r="T27" s="34"/>
      <c r="V27" s="34"/>
      <c r="X27" s="34"/>
      <c r="Y27" s="35"/>
    </row>
    <row r="28" spans="1:25" x14ac:dyDescent="0.4">
      <c r="R28" s="34"/>
      <c r="T28" s="34"/>
      <c r="V28" s="34"/>
      <c r="X28" s="34"/>
      <c r="Y28" s="35"/>
    </row>
    <row r="29" spans="1:25" x14ac:dyDescent="0.4">
      <c r="A29" s="29" t="s">
        <v>172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4">
      <c r="A30" s="29" t="s">
        <v>170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4">
      <c r="R31" s="34"/>
      <c r="T31" s="34"/>
      <c r="V31" s="34"/>
      <c r="Y31" s="35"/>
    </row>
    <row r="35" spans="1:6" x14ac:dyDescent="0.4">
      <c r="A35" s="92" t="s">
        <v>125</v>
      </c>
      <c r="B35" s="92"/>
      <c r="C35" s="93" t="s">
        <v>163</v>
      </c>
      <c r="D35" s="94" t="s">
        <v>164</v>
      </c>
      <c r="E35" s="94" t="s">
        <v>165</v>
      </c>
      <c r="F35" s="94" t="s">
        <v>165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.75" x14ac:dyDescent="0.4"/>
  <cols>
    <col min="1" max="1" width="14.25" customWidth="1"/>
    <col min="5" max="5" width="14.25" customWidth="1"/>
  </cols>
  <sheetData>
    <row r="2" spans="1:7" x14ac:dyDescent="0.4">
      <c r="A2" s="59" t="s">
        <v>95</v>
      </c>
      <c r="B2" s="59"/>
      <c r="C2" s="59"/>
      <c r="D2" s="59"/>
      <c r="E2" s="59"/>
      <c r="F2" s="59"/>
      <c r="G2" s="59"/>
    </row>
    <row r="3" spans="1:7" x14ac:dyDescent="0.4">
      <c r="A3" s="54" t="s">
        <v>102</v>
      </c>
    </row>
    <row r="4" spans="1:7" x14ac:dyDescent="0.4">
      <c r="A4" t="s">
        <v>100</v>
      </c>
      <c r="B4" t="s">
        <v>101</v>
      </c>
      <c r="E4">
        <v>1000</v>
      </c>
    </row>
    <row r="5" spans="1:7" x14ac:dyDescent="0.4">
      <c r="A5" t="s">
        <v>43</v>
      </c>
      <c r="B5" s="60">
        <v>8.5000000000000006E-2</v>
      </c>
    </row>
    <row r="6" spans="1:7" x14ac:dyDescent="0.4">
      <c r="A6" t="s">
        <v>104</v>
      </c>
      <c r="B6" s="60">
        <v>0.08</v>
      </c>
    </row>
    <row r="7" spans="1:7" x14ac:dyDescent="0.4">
      <c r="E7">
        <f>+E4*B5*B6</f>
      </c>
    </row>
    <row r="8" spans="1:7" x14ac:dyDescent="0.4">
      <c r="A8" s="54" t="s">
        <v>103</v>
      </c>
    </row>
    <row r="9" spans="1:7" x14ac:dyDescent="0.4">
      <c r="A9" t="s">
        <v>100</v>
      </c>
      <c r="B9" t="s">
        <v>101</v>
      </c>
      <c r="E9">
        <v>1000</v>
      </c>
    </row>
    <row r="10" spans="1:7" x14ac:dyDescent="0.4">
      <c r="A10" t="s">
        <v>43</v>
      </c>
      <c r="B10" s="60">
        <v>5.0000000000000001E-3</v>
      </c>
    </row>
    <row r="11" spans="1:7" x14ac:dyDescent="0.4">
      <c r="A11" t="s">
        <v>104</v>
      </c>
      <c r="B11" s="60">
        <v>0.08</v>
      </c>
    </row>
    <row r="12" spans="1:7" x14ac:dyDescent="0.4">
      <c r="E12">
        <f>+E9*B10*B11</f>
      </c>
    </row>
    <row r="13" spans="1:7" x14ac:dyDescent="0.4">
      <c r="A13" s="54" t="s">
        <v>105</v>
      </c>
      <c r="D13" t="s">
        <v>108</v>
      </c>
    </row>
    <row r="14" spans="1:7" x14ac:dyDescent="0.4">
      <c r="A14" t="s">
        <v>106</v>
      </c>
      <c r="B14" t="s">
        <v>101</v>
      </c>
      <c r="E14">
        <v>1000</v>
      </c>
    </row>
    <row r="15" spans="1:7" x14ac:dyDescent="0.4">
      <c r="A15" t="s">
        <v>43</v>
      </c>
      <c r="B15" s="60">
        <v>0.9</v>
      </c>
      <c r="C15" t="s">
        <v>107</v>
      </c>
    </row>
    <row r="16" spans="1:7" x14ac:dyDescent="0.4">
      <c r="A16" t="s">
        <v>104</v>
      </c>
      <c r="B16" s="60">
        <v>0.35</v>
      </c>
    </row>
    <row r="17" spans="1:10" x14ac:dyDescent="0.4">
      <c r="E17">
        <f>+E14*B15*B16</f>
      </c>
    </row>
    <row r="18" spans="1:10" x14ac:dyDescent="0.4">
      <c r="A18" s="54" t="s">
        <v>109</v>
      </c>
      <c r="D18" t="s">
        <v>108</v>
      </c>
    </row>
    <row r="19" spans="1:10" x14ac:dyDescent="0.4">
      <c r="A19" t="s">
        <v>100</v>
      </c>
      <c r="B19" s="60">
        <v>0.7</v>
      </c>
      <c r="C19" t="s">
        <v>101</v>
      </c>
      <c r="E19">
        <v>1000</v>
      </c>
    </row>
    <row r="20" spans="1:10" x14ac:dyDescent="0.4">
      <c r="A20" t="s">
        <v>43</v>
      </c>
      <c r="B20" s="60">
        <v>1</v>
      </c>
    </row>
    <row r="21" spans="1:10" x14ac:dyDescent="0.4">
      <c r="A21" t="s">
        <v>104</v>
      </c>
      <c r="B21" s="60">
        <v>0.2</v>
      </c>
    </row>
    <row r="22" spans="1:10" x14ac:dyDescent="0.4">
      <c r="E22">
        <f>+E19*B20*B21</f>
      </c>
    </row>
    <row r="23" spans="1:10" x14ac:dyDescent="0.4">
      <c r="A23" s="59" t="s">
        <v>96</v>
      </c>
      <c r="B23" s="59"/>
      <c r="C23" s="59" t="s">
        <v>99</v>
      </c>
      <c r="D23" s="59"/>
      <c r="E23" s="59"/>
      <c r="F23" s="59"/>
      <c r="G23" s="59"/>
      <c r="I23" s="67" t="s">
        <v>115</v>
      </c>
      <c r="J23" s="68"/>
    </row>
    <row r="24" spans="1:10" x14ac:dyDescent="0.4">
      <c r="A24" s="54" t="s">
        <v>97</v>
      </c>
      <c r="I24" s="66">
        <v>1</v>
      </c>
      <c r="J24" t="s">
        <v>116</v>
      </c>
    </row>
    <row r="25" spans="1:10" x14ac:dyDescent="0.4">
      <c r="A25" t="s">
        <v>42</v>
      </c>
      <c r="B25" s="61">
        <v>0.8</v>
      </c>
      <c r="I25" s="66">
        <v>2</v>
      </c>
      <c r="J25" t="s">
        <v>117</v>
      </c>
    </row>
    <row r="26" spans="1:10" x14ac:dyDescent="0.4">
      <c r="A26" t="s">
        <v>43</v>
      </c>
      <c r="B26" s="61">
        <v>0.06</v>
      </c>
      <c r="I26" s="66">
        <v>3</v>
      </c>
      <c r="J26" t="s">
        <v>118</v>
      </c>
    </row>
    <row r="27" spans="1:10" x14ac:dyDescent="0.4">
      <c r="A27" t="s">
        <v>98</v>
      </c>
      <c r="B27" s="61">
        <v>3.0000000000000001E-3</v>
      </c>
      <c r="I27" s="66">
        <v>4</v>
      </c>
      <c r="J27" t="s">
        <v>119</v>
      </c>
    </row>
    <row r="29" spans="1:10" x14ac:dyDescent="0.4">
      <c r="A29" s="54" t="s">
        <v>114</v>
      </c>
      <c r="I29" s="67" t="s">
        <v>120</v>
      </c>
      <c r="J29" s="68"/>
    </row>
    <row r="30" spans="1:10" x14ac:dyDescent="0.4">
      <c r="A30" t="s">
        <v>42</v>
      </c>
      <c r="B30" s="61">
        <v>0.75</v>
      </c>
      <c r="I30" s="66">
        <v>1</v>
      </c>
      <c r="J30" t="s">
        <v>121</v>
      </c>
    </row>
    <row r="31" spans="1:10" x14ac:dyDescent="0.4">
      <c r="A31" t="s">
        <v>43</v>
      </c>
      <c r="B31" s="61">
        <v>0.08</v>
      </c>
      <c r="I31" s="66">
        <v>2</v>
      </c>
      <c r="J31" t="s">
        <v>122</v>
      </c>
    </row>
    <row r="32" spans="1:10" x14ac:dyDescent="0.4">
      <c r="A32" t="s">
        <v>98</v>
      </c>
      <c r="B32" s="61">
        <v>6.0000000000000001E-3</v>
      </c>
      <c r="I32" s="66">
        <v>3</v>
      </c>
      <c r="J32" t="s">
        <v>123</v>
      </c>
    </row>
    <row r="33" spans="1:10" x14ac:dyDescent="0.4">
      <c r="I33" s="66">
        <v>4</v>
      </c>
      <c r="J33" t="s">
        <v>124</v>
      </c>
    </row>
    <row r="34" spans="1:10" x14ac:dyDescent="0.4">
      <c r="A34" s="54" t="s">
        <v>110</v>
      </c>
    </row>
    <row r="35" spans="1:10" x14ac:dyDescent="0.4">
      <c r="A35" t="s">
        <v>42</v>
      </c>
      <c r="B35" s="62" t="s">
        <v>23</v>
      </c>
    </row>
    <row r="36" spans="1:10" x14ac:dyDescent="0.4">
      <c r="A36" t="s">
        <v>43</v>
      </c>
      <c r="B36" s="61">
        <v>0.02</v>
      </c>
    </row>
    <row r="37" spans="1:10" x14ac:dyDescent="0.4">
      <c r="A37" t="s">
        <v>98</v>
      </c>
      <c r="B37" s="61">
        <v>4.0000000000000001E-3</v>
      </c>
    </row>
    <row r="39" spans="1:10" x14ac:dyDescent="0.4">
      <c r="A39" s="54" t="s">
        <v>111</v>
      </c>
      <c r="E39" s="54" t="s">
        <v>112</v>
      </c>
    </row>
    <row r="40" spans="1:10" x14ac:dyDescent="0.4">
      <c r="A40" t="s">
        <v>42</v>
      </c>
      <c r="B40" s="62">
        <v>1</v>
      </c>
      <c r="E40" t="s">
        <v>42</v>
      </c>
      <c r="F40" s="62" t="s">
        <v>23</v>
      </c>
    </row>
    <row r="41" spans="1:10" x14ac:dyDescent="0.4">
      <c r="A41" t="s">
        <v>43</v>
      </c>
      <c r="B41" s="61">
        <v>3.5000000000000003E-2</v>
      </c>
      <c r="E41" t="s">
        <v>113</v>
      </c>
      <c r="F41" s="61">
        <v>0.25</v>
      </c>
    </row>
    <row r="42" spans="1:10" x14ac:dyDescent="0.4">
      <c r="A42" t="s">
        <v>98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SIM_離脱防止＋サンクスLINE</vt:lpstr>
      <vt:lpstr>SIM_比較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佐村 徳人</cp:lastModifiedBy>
  <dcterms:created xsi:type="dcterms:W3CDTF">2025-11-21T11:18:04Z</dcterms:created>
  <dcterms:modified xsi:type="dcterms:W3CDTF">2026-09-04T07:26:53Z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
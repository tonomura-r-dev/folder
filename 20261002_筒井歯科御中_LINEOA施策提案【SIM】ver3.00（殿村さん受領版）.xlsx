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eda-ko\Downloads\"/>
    </mc:Choice>
  </mc:AlternateContent>
  <xr:revisionPtr revIDLastSave="0" documentId="8_{7FFE30EE-68E2-4DEF-847C-983B2DA42521}" xr6:coauthVersionLast="47" xr6:coauthVersionMax="47" xr10:uidLastSave="{00000000-0000-0000-0000-000000000000}"/>
  <bookViews>
    <workbookView xWindow="-110" yWindow="-110" windowWidth="19420" windowHeight="11500" xr2:uid="{02433765-3560-48F5-BC99-B30FC64129A4}"/>
  </bookViews>
  <sheets>
    <sheet name="SIM1_" sheetId="2" r:id="rId1"/>
    <sheet name="SIM1_比較" sheetId="6" r:id="rId2"/>
    <sheet name="SIM考え方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" l="1"/>
  <c r="E51" i="2"/>
  <c r="E47" i="2" s="1"/>
  <c r="B36" i="2"/>
  <c r="E22" i="2"/>
  <c r="H9" i="2"/>
  <c r="D15" i="2" s="1"/>
  <c r="Y19" i="2"/>
  <c r="E25" i="2"/>
  <c r="E24" i="2"/>
  <c r="F24" i="2" s="1"/>
  <c r="G24" i="2" s="1"/>
  <c r="H24" i="2" s="1"/>
  <c r="I24" i="2" s="1"/>
  <c r="J24" i="2" s="1"/>
  <c r="X18" i="6"/>
  <c r="J25" i="2"/>
  <c r="I25" i="2"/>
  <c r="H25" i="2"/>
  <c r="G25" i="2"/>
  <c r="F25" i="2"/>
  <c r="D16" i="2"/>
  <c r="C15" i="6" s="1"/>
  <c r="E20" i="6"/>
  <c r="D20" i="6"/>
  <c r="C20" i="6"/>
  <c r="E19" i="6"/>
  <c r="D19" i="6"/>
  <c r="C19" i="6"/>
  <c r="E18" i="6"/>
  <c r="D18" i="6"/>
  <c r="C18" i="6"/>
  <c r="E17" i="6"/>
  <c r="D17" i="6"/>
  <c r="C17" i="6"/>
  <c r="C8" i="6"/>
  <c r="C7" i="6"/>
  <c r="C6" i="6"/>
  <c r="C5" i="6"/>
  <c r="C4" i="6"/>
  <c r="K39" i="2"/>
  <c r="K38" i="2"/>
  <c r="K37" i="2"/>
  <c r="K36" i="2"/>
  <c r="D73" i="2"/>
  <c r="D34" i="2"/>
  <c r="C10" i="6" s="1"/>
  <c r="D31" i="2"/>
  <c r="D35" i="2" s="1"/>
  <c r="C11" i="6" s="1"/>
  <c r="C45" i="2"/>
  <c r="C51" i="2" s="1"/>
  <c r="E40" i="2"/>
  <c r="F27" i="2"/>
  <c r="D14" i="2"/>
  <c r="Q35" i="2"/>
  <c r="Q34" i="2"/>
  <c r="Q33" i="2"/>
  <c r="Q32" i="2"/>
  <c r="D45" i="2"/>
  <c r="D55" i="2"/>
  <c r="E12" i="7"/>
  <c r="E7" i="7"/>
  <c r="E22" i="7"/>
  <c r="E17" i="7"/>
  <c r="B39" i="2"/>
  <c r="B38" i="2"/>
  <c r="B37" i="2"/>
  <c r="J50" i="2"/>
  <c r="H50" i="2"/>
  <c r="F50" i="2"/>
  <c r="D40" i="2"/>
  <c r="F40" i="2" l="1"/>
  <c r="G40" i="2"/>
  <c r="C29" i="6"/>
  <c r="C30" i="6" s="1"/>
  <c r="C25" i="6" s="1"/>
  <c r="D75" i="2"/>
  <c r="D76" i="2" s="1"/>
  <c r="D41" i="2"/>
  <c r="C12" i="6"/>
  <c r="C16" i="6"/>
  <c r="D61" i="2"/>
  <c r="D51" i="2"/>
  <c r="E16" i="2"/>
  <c r="D15" i="6" s="1"/>
  <c r="E15" i="2"/>
  <c r="E14" i="2"/>
  <c r="G27" i="2"/>
  <c r="H27" i="2" s="1"/>
  <c r="I27" i="2" s="1"/>
  <c r="J27" i="2" s="1"/>
  <c r="I50" i="2"/>
  <c r="G50" i="2"/>
  <c r="P36" i="2"/>
  <c r="E23" i="2" l="1"/>
  <c r="H40" i="2"/>
  <c r="C13" i="6"/>
  <c r="F16" i="2"/>
  <c r="F15" i="2"/>
  <c r="F14" i="2"/>
  <c r="G14" i="2" s="1"/>
  <c r="H14" i="2" s="1"/>
  <c r="I14" i="2" s="1"/>
  <c r="J14" i="2" s="1"/>
  <c r="D54" i="2"/>
  <c r="C22" i="6"/>
  <c r="C23" i="6"/>
  <c r="D16" i="6"/>
  <c r="G16" i="2" l="1"/>
  <c r="H16" i="2" s="1"/>
  <c r="I16" i="2" s="1"/>
  <c r="J16" i="2" s="1"/>
  <c r="E15" i="6"/>
  <c r="G15" i="2"/>
  <c r="H15" i="2" s="1"/>
  <c r="I15" i="2" s="1"/>
  <c r="J15" i="2" s="1"/>
  <c r="F23" i="2"/>
  <c r="I40" i="2"/>
  <c r="G23" i="2" l="1"/>
  <c r="J40" i="2"/>
  <c r="K40" i="2" s="1"/>
  <c r="H23" i="2" l="1"/>
  <c r="E16" i="6"/>
  <c r="I23" i="2" l="1"/>
  <c r="J23" i="2" l="1"/>
  <c r="F22" i="2"/>
  <c r="F26" i="2" s="1"/>
  <c r="E26" i="2"/>
  <c r="E28" i="2" s="1"/>
  <c r="E29" i="2" s="1"/>
  <c r="E34" i="2" s="1"/>
  <c r="E65" i="2" s="1"/>
  <c r="G22" i="2" l="1"/>
  <c r="G26" i="2" s="1"/>
  <c r="E56" i="2"/>
  <c r="E75" i="2"/>
  <c r="E68" i="2"/>
  <c r="E45" i="2" s="1"/>
  <c r="E33" i="2"/>
  <c r="E31" i="2"/>
  <c r="E35" i="2" s="1"/>
  <c r="F28" i="2"/>
  <c r="E46" i="2"/>
  <c r="H22" i="2" l="1"/>
  <c r="I22" i="2" s="1"/>
  <c r="F29" i="2"/>
  <c r="G28" i="2"/>
  <c r="E41" i="2"/>
  <c r="E58" i="2"/>
  <c r="E48" i="2"/>
  <c r="E76" i="2"/>
  <c r="E44" i="2" s="1"/>
  <c r="E73" i="2"/>
  <c r="H26" i="2" l="1"/>
  <c r="H28" i="2" s="1"/>
  <c r="E49" i="2"/>
  <c r="F33" i="2"/>
  <c r="F34" i="2"/>
  <c r="F31" i="2"/>
  <c r="F35" i="2" s="1"/>
  <c r="G29" i="2"/>
  <c r="D6" i="6"/>
  <c r="I26" i="2"/>
  <c r="J22" i="2"/>
  <c r="J26" i="2" s="1"/>
  <c r="E54" i="2"/>
  <c r="I28" i="2" l="1"/>
  <c r="H29" i="2"/>
  <c r="E61" i="2"/>
  <c r="E57" i="2" s="1"/>
  <c r="E55" i="2"/>
  <c r="E59" i="2" s="1"/>
  <c r="D8" i="6"/>
  <c r="D7" i="6" s="1"/>
  <c r="G31" i="2"/>
  <c r="G34" i="2"/>
  <c r="G33" i="2"/>
  <c r="F58" i="2"/>
  <c r="F41" i="2"/>
  <c r="F48" i="2"/>
  <c r="F65" i="2"/>
  <c r="F68" i="2"/>
  <c r="F75" i="2"/>
  <c r="F46" i="2" l="1"/>
  <c r="F56" i="2"/>
  <c r="F73" i="2"/>
  <c r="F45" i="2"/>
  <c r="D10" i="6"/>
  <c r="D29" i="6" s="1"/>
  <c r="G65" i="2"/>
  <c r="G68" i="2"/>
  <c r="G75" i="2"/>
  <c r="G35" i="2"/>
  <c r="F76" i="2"/>
  <c r="F44" i="2" s="1"/>
  <c r="H33" i="2"/>
  <c r="H34" i="2"/>
  <c r="H31" i="2"/>
  <c r="J28" i="2"/>
  <c r="I29" i="2"/>
  <c r="F54" i="2" l="1"/>
  <c r="F61" i="2" s="1"/>
  <c r="F57" i="2" s="1"/>
  <c r="G76" i="2"/>
  <c r="G44" i="2" s="1"/>
  <c r="F51" i="2"/>
  <c r="G45" i="2"/>
  <c r="G73" i="2"/>
  <c r="G56" i="2"/>
  <c r="G46" i="2"/>
  <c r="I33" i="2"/>
  <c r="I34" i="2"/>
  <c r="I31" i="2"/>
  <c r="D30" i="6"/>
  <c r="D25" i="6" s="1"/>
  <c r="J29" i="2"/>
  <c r="E6" i="6"/>
  <c r="H35" i="2"/>
  <c r="G41" i="2"/>
  <c r="G58" i="2"/>
  <c r="G48" i="2"/>
  <c r="D11" i="6"/>
  <c r="H75" i="2"/>
  <c r="H65" i="2"/>
  <c r="H68" i="2"/>
  <c r="F55" i="2" l="1"/>
  <c r="F59" i="2" s="1"/>
  <c r="G54" i="2"/>
  <c r="G51" i="2"/>
  <c r="G49" i="2" s="1"/>
  <c r="H76" i="2"/>
  <c r="H44" i="2" s="1"/>
  <c r="I68" i="2"/>
  <c r="I65" i="2"/>
  <c r="I75" i="2"/>
  <c r="H48" i="2"/>
  <c r="H58" i="2"/>
  <c r="H41" i="2"/>
  <c r="J31" i="2"/>
  <c r="J34" i="2"/>
  <c r="E8" i="6"/>
  <c r="E7" i="6" s="1"/>
  <c r="J33" i="2"/>
  <c r="F49" i="2"/>
  <c r="F47" i="2"/>
  <c r="H56" i="2"/>
  <c r="H73" i="2"/>
  <c r="H46" i="2"/>
  <c r="H45" i="2"/>
  <c r="I35" i="2"/>
  <c r="J35" i="2" l="1"/>
  <c r="D4" i="6"/>
  <c r="D22" i="6" s="1"/>
  <c r="G47" i="2"/>
  <c r="G61" i="2"/>
  <c r="G55" i="2"/>
  <c r="G59" i="2" s="1"/>
  <c r="H51" i="2"/>
  <c r="J41" i="2"/>
  <c r="E11" i="6"/>
  <c r="J48" i="2"/>
  <c r="J58" i="2"/>
  <c r="I56" i="2"/>
  <c r="I45" i="2"/>
  <c r="I73" i="2"/>
  <c r="I46" i="2"/>
  <c r="I41" i="2"/>
  <c r="I58" i="2"/>
  <c r="I48" i="2"/>
  <c r="H54" i="2"/>
  <c r="I76" i="2"/>
  <c r="I44" i="2" s="1"/>
  <c r="J65" i="2"/>
  <c r="J75" i="2"/>
  <c r="E10" i="6"/>
  <c r="E29" i="6" s="1"/>
  <c r="J68" i="2"/>
  <c r="D12" i="6" l="1"/>
  <c r="G57" i="2"/>
  <c r="D5" i="6"/>
  <c r="I54" i="2"/>
  <c r="H47" i="2"/>
  <c r="H49" i="2"/>
  <c r="E30" i="6"/>
  <c r="E25" i="6"/>
  <c r="J76" i="2"/>
  <c r="J44" i="2" s="1"/>
  <c r="J46" i="2"/>
  <c r="J73" i="2"/>
  <c r="J56" i="2"/>
  <c r="J45" i="2"/>
  <c r="I51" i="2"/>
  <c r="H61" i="2"/>
  <c r="H57" i="2" s="1"/>
  <c r="H55" i="2"/>
  <c r="H59" i="2" s="1"/>
  <c r="J54" i="2" l="1"/>
  <c r="J51" i="2"/>
  <c r="J49" i="2" s="1"/>
  <c r="I55" i="2"/>
  <c r="I59" i="2" s="1"/>
  <c r="I61" i="2"/>
  <c r="I57" i="2" s="1"/>
  <c r="D23" i="6"/>
  <c r="D13" i="6"/>
  <c r="I47" i="2"/>
  <c r="I49" i="2"/>
  <c r="J55" i="2" l="1"/>
  <c r="J59" i="2" s="1"/>
  <c r="J61" i="2"/>
  <c r="E4" i="6"/>
  <c r="E22" i="6" s="1"/>
  <c r="J47" i="2"/>
  <c r="E12" i="6" l="1"/>
  <c r="E5" i="6"/>
  <c r="J57" i="2"/>
  <c r="E23" i="6" l="1"/>
  <c r="E13" i="6"/>
</calcChain>
</file>

<file path=xl/sharedStrings.xml><?xml version="1.0" encoding="utf-8"?>
<sst xmlns="http://schemas.openxmlformats.org/spreadsheetml/2006/main" count="279" uniqueCount="196">
  <si>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</si>
  <si>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</si>
  <si>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</si>
  <si>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</si>
  <si>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</si>
  <si>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</si>
  <si>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</si>
  <si>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</si>
  <si>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</si>
  <si>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</si>
  <si>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</si>
  <si>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</si>
  <si>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</si>
  <si>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</si>
  <si>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</si>
  <si>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</si>
  <si>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</si>
  <si>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</si>
  <si>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</si>
  <si>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</si>
  <si>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</si>
  <si>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</si>
  <si>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</si>
  <si>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</si>
  <si>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</si>
  <si>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</si>
  <si>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</si>
  <si>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</si>
  <si>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</si>
  <si>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</si>
  <si>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</si>
  <si>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</si>
  <si>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</si>
  <si>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</si>
  <si>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</si>
  <si>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</si>
  <si>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</si>
  <si>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</si>
  <si>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</si>
  <si>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</si>
  <si>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</si>
  <si>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</si>
  <si>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</si>
  <si>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</si>
  <si>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</si>
  <si>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</si>
  <si>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</si>
  <si>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</si>
  <si>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</si>
  <si>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</si>
  <si>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</si>
  <si>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</si>
  <si>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</si>
  <si>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</si>
  <si>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</si>
  <si>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</si>
  <si>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</si>
  <si>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</si>
  <si>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</si>
  <si>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</si>
  <si>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</si>
  <si>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</si>
  <si>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</si>
  <si>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</si>
  <si>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</si>
  <si>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</si>
  <si>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</si>
  <si>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</si>
  <si>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</si>
  <si>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</si>
  <si>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</si>
  <si>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</si>
  <si>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</si>
  <si>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</si>
  <si>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</si>
  <si>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</si>
  <si>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</si>
  <si>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</si>
  <si>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</si>
  <si>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</si>
  <si>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</si>
  <si>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</si>
  <si>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</si>
  <si>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</si>
  <si>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</si>
  <si>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</si>
  <si>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</si>
  <si>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</si>
  <si>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</si>
  <si>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</si>
  <si>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</si>
  <si>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</si>
  <si>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</si>
  <si>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</si>
  <si>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</si>
  <si>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</si>
  <si>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</si>
  <si>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</si>
  <si>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</si>
  <si>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</si>
  <si>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</si>
  <si>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</si>
  <si>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</si>
  <si>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</si>
  <si>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</si>
  <si>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</si>
  <si>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</si>
  <si>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</si>
  <si>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</si>
  <si>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</si>
  <si>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</si>
  <si>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</si>
  <si>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</si>
  <si>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</si>
  <si>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</si>
  <si>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</si>
  <si>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</si>
  <si>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</si>
  <si>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</si>
  <si>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</si>
  <si>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</si>
  <si>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</si>
  <si>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</si>
  <si>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</si>
  <si>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</si>
  <si>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</si>
  <si>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</si>
  <si>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</si>
  <si>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</si>
  <si>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</si>
  <si>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</si>
  <si>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</si>
  <si>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</si>
  <si>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</si>
  <si>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</si>
  <si>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</si>
  <si>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</si>
  <si>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</si>
  <si>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</si>
  <si>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</si>
  <si>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</si>
  <si>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</si>
  <si>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</si>
  <si>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</si>
  <si>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</si>
  <si>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</si>
  <si>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</si>
  <si>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</si>
  <si>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</si>
  <si>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</si>
  <si>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</si>
  <si>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</si>
  <si>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</si>
  <si>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</si>
  <si>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</si>
  <si>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</si>
  <si>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</si>
  <si>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</si>
  <si>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</si>
  <si>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</si>
  <si>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</si>
  <si>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</si>
  <si>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</si>
  <si>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</si>
  <si>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</si>
  <si>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</si>
  <si>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</si>
  <si>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</si>
  <si>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</si>
  <si>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</si>
  <si>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</si>
  <si>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</si>
  <si>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</si>
  <si>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</si>
  <si>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</si>
  <si>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</si>
  <si>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</si>
  <si>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</si>
  <si>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</si>
  <si>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</si>
  <si>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</si>
  <si>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</si>
  <si>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</si>
  <si>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</si>
  <si>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</si>
  <si>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</si>
  <si>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</si>
  <si>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</si>
  <si>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</si>
  <si>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</si>
  <si>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</si>
  <si>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</si>
  <si>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</si>
  <si>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筒井歯科御中_LINEOA施策提案【SIM】</t>
    <rPh sb="0" eb="2">
      <t>ツツイ</t>
    </rPh>
    <rPh sb="2" eb="4">
      <t>シカ</t>
    </rPh>
    <phoneticPr fontId="2"/>
  </si>
  <si>
    <t>CPF</t>
    <phoneticPr fontId="2"/>
  </si>
  <si>
    <t>カウンセリング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</si>
</sst>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0" borderId="1" xfId="2" applyNumberFormat="1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7"/>
  <sheetViews>
    <sheetView tabSelected="1" zoomScale="48" zoomScaleNormal="55" workbookViewId="0">
      <selection activeCell="A4" sqref="A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192</v>
      </c>
      <c r="B2" s="134">
        <v>46269</v>
      </c>
    </row>
    <row r="4" spans="1:25" ht="45.75" customHeight="1" x14ac:dyDescent="0.55000000000000004">
      <c r="A4" s="56" t="s">
        <v>193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188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8" thickBot="1" x14ac:dyDescent="0.6">
      <c r="A8" s="137" t="s">
        <v>7</v>
      </c>
      <c r="B8" s="19" t="s">
        <v>8</v>
      </c>
      <c r="C8" s="19" t="s">
        <v>195</v>
      </c>
      <c r="D8" s="33">
        <v>80000</v>
      </c>
      <c r="G8" s="121" t="s">
        <v>67</v>
      </c>
      <c r="H8" s="122">
        <v>13550</v>
      </c>
      <c r="I8" s="123"/>
      <c r="J8" s="123" t="s">
        <v>78</v>
      </c>
      <c r="K8" s="129">
        <v>1000</v>
      </c>
      <c r="N8" s="69" t="s">
        <v>126</v>
      </c>
      <c r="O8" s="35" t="s">
        <v>187</v>
      </c>
    </row>
    <row r="9" spans="1:25" ht="18" thickBot="1" x14ac:dyDescent="0.6">
      <c r="A9" s="138"/>
      <c r="B9" s="19" t="s">
        <v>9</v>
      </c>
      <c r="C9" s="38" t="s">
        <v>173</v>
      </c>
      <c r="D9" s="33">
        <v>0</v>
      </c>
      <c r="G9" s="124" t="s">
        <v>177</v>
      </c>
      <c r="H9" s="125">
        <f>H8*0.7</f>
        <v>9485</v>
      </c>
      <c r="I9" s="22"/>
      <c r="J9" s="29"/>
      <c r="K9" s="118"/>
      <c r="N9" s="132" t="s">
        <v>127</v>
      </c>
      <c r="O9" s="130" t="s">
        <v>186</v>
      </c>
      <c r="P9" s="131" t="b">
        <v>1</v>
      </c>
    </row>
    <row r="10" spans="1:25" x14ac:dyDescent="0.55000000000000004">
      <c r="A10" s="137" t="s">
        <v>10</v>
      </c>
      <c r="B10" s="19" t="s">
        <v>11</v>
      </c>
      <c r="C10" s="19" t="s">
        <v>182</v>
      </c>
      <c r="D10" s="33">
        <v>0</v>
      </c>
      <c r="G10" s="124" t="s">
        <v>144</v>
      </c>
      <c r="H10" s="125">
        <v>18</v>
      </c>
      <c r="I10" s="22" t="s">
        <v>185</v>
      </c>
      <c r="J10" s="29"/>
      <c r="K10" s="118"/>
      <c r="N10" s="132" t="s">
        <v>128</v>
      </c>
    </row>
    <row r="11" spans="1:25" ht="18" thickBot="1" x14ac:dyDescent="0.6">
      <c r="A11" s="138"/>
      <c r="B11" s="19" t="s">
        <v>12</v>
      </c>
      <c r="C11" s="38" t="s">
        <v>173</v>
      </c>
      <c r="D11" s="33">
        <v>0</v>
      </c>
      <c r="G11" s="126" t="s">
        <v>145</v>
      </c>
      <c r="H11" s="127">
        <v>0</v>
      </c>
      <c r="I11" s="128" t="s">
        <v>184</v>
      </c>
      <c r="J11" s="119"/>
      <c r="K11" s="120"/>
    </row>
    <row r="12" spans="1:25" x14ac:dyDescent="0.55000000000000004">
      <c r="O12" s="55" t="s">
        <v>79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33</v>
      </c>
      <c r="B14" s="20" t="s">
        <v>37</v>
      </c>
      <c r="C14" s="99"/>
      <c r="D14" s="42">
        <f>+H8</f>
        <v>13550</v>
      </c>
      <c r="E14" s="43">
        <f>+D14</f>
        <v>13550</v>
      </c>
      <c r="F14" s="43">
        <f t="shared" ref="F14:J14" si="0">+E14</f>
        <v>13550</v>
      </c>
      <c r="G14" s="43">
        <f t="shared" si="0"/>
        <v>13550</v>
      </c>
      <c r="H14" s="43">
        <f t="shared" si="0"/>
        <v>13550</v>
      </c>
      <c r="I14" s="43">
        <f t="shared" si="0"/>
        <v>13550</v>
      </c>
      <c r="J14" s="43">
        <f t="shared" si="0"/>
        <v>13550</v>
      </c>
      <c r="K14" s="11"/>
      <c r="L14" s="7"/>
    </row>
    <row r="15" spans="1:25" ht="19" x14ac:dyDescent="0.55000000000000004">
      <c r="A15" s="141"/>
      <c r="B15" s="20" t="s">
        <v>36</v>
      </c>
      <c r="C15" s="99"/>
      <c r="D15" s="42">
        <f t="shared" ref="D15" si="1">+H9</f>
        <v>9485</v>
      </c>
      <c r="E15" s="43">
        <f t="shared" ref="E15:J16" si="2">+D15</f>
        <v>9485</v>
      </c>
      <c r="F15" s="43">
        <f t="shared" si="2"/>
        <v>9485</v>
      </c>
      <c r="G15" s="43">
        <f t="shared" si="2"/>
        <v>9485</v>
      </c>
      <c r="H15" s="43">
        <f t="shared" si="2"/>
        <v>9485</v>
      </c>
      <c r="I15" s="43">
        <f t="shared" si="2"/>
        <v>9485</v>
      </c>
      <c r="J15" s="43">
        <f t="shared" si="2"/>
        <v>9485</v>
      </c>
      <c r="K15" s="11"/>
      <c r="L15" s="7"/>
      <c r="N15" s="69" t="s">
        <v>191</v>
      </c>
      <c r="O15" s="17" t="s">
        <v>34</v>
      </c>
      <c r="P15" s="79">
        <v>5.0000000000000001E-3</v>
      </c>
      <c r="S15" s="29" t="s">
        <v>48</v>
      </c>
    </row>
    <row r="16" spans="1:25" ht="19" x14ac:dyDescent="0.55000000000000004">
      <c r="A16" s="142"/>
      <c r="B16" s="20" t="s">
        <v>180</v>
      </c>
      <c r="C16" s="99"/>
      <c r="D16" s="42">
        <f>H10</f>
        <v>18</v>
      </c>
      <c r="E16" s="43">
        <f t="shared" si="2"/>
        <v>18</v>
      </c>
      <c r="F16" s="43">
        <f t="shared" si="2"/>
        <v>18</v>
      </c>
      <c r="G16" s="43">
        <f t="shared" si="2"/>
        <v>18</v>
      </c>
      <c r="H16" s="43">
        <f t="shared" si="2"/>
        <v>18</v>
      </c>
      <c r="I16" s="43">
        <f t="shared" si="2"/>
        <v>18</v>
      </c>
      <c r="J16" s="43">
        <f t="shared" si="2"/>
        <v>18</v>
      </c>
      <c r="K16" s="11"/>
      <c r="L16" s="7"/>
      <c r="N16" s="69" t="s">
        <v>190</v>
      </c>
      <c r="O16" s="17" t="s">
        <v>35</v>
      </c>
      <c r="P16" s="79">
        <v>2.5000000000000001E-3</v>
      </c>
      <c r="S16" s="5" t="s">
        <v>59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189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55000000000000004">
      <c r="A19" s="141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189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13</v>
      </c>
      <c r="B22" s="6" t="s">
        <v>4</v>
      </c>
      <c r="C22" s="17"/>
      <c r="D22" s="44" t="s">
        <v>22</v>
      </c>
      <c r="E22" s="63">
        <f>IF(E17=FALSE,0,IF(E66=0,0,IFERROR(E66/P30,"D66を記入してください")))</f>
        <v>166.66666666666666</v>
      </c>
      <c r="F22" s="63">
        <f>E22*1.01</f>
        <v>168.33333333333331</v>
      </c>
      <c r="G22" s="63">
        <f t="shared" ref="G22:J22" si="3">F22*1.01</f>
        <v>170.01666666666665</v>
      </c>
      <c r="H22" s="63">
        <f t="shared" si="3"/>
        <v>171.71683333333331</v>
      </c>
      <c r="I22" s="63">
        <f t="shared" si="3"/>
        <v>173.43400166666666</v>
      </c>
      <c r="J22" s="63">
        <f t="shared" si="3"/>
        <v>175.16834168333332</v>
      </c>
      <c r="K22" s="11"/>
      <c r="L22" s="7"/>
      <c r="N22" s="69" t="s">
        <v>138</v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22</v>
      </c>
      <c r="E23" s="46">
        <f>IF(E18=FALSE,0,E15*$P$18*0.08*0.08+(E14-E15)*$P$19*0.12*0.12)</f>
        <v>71.6524</v>
      </c>
      <c r="F23" s="46">
        <f>IF(F18=FALSE,0,F15*$P$18*0.08*0.08+(F14-F15)*$P$19*0.12*0.12)</f>
        <v>71.6524</v>
      </c>
      <c r="G23" s="63">
        <f t="shared" ref="G23:J24" si="4">F23*1.01</f>
        <v>72.368924000000007</v>
      </c>
      <c r="H23" s="63">
        <f t="shared" si="4"/>
        <v>73.092613240000006</v>
      </c>
      <c r="I23" s="63">
        <f t="shared" si="4"/>
        <v>73.823539372400006</v>
      </c>
      <c r="J23" s="63">
        <f t="shared" si="4"/>
        <v>74.561774766124003</v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131</v>
      </c>
      <c r="C24" s="17"/>
      <c r="D24" s="44" t="s">
        <v>22</v>
      </c>
      <c r="E24" s="46">
        <f>+IF(E19=FALSE,0,SUM(H10:H11)*0.15)</f>
        <v>0</v>
      </c>
      <c r="F24" s="63">
        <f>E24*1.01</f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70</v>
      </c>
      <c r="C25" s="17"/>
      <c r="D25" s="44" t="s">
        <v>22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17</v>
      </c>
      <c r="B26" s="145"/>
      <c r="C26" s="23"/>
      <c r="D26" s="44" t="s">
        <v>22</v>
      </c>
      <c r="E26" s="46">
        <f>+SUM(E22:E25)+$H$9*$P$16+($H$8-$H$9)*$P$15+IF(P9=FALSE,0,$K$8*0.15*0.08)</f>
        <v>294.35656666666665</v>
      </c>
      <c r="F26" s="46">
        <f t="shared" ref="F26:J26" si="6">+SUM(F22:F25)+$H$9*$P$16+($H$8-$H$9)*$P$15</f>
        <v>284.02323333333328</v>
      </c>
      <c r="G26" s="46">
        <f>+SUM(G22:G25)+$H$9*$P$16+($H$8-$H$9)*$P$15</f>
        <v>286.42309066666661</v>
      </c>
      <c r="H26" s="46">
        <f t="shared" si="6"/>
        <v>288.8469465733333</v>
      </c>
      <c r="I26" s="46">
        <f t="shared" si="6"/>
        <v>291.29504103906663</v>
      </c>
      <c r="J26" s="46">
        <f t="shared" si="6"/>
        <v>293.76761644945731</v>
      </c>
      <c r="K26" s="11"/>
      <c r="L26" s="7"/>
      <c r="N26" s="72" t="s">
        <v>143</v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16</v>
      </c>
      <c r="B27" s="145"/>
      <c r="C27" s="23"/>
      <c r="D27" s="107">
        <v>0</v>
      </c>
      <c r="E27" s="47">
        <v>0.316</v>
      </c>
      <c r="F27" s="47">
        <f>+E27*1.025</f>
        <v>0.32389999999999997</v>
      </c>
      <c r="G27" s="47">
        <f t="shared" ref="G27:J27" si="7">+F27*1.025</f>
        <v>0.33199749999999995</v>
      </c>
      <c r="H27" s="47">
        <f t="shared" si="7"/>
        <v>0.34029743749999991</v>
      </c>
      <c r="I27" s="47">
        <f t="shared" si="7"/>
        <v>0.34880487343749988</v>
      </c>
      <c r="J27" s="47">
        <f t="shared" si="7"/>
        <v>0.35752499527343734</v>
      </c>
      <c r="K27" s="11"/>
      <c r="L27" s="7"/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" x14ac:dyDescent="0.55000000000000004">
      <c r="A28" s="146" t="s">
        <v>14</v>
      </c>
      <c r="B28" s="147"/>
      <c r="C28" s="101"/>
      <c r="D28" s="106">
        <v>0</v>
      </c>
      <c r="E28" s="49">
        <f>+D28+E26</f>
        <v>294.35656666666665</v>
      </c>
      <c r="F28" s="49">
        <f t="shared" ref="F28:J28" si="8">+E28+F26</f>
        <v>578.37979999999993</v>
      </c>
      <c r="G28" s="49">
        <f t="shared" si="8"/>
        <v>864.8028906666666</v>
      </c>
      <c r="H28" s="49">
        <f t="shared" si="8"/>
        <v>1153.6498372399999</v>
      </c>
      <c r="I28" s="49">
        <f t="shared" si="8"/>
        <v>1444.9448782790664</v>
      </c>
      <c r="J28" s="49">
        <f t="shared" si="8"/>
        <v>1738.7124947285238</v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15</v>
      </c>
      <c r="B29" s="149"/>
      <c r="C29" s="102"/>
      <c r="D29" s="108">
        <v>0</v>
      </c>
      <c r="E29" s="50">
        <f>+E28*(1-E27)</f>
        <v>201.33989159999996</v>
      </c>
      <c r="F29" s="50">
        <f t="shared" ref="F29:J29" si="9">+F28*(1-F27)</f>
        <v>391.04258277999998</v>
      </c>
      <c r="G29" s="50">
        <f t="shared" si="9"/>
        <v>577.69049297256004</v>
      </c>
      <c r="H29" s="50">
        <f t="shared" si="9"/>
        <v>761.06575385493602</v>
      </c>
      <c r="I29" s="50">
        <f t="shared" si="9"/>
        <v>940.94106288677301</v>
      </c>
      <c r="J29" s="50">
        <f t="shared" si="9"/>
        <v>1117.0793182688417</v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" x14ac:dyDescent="0.55000000000000004">
      <c r="A30" s="135" t="s">
        <v>24</v>
      </c>
      <c r="B30" s="136"/>
      <c r="C30" s="30"/>
      <c r="D30" s="48">
        <v>0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158</v>
      </c>
      <c r="O30" s="17" t="s">
        <v>137</v>
      </c>
      <c r="P30" s="76">
        <v>300</v>
      </c>
      <c r="S30" s="34"/>
      <c r="U30" s="34"/>
      <c r="W30" s="34"/>
      <c r="Y30" s="34"/>
      <c r="Z30" s="35"/>
    </row>
    <row r="31" spans="1:26" ht="19" x14ac:dyDescent="0.55000000000000004">
      <c r="A31" s="144" t="s">
        <v>25</v>
      </c>
      <c r="B31" s="145"/>
      <c r="C31" s="23"/>
      <c r="D31" s="108">
        <f>+D30*D29*0.41*0.07</f>
        <v>0</v>
      </c>
      <c r="E31" s="63">
        <f>+E29*E30*$P$24*$P$22*$P$23*$P$36</f>
        <v>55.183140846580045</v>
      </c>
      <c r="F31" s="63">
        <f>+F29*F30*$P$24*$P$22*$P$23*$P$36</f>
        <v>107.17676338790272</v>
      </c>
      <c r="G31" s="63">
        <f>+G29*G30*$P$24*$P$22*$P$23*$P$36</f>
        <v>158.33313302248271</v>
      </c>
      <c r="H31" s="63">
        <f>+H29*H30*$P$24*$P$22*$P$23*$P$36*$Q$24</f>
        <v>166.87402920399933</v>
      </c>
      <c r="I31" s="63">
        <f>+I29*I30*$P$24*$P$22*$P$23*$P$36*$Q$24</f>
        <v>206.31413989143735</v>
      </c>
      <c r="J31" s="63">
        <f>+J29*J30*$P$24*$P$22*$P$23*$P$36*$Q$24</f>
        <v>244.93485068244127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31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32</v>
      </c>
      <c r="B33" s="145"/>
      <c r="C33" s="23"/>
      <c r="D33" s="44">
        <v>0</v>
      </c>
      <c r="E33" s="63">
        <f>+E29*E32*$P$26*$P$27*$P$28*$P$36</f>
        <v>51.292021940731445</v>
      </c>
      <c r="F33" s="63">
        <f t="shared" ref="F33:G33" si="10">+F29*F32*$P$26*$P$27*$P$28*$P$36</f>
        <v>99.619427507986487</v>
      </c>
      <c r="G33" s="63">
        <f t="shared" si="10"/>
        <v>147.16861723243588</v>
      </c>
      <c r="H33" s="63">
        <f>+H29*H32*$P$26*$P$27*$P$28*$P$36*$Q$28</f>
        <v>155.10727073448652</v>
      </c>
      <c r="I33" s="63">
        <f t="shared" ref="I33:J33" si="11">+I29*I32*$P$26*$P$27*$P$28*$P$36*$Q$28</f>
        <v>191.76634797601545</v>
      </c>
      <c r="J33" s="63">
        <f t="shared" si="11"/>
        <v>227.66380351893568</v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  <v>1.1000000000000001</v>
      </c>
    </row>
    <row r="34" spans="1:17" ht="19" x14ac:dyDescent="0.55000000000000004">
      <c r="A34" s="148" t="s">
        <v>27</v>
      </c>
      <c r="B34" s="149"/>
      <c r="C34" s="102"/>
      <c r="D34" s="108">
        <f>+D29*D30</f>
        <v>0</v>
      </c>
      <c r="E34" s="46">
        <f>+E29*E30*$P$24+E29*E32*$P$28</f>
        <v>885.89552303999994</v>
      </c>
      <c r="F34" s="46">
        <f>+F29*F30*$P$24+F29*F32*$P$28</f>
        <v>1720.5873642319998</v>
      </c>
      <c r="G34" s="46">
        <f>+G29*G30*$P$24+G29*G32*$P$28</f>
        <v>2541.8381690792639</v>
      </c>
      <c r="H34" s="46">
        <f>+H29*H30*$P$24*$Q$24+H29*H32*$P$28*$Q$28</f>
        <v>2678.9514535693752</v>
      </c>
      <c r="I34" s="46">
        <f>+I29*I30*$P$24*$Q$24+I29*I32*$P$28*$Q$28</f>
        <v>3312.1125413614418</v>
      </c>
      <c r="J34" s="46">
        <f>+J29*J30*$P$24*$Q$24+J29*J32*$P$28*$Q$28</f>
        <v>3932.1192003063234</v>
      </c>
      <c r="K34" s="11"/>
      <c r="L34" s="7"/>
      <c r="O34" s="17" t="s">
        <v>161</v>
      </c>
      <c r="P34" s="75" t="b">
        <v>1</v>
      </c>
      <c r="Q34" s="73">
        <f t="shared" si="12"/>
        <v>1.1000000000000001</v>
      </c>
    </row>
    <row r="35" spans="1:17" ht="19" x14ac:dyDescent="0.55000000000000004">
      <c r="A35" s="148" t="s">
        <v>26</v>
      </c>
      <c r="B35" s="149"/>
      <c r="C35" s="102"/>
      <c r="D35" s="109">
        <f>+D31*1.02</f>
        <v>0</v>
      </c>
      <c r="E35" s="50">
        <f>+E31+E33+1.05*(E31+E33)</f>
        <v>218.27408371398855</v>
      </c>
      <c r="F35" s="50">
        <f t="shared" ref="F35:J35" si="13">+F31+F33+1.05*(F31+F33)</f>
        <v>423.93219133657283</v>
      </c>
      <c r="G35" s="50">
        <f t="shared" si="13"/>
        <v>626.27858802258311</v>
      </c>
      <c r="H35" s="50">
        <f t="shared" si="13"/>
        <v>660.06166487389601</v>
      </c>
      <c r="I35" s="50">
        <f t="shared" si="13"/>
        <v>816.06500012827826</v>
      </c>
      <c r="J35" s="50">
        <f t="shared" si="13"/>
        <v>968.82724111282278</v>
      </c>
      <c r="K35" s="11"/>
      <c r="L35" s="7"/>
      <c r="O35" s="17" t="s">
        <v>162</v>
      </c>
      <c r="P35" s="75" t="b">
        <v>1</v>
      </c>
      <c r="Q35" s="73">
        <f t="shared" si="12"/>
        <v>1.1000000000000001</v>
      </c>
    </row>
    <row r="36" spans="1:17" x14ac:dyDescent="0.55000000000000004">
      <c r="A36" s="150" t="s">
        <v>7</v>
      </c>
      <c r="B36" s="6" t="str">
        <f>+C8</f>
        <v>カウンセリング</v>
      </c>
      <c r="C36" s="6"/>
      <c r="D36" s="11">
        <v>0</v>
      </c>
      <c r="E36" s="111">
        <v>1</v>
      </c>
      <c r="F36" s="111">
        <v>2</v>
      </c>
      <c r="G36" s="111">
        <v>3</v>
      </c>
      <c r="H36" s="111">
        <v>4</v>
      </c>
      <c r="I36" s="111">
        <v>4</v>
      </c>
      <c r="J36" s="111">
        <v>4</v>
      </c>
      <c r="K36" s="115">
        <f>SUM(E36:J36)</f>
        <v>18</v>
      </c>
      <c r="L36" s="7"/>
      <c r="N36" s="69" t="s">
        <v>134</v>
      </c>
      <c r="O36" s="17" t="s">
        <v>147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134</v>
      </c>
    </row>
    <row r="38" spans="1:17" x14ac:dyDescent="0.55000000000000004">
      <c r="A38" s="150" t="s">
        <v>10</v>
      </c>
      <c r="B38" s="6" t="str">
        <f>+C10</f>
        <v>購入（リピート）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135</v>
      </c>
      <c r="O38" s="21" t="s">
        <v>38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135</v>
      </c>
      <c r="O39" s="21" t="s">
        <v>39</v>
      </c>
    </row>
    <row r="40" spans="1:17" x14ac:dyDescent="0.55000000000000004">
      <c r="A40" s="152" t="s">
        <v>54</v>
      </c>
      <c r="B40" s="153"/>
      <c r="C40" s="97"/>
      <c r="D40" s="11">
        <f t="shared" ref="D40:J40" si="14">+SUM(D36:D39)</f>
        <v>0</v>
      </c>
      <c r="E40" s="10">
        <f t="shared" si="14"/>
        <v>1</v>
      </c>
      <c r="F40" s="10">
        <f t="shared" si="14"/>
        <v>2</v>
      </c>
      <c r="G40" s="10">
        <f t="shared" si="14"/>
        <v>3</v>
      </c>
      <c r="H40" s="10">
        <f t="shared" si="14"/>
        <v>4</v>
      </c>
      <c r="I40" s="10">
        <f t="shared" si="14"/>
        <v>4</v>
      </c>
      <c r="J40" s="10">
        <f t="shared" si="14"/>
        <v>4</v>
      </c>
      <c r="K40" s="115">
        <f>SUM(E40:J40)</f>
        <v>18</v>
      </c>
      <c r="L40" s="7"/>
      <c r="O40" s="17"/>
    </row>
    <row r="41" spans="1:17" x14ac:dyDescent="0.55000000000000004">
      <c r="B41" s="5" t="s">
        <v>68</v>
      </c>
      <c r="D41" s="18">
        <f t="shared" ref="D41" si="15">+IFERROR(D40/D35,0)</f>
        <v>0</v>
      </c>
      <c r="E41" s="18">
        <f>+IFERROR(E40/E35,0)</f>
        <v>4.5813959357187441E-3</v>
      </c>
      <c r="F41" s="18">
        <f t="shared" ref="F41:J41" si="16">+IFERROR(F40/F35,0)</f>
        <v>4.7177356211011079E-3</v>
      </c>
      <c r="G41" s="18">
        <f t="shared" si="16"/>
        <v>4.7902004912418021E-3</v>
      </c>
      <c r="H41" s="18">
        <f t="shared" si="16"/>
        <v>6.0600398612214437E-3</v>
      </c>
      <c r="I41" s="18">
        <f t="shared" si="16"/>
        <v>4.901570339827385E-3</v>
      </c>
      <c r="J41" s="18">
        <f t="shared" si="16"/>
        <v>4.1287030651672068E-3</v>
      </c>
      <c r="N41" s="69" t="s">
        <v>133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52</v>
      </c>
      <c r="C43" s="5" t="s">
        <v>178</v>
      </c>
      <c r="D43" s="5" t="s">
        <v>179</v>
      </c>
    </row>
    <row r="44" spans="1:17" x14ac:dyDescent="0.55000000000000004">
      <c r="A44" s="144" t="s">
        <v>28</v>
      </c>
      <c r="B44" s="145"/>
      <c r="C44" s="103"/>
      <c r="D44" s="16" t="s">
        <v>23</v>
      </c>
      <c r="E44" s="31">
        <f>+E75*E76</f>
        <v>0</v>
      </c>
      <c r="F44" s="31">
        <f t="shared" ref="F44:J44" si="17">+F75*F76</f>
        <v>0</v>
      </c>
      <c r="G44" s="31">
        <f t="shared" si="17"/>
        <v>0</v>
      </c>
      <c r="H44" s="31">
        <f t="shared" si="17"/>
        <v>0</v>
      </c>
      <c r="I44" s="31">
        <f t="shared" si="17"/>
        <v>0</v>
      </c>
      <c r="J44" s="31">
        <f t="shared" si="17"/>
        <v>0</v>
      </c>
      <c r="K44" s="11"/>
      <c r="L44" s="7"/>
    </row>
    <row r="45" spans="1:17" x14ac:dyDescent="0.55000000000000004">
      <c r="A45" s="144" t="s">
        <v>156</v>
      </c>
      <c r="B45" s="145"/>
      <c r="C45" s="104">
        <f>+SUM(C65:C72)</f>
        <v>0</v>
      </c>
      <c r="D45" s="80">
        <f>+SUM(D65:D72)</f>
        <v>260000</v>
      </c>
      <c r="E45" s="27">
        <f>SUM(E65:E69)+SUM(E71:E72)</f>
        <v>300000</v>
      </c>
      <c r="F45" s="27">
        <f t="shared" ref="F45:J45" si="18">SUM(F65:F69)+SUM(F71:F72)</f>
        <v>300000</v>
      </c>
      <c r="G45" s="27">
        <f t="shared" si="18"/>
        <v>300000</v>
      </c>
      <c r="H45" s="27">
        <f t="shared" si="18"/>
        <v>300000</v>
      </c>
      <c r="I45" s="27">
        <f t="shared" si="18"/>
        <v>300000</v>
      </c>
      <c r="J45" s="27">
        <f t="shared" si="18"/>
        <v>300000</v>
      </c>
      <c r="K45" s="11"/>
      <c r="L45" s="7"/>
    </row>
    <row r="46" spans="1:17" x14ac:dyDescent="0.55000000000000004">
      <c r="A46" s="144" t="s">
        <v>18</v>
      </c>
      <c r="B46" s="145"/>
      <c r="C46" s="103"/>
      <c r="D46" s="16" t="s">
        <v>23</v>
      </c>
      <c r="E46" s="28">
        <f>+SUM(E65:E67)/(E28-D28)</f>
        <v>271.77922648687866</v>
      </c>
      <c r="F46" s="28">
        <f>+SUM(F65:F67)/(F28-E28)</f>
        <v>281.6670983606154</v>
      </c>
      <c r="G46" s="28">
        <f>+SUM(G65:G67)/(G28-F28)</f>
        <v>279.30709012948387</v>
      </c>
      <c r="H46" s="28">
        <f>+SUM(H65:H67)/(H28-G28)</f>
        <v>276.96328782097532</v>
      </c>
      <c r="I46" s="28">
        <f>+SUM(I65:I67)/(I28-H28)</f>
        <v>274.63563991558283</v>
      </c>
      <c r="J46" s="28">
        <f>+SUM(J65:J67)/(J28-I28)</f>
        <v>272.32409401314652</v>
      </c>
      <c r="K46" s="11"/>
      <c r="L46" s="7"/>
    </row>
    <row r="47" spans="1:17" x14ac:dyDescent="0.55000000000000004">
      <c r="A47" s="144" t="s">
        <v>19</v>
      </c>
      <c r="B47" s="145"/>
      <c r="C47" s="103"/>
      <c r="D47" s="16" t="s">
        <v>23</v>
      </c>
      <c r="E47" s="28">
        <f>+E51/E35</f>
        <v>1740.9304555731228</v>
      </c>
      <c r="F47" s="28">
        <f t="shared" ref="E47:I47" si="19">+F51/F35</f>
        <v>1085.0791928532547</v>
      </c>
      <c r="G47" s="28">
        <f t="shared" si="19"/>
        <v>862.23608842352439</v>
      </c>
      <c r="H47" s="28">
        <f t="shared" si="19"/>
        <v>939.30617848932377</v>
      </c>
      <c r="I47" s="28">
        <f t="shared" si="19"/>
        <v>759.74340267324476</v>
      </c>
      <c r="J47" s="28">
        <f>+J51/J35</f>
        <v>639.9489751009171</v>
      </c>
      <c r="K47" s="11"/>
      <c r="L47" s="7"/>
    </row>
    <row r="48" spans="1:17" x14ac:dyDescent="0.55000000000000004">
      <c r="A48" s="144" t="s">
        <v>21</v>
      </c>
      <c r="B48" s="145"/>
      <c r="C48" s="103"/>
      <c r="D48" s="16" t="s">
        <v>23</v>
      </c>
      <c r="E48" s="32">
        <f t="shared" ref="E48:J48" si="20">+SUM(E36:E39)/E35</f>
        <v>4.5813959357187441E-3</v>
      </c>
      <c r="F48" s="32">
        <f t="shared" si="20"/>
        <v>4.7177356211011079E-3</v>
      </c>
      <c r="G48" s="32">
        <f t="shared" si="20"/>
        <v>4.7902004912418021E-3</v>
      </c>
      <c r="H48" s="32">
        <f t="shared" si="20"/>
        <v>6.0600398612214437E-3</v>
      </c>
      <c r="I48" s="32">
        <f t="shared" si="20"/>
        <v>4.901570339827385E-3</v>
      </c>
      <c r="J48" s="32">
        <f t="shared" si="20"/>
        <v>4.1287030651672068E-3</v>
      </c>
      <c r="K48" s="11"/>
      <c r="L48" s="7"/>
    </row>
    <row r="49" spans="1:12" x14ac:dyDescent="0.55000000000000004">
      <c r="A49" s="152" t="s">
        <v>20</v>
      </c>
      <c r="B49" s="153"/>
      <c r="C49" s="105"/>
      <c r="D49" s="16" t="s">
        <v>23</v>
      </c>
      <c r="E49" s="28">
        <f>+IFERROR(E51/SUM(E36:E39),0)</f>
        <v>380000</v>
      </c>
      <c r="F49" s="28">
        <f t="shared" ref="F49:J49" si="21">+IFERROR(F51/SUM(F36:F39),0)</f>
        <v>230000</v>
      </c>
      <c r="G49" s="28">
        <f t="shared" si="21"/>
        <v>180000</v>
      </c>
      <c r="H49" s="28">
        <f t="shared" si="21"/>
        <v>155000</v>
      </c>
      <c r="I49" s="28">
        <f t="shared" si="21"/>
        <v>155000</v>
      </c>
      <c r="J49" s="28">
        <f t="shared" si="21"/>
        <v>155000</v>
      </c>
      <c r="K49" s="11"/>
      <c r="L49" s="7"/>
    </row>
    <row r="50" spans="1:12" x14ac:dyDescent="0.55000000000000004">
      <c r="A50" s="152" t="s">
        <v>132</v>
      </c>
      <c r="B50" s="153"/>
      <c r="C50" s="105"/>
      <c r="D50" s="64" t="s">
        <v>23</v>
      </c>
      <c r="E50" s="156">
        <f>+E36*$D$8+E38*$D$10</f>
        <v>80000</v>
      </c>
      <c r="F50" s="65">
        <f t="shared" ref="F50:J50" si="22">+F36*$D$8+F38*$D$10</f>
        <v>160000</v>
      </c>
      <c r="G50" s="65">
        <f t="shared" si="22"/>
        <v>240000</v>
      </c>
      <c r="H50" s="65">
        <f t="shared" si="22"/>
        <v>320000</v>
      </c>
      <c r="I50" s="65">
        <f t="shared" si="22"/>
        <v>320000</v>
      </c>
      <c r="J50" s="65">
        <f t="shared" si="22"/>
        <v>320000</v>
      </c>
      <c r="K50" s="11"/>
      <c r="L50" s="7"/>
    </row>
    <row r="51" spans="1:12" x14ac:dyDescent="0.55000000000000004">
      <c r="A51" s="154" t="s">
        <v>71</v>
      </c>
      <c r="B51" s="155"/>
      <c r="C51" s="110">
        <f>+C45</f>
        <v>0</v>
      </c>
      <c r="D51" s="40">
        <f>+D45</f>
        <v>260000</v>
      </c>
      <c r="E51" s="40">
        <f>SUM(E45,E50)+E44</f>
        <v>380000</v>
      </c>
      <c r="F51" s="40">
        <f t="shared" ref="F51:I51" si="23">SUM(F45,F50)+F44</f>
        <v>460000</v>
      </c>
      <c r="G51" s="40">
        <f t="shared" si="23"/>
        <v>540000</v>
      </c>
      <c r="H51" s="40">
        <f t="shared" si="23"/>
        <v>620000</v>
      </c>
      <c r="I51" s="40">
        <f t="shared" si="23"/>
        <v>620000</v>
      </c>
      <c r="J51" s="40">
        <f>SUM(J45,J50)+J44</f>
        <v>620000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69</v>
      </c>
    </row>
    <row r="54" spans="1:12" hidden="1" x14ac:dyDescent="0.55000000000000004">
      <c r="A54" s="144" t="s">
        <v>28</v>
      </c>
      <c r="B54" s="145"/>
      <c r="C54" s="96"/>
      <c r="D54" s="28">
        <f>+D75*D76</f>
        <v>0</v>
      </c>
      <c r="E54" s="28">
        <f t="shared" ref="E54:J54" si="24">+E75*E76</f>
        <v>0</v>
      </c>
      <c r="F54" s="28">
        <f t="shared" si="24"/>
        <v>0</v>
      </c>
      <c r="G54" s="28">
        <f t="shared" si="24"/>
        <v>0</v>
      </c>
      <c r="H54" s="28">
        <f t="shared" si="24"/>
        <v>0</v>
      </c>
      <c r="I54" s="28">
        <f t="shared" si="24"/>
        <v>0</v>
      </c>
      <c r="J54" s="28">
        <f t="shared" si="24"/>
        <v>0</v>
      </c>
      <c r="K54" s="11"/>
      <c r="L54" s="7"/>
    </row>
    <row r="55" spans="1:12" hidden="1" x14ac:dyDescent="0.55000000000000004">
      <c r="A55" s="144" t="s">
        <v>156</v>
      </c>
      <c r="B55" s="145"/>
      <c r="C55" s="96"/>
      <c r="D55" s="27">
        <f>+SUM(D65:D72)</f>
        <v>260000</v>
      </c>
      <c r="E55" s="27">
        <f>SUM(E65:E72)+E54</f>
        <v>300000</v>
      </c>
      <c r="F55" s="27">
        <f>SUM(F65:F72)+F54</f>
        <v>300000</v>
      </c>
      <c r="G55" s="27">
        <f>SUM(G65:G72)+G54</f>
        <v>300000</v>
      </c>
      <c r="H55" s="27">
        <f>SUM(H65:H72)+H54</f>
        <v>300000</v>
      </c>
      <c r="I55" s="27">
        <f>SUM(I65:I72)+I54</f>
        <v>300000</v>
      </c>
      <c r="J55" s="27">
        <f>SUM(J65:J72)+J54</f>
        <v>300000</v>
      </c>
      <c r="K55" s="11"/>
      <c r="L55" s="7"/>
    </row>
    <row r="56" spans="1:12" hidden="1" x14ac:dyDescent="0.55000000000000004">
      <c r="A56" s="144" t="s">
        <v>18</v>
      </c>
      <c r="B56" s="145"/>
      <c r="C56" s="96"/>
      <c r="D56" s="39" t="s">
        <v>23</v>
      </c>
      <c r="E56" s="28">
        <f>+SUM(E65:E67)/(E28-D28)</f>
        <v>271.77922648687866</v>
      </c>
      <c r="F56" s="28">
        <f>+SUM(F65:F67)/(F28-E28)</f>
        <v>281.6670983606154</v>
      </c>
      <c r="G56" s="28">
        <f>+SUM(G65:G67)/(G28-F28)</f>
        <v>279.30709012948387</v>
      </c>
      <c r="H56" s="28">
        <f>+SUM(H65:H67)/(H28-G28)</f>
        <v>276.96328782097532</v>
      </c>
      <c r="I56" s="28">
        <f>+SUM(I65:I67)/(I28-H28)</f>
        <v>274.63563991558283</v>
      </c>
      <c r="J56" s="28">
        <f>+SUM(J65:J67)/(J28-I28)</f>
        <v>272.32409401314652</v>
      </c>
      <c r="K56" s="11"/>
      <c r="L56" s="7"/>
    </row>
    <row r="57" spans="1:12" hidden="1" x14ac:dyDescent="0.55000000000000004">
      <c r="A57" s="144" t="s">
        <v>19</v>
      </c>
      <c r="B57" s="145"/>
      <c r="C57" s="96"/>
      <c r="D57" s="39" t="s">
        <v>23</v>
      </c>
      <c r="E57" s="28">
        <f>+E61/E35</f>
        <v>1374.4187807156231</v>
      </c>
      <c r="F57" s="28">
        <f t="shared" ref="F57:J57" si="25">+F61/F35</f>
        <v>707.66034316516618</v>
      </c>
      <c r="G57" s="28">
        <f t="shared" si="25"/>
        <v>479.02004912418022</v>
      </c>
      <c r="H57" s="28">
        <f t="shared" si="25"/>
        <v>454.5029895916083</v>
      </c>
      <c r="I57" s="28">
        <f t="shared" si="25"/>
        <v>367.6177754870539</v>
      </c>
      <c r="J57" s="28">
        <f t="shared" si="25"/>
        <v>309.65272988754054</v>
      </c>
      <c r="K57" s="11"/>
      <c r="L57" s="7"/>
    </row>
    <row r="58" spans="1:12" hidden="1" x14ac:dyDescent="0.55000000000000004">
      <c r="A58" s="144" t="s">
        <v>21</v>
      </c>
      <c r="B58" s="145"/>
      <c r="C58" s="96"/>
      <c r="D58" s="39" t="s">
        <v>23</v>
      </c>
      <c r="E58" s="32">
        <f t="shared" ref="E58:J58" si="26">+SUM(E36:E39)/E35</f>
        <v>4.5813959357187441E-3</v>
      </c>
      <c r="F58" s="32">
        <f t="shared" si="26"/>
        <v>4.7177356211011079E-3</v>
      </c>
      <c r="G58" s="32">
        <f t="shared" si="26"/>
        <v>4.7902004912418021E-3</v>
      </c>
      <c r="H58" s="32">
        <f t="shared" si="26"/>
        <v>6.0600398612214437E-3</v>
      </c>
      <c r="I58" s="32">
        <f t="shared" si="26"/>
        <v>4.901570339827385E-3</v>
      </c>
      <c r="J58" s="32">
        <f t="shared" si="26"/>
        <v>4.1287030651672068E-3</v>
      </c>
      <c r="K58" s="11"/>
      <c r="L58" s="7"/>
    </row>
    <row r="59" spans="1:12" hidden="1" x14ac:dyDescent="0.55000000000000004">
      <c r="A59" s="152" t="s">
        <v>20</v>
      </c>
      <c r="B59" s="153"/>
      <c r="C59" s="97"/>
      <c r="D59" s="28"/>
      <c r="E59" s="28">
        <f>+IFERROR(E55/E40,0)</f>
        <v>300000</v>
      </c>
      <c r="F59" s="28">
        <f t="shared" ref="F59:J59" si="27">+IFERROR(F55/F40,0)</f>
        <v>150000</v>
      </c>
      <c r="G59" s="28">
        <f t="shared" si="27"/>
        <v>100000</v>
      </c>
      <c r="H59" s="28">
        <f t="shared" si="27"/>
        <v>75000</v>
      </c>
      <c r="I59" s="28">
        <f t="shared" si="27"/>
        <v>75000</v>
      </c>
      <c r="J59" s="28">
        <f t="shared" si="27"/>
        <v>75000</v>
      </c>
      <c r="K59" s="11"/>
      <c r="L59" s="7"/>
    </row>
    <row r="60" spans="1:12" hidden="1" x14ac:dyDescent="0.55000000000000004">
      <c r="A60" s="152" t="s">
        <v>132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71</v>
      </c>
      <c r="B61" s="155"/>
      <c r="C61" s="98"/>
      <c r="D61" s="40">
        <f>+D55</f>
        <v>260000</v>
      </c>
      <c r="E61" s="40">
        <f>+SUM(E65:E72)+E54</f>
        <v>300000</v>
      </c>
      <c r="F61" s="40">
        <f>+SUM(F65:F72)+F54</f>
        <v>300000</v>
      </c>
      <c r="G61" s="40">
        <f>+SUM(G65:G72)+G54</f>
        <v>300000</v>
      </c>
      <c r="H61" s="40">
        <f>+SUM(H65:H72)+H54</f>
        <v>300000</v>
      </c>
      <c r="I61" s="40">
        <f>+SUM(I65:I72)+I54</f>
        <v>300000</v>
      </c>
      <c r="J61" s="40">
        <f>+SUM(J65:J72)+J54</f>
        <v>300000</v>
      </c>
      <c r="K61" s="11"/>
      <c r="L61" s="7"/>
    </row>
    <row r="62" spans="1:12" hidden="1" x14ac:dyDescent="0.55000000000000004"/>
    <row r="64" spans="1:12" x14ac:dyDescent="0.55000000000000004">
      <c r="C64" s="5" t="s">
        <v>178</v>
      </c>
      <c r="D64" s="5" t="s">
        <v>179</v>
      </c>
    </row>
    <row r="65" spans="1:16" x14ac:dyDescent="0.55000000000000004">
      <c r="A65" s="52" t="s">
        <v>29</v>
      </c>
      <c r="B65" s="6" t="s">
        <v>28</v>
      </c>
      <c r="C65" s="90">
        <v>0</v>
      </c>
      <c r="D65" s="51">
        <v>0</v>
      </c>
      <c r="E65" s="28">
        <f>MAX(0,15000+(E34-30000)*2.75)</f>
        <v>0</v>
      </c>
      <c r="F65" s="28">
        <f>MAX(0,15000+(F34-30000)*2.75)</f>
        <v>0</v>
      </c>
      <c r="G65" s="28">
        <f>MAX(0,15000+(G34-30000)*2.75)</f>
        <v>0</v>
      </c>
      <c r="H65" s="28">
        <f>MAX(0,15000+(H34-30000)*2.75)</f>
        <v>0</v>
      </c>
      <c r="I65" s="28">
        <f>MAX(0,15000+(I34-30000)*2.75)</f>
        <v>0</v>
      </c>
      <c r="J65" s="28">
        <f>MAX(0,15000+(J34-30000)*2.75)</f>
        <v>0</v>
      </c>
    </row>
    <row r="66" spans="1:16" x14ac:dyDescent="0.55000000000000004">
      <c r="A66" s="53" t="s">
        <v>51</v>
      </c>
      <c r="B66" s="6" t="s">
        <v>194</v>
      </c>
      <c r="C66" s="90">
        <v>0</v>
      </c>
      <c r="D66" s="51">
        <v>15000</v>
      </c>
      <c r="E66" s="28">
        <v>50000</v>
      </c>
      <c r="F66" s="28">
        <v>50000</v>
      </c>
      <c r="G66" s="28">
        <v>50000</v>
      </c>
      <c r="H66" s="28">
        <v>50000</v>
      </c>
      <c r="I66" s="28">
        <v>50000</v>
      </c>
      <c r="J66" s="28">
        <v>50000</v>
      </c>
      <c r="N66" s="69" t="s">
        <v>149</v>
      </c>
    </row>
    <row r="67" spans="1:16" x14ac:dyDescent="0.55000000000000004">
      <c r="B67" s="6" t="s">
        <v>5</v>
      </c>
      <c r="C67" s="90">
        <v>0</v>
      </c>
      <c r="D67" s="51">
        <v>15000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148</v>
      </c>
    </row>
    <row r="68" spans="1:16" x14ac:dyDescent="0.55000000000000004">
      <c r="A68" s="15"/>
      <c r="B68" s="6" t="s">
        <v>6</v>
      </c>
      <c r="C68" s="90">
        <v>0</v>
      </c>
      <c r="D68" s="51">
        <v>30000</v>
      </c>
      <c r="E68" s="28">
        <f>IF(E34&lt;5000,5000,15000)</f>
        <v>5000</v>
      </c>
      <c r="F68" s="28">
        <f>IF(F34&lt;5000,5000,15000)</f>
        <v>5000</v>
      </c>
      <c r="G68" s="28">
        <f>IF(G34&lt;5000,5000,15000)</f>
        <v>5000</v>
      </c>
      <c r="H68" s="28">
        <f>IF(H34&lt;5000,5000,15000)</f>
        <v>5000</v>
      </c>
      <c r="I68" s="28">
        <f>IF(I34&lt;5000,5000,15000)</f>
        <v>5000</v>
      </c>
      <c r="J68" s="28">
        <f>IF(J34&lt;5000,5000,15000)</f>
        <v>5000</v>
      </c>
      <c r="N68" s="69" t="s">
        <v>155</v>
      </c>
      <c r="O68" s="17" t="s">
        <v>154</v>
      </c>
      <c r="P68" s="75">
        <v>5000</v>
      </c>
    </row>
    <row r="69" spans="1:16" x14ac:dyDescent="0.55000000000000004">
      <c r="A69" s="15"/>
      <c r="B69" s="6" t="s">
        <v>49</v>
      </c>
      <c r="C69" s="90">
        <v>0</v>
      </c>
      <c r="D69" s="51">
        <v>0</v>
      </c>
      <c r="E69" s="28">
        <v>15000</v>
      </c>
      <c r="F69" s="28">
        <v>15000</v>
      </c>
      <c r="G69" s="28">
        <v>15000</v>
      </c>
      <c r="H69" s="28">
        <v>15000</v>
      </c>
      <c r="I69" s="28">
        <v>15000</v>
      </c>
      <c r="J69" s="28">
        <v>15000</v>
      </c>
      <c r="N69" s="69" t="s">
        <v>152</v>
      </c>
      <c r="O69" s="5" t="s">
        <v>53</v>
      </c>
    </row>
    <row r="70" spans="1:16" x14ac:dyDescent="0.55000000000000004">
      <c r="A70" s="15"/>
      <c r="B70" s="6" t="s">
        <v>183</v>
      </c>
      <c r="C70" s="90">
        <v>0</v>
      </c>
      <c r="D70" s="51">
        <v>200000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55000000000000004">
      <c r="A71" s="15"/>
      <c r="B71" s="6" t="s">
        <v>58</v>
      </c>
      <c r="C71" s="90">
        <v>0</v>
      </c>
      <c r="D71" s="51">
        <v>0</v>
      </c>
      <c r="E71" s="28">
        <v>200000</v>
      </c>
      <c r="F71" s="28">
        <v>200000</v>
      </c>
      <c r="G71" s="28">
        <v>200000</v>
      </c>
      <c r="H71" s="28">
        <v>200000</v>
      </c>
      <c r="I71" s="28">
        <v>200000</v>
      </c>
      <c r="J71" s="28">
        <v>200000</v>
      </c>
      <c r="N71" s="69" t="s">
        <v>151</v>
      </c>
    </row>
    <row r="72" spans="1:16" x14ac:dyDescent="0.55000000000000004">
      <c r="A72" s="15"/>
      <c r="B72" s="6" t="s">
        <v>150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6" t="s">
        <v>64</v>
      </c>
      <c r="C73" s="113">
        <v>0</v>
      </c>
      <c r="D73" s="114">
        <f>SUM(D65:D72)</f>
        <v>260000</v>
      </c>
      <c r="E73" s="114">
        <f t="shared" ref="E73" si="28">SUM(E65:E72)</f>
        <v>300000</v>
      </c>
      <c r="F73" s="114">
        <f t="shared" ref="F73" si="29">SUM(F65:F72)</f>
        <v>300000</v>
      </c>
      <c r="G73" s="114">
        <f t="shared" ref="G73" si="30">SUM(G65:G72)</f>
        <v>300000</v>
      </c>
      <c r="H73" s="114">
        <f t="shared" ref="H73" si="31">SUM(H65:H72)</f>
        <v>300000</v>
      </c>
      <c r="I73" s="114">
        <f t="shared" ref="I73" si="32">SUM(I65:I72)</f>
        <v>300000</v>
      </c>
      <c r="J73" s="114">
        <f t="shared" ref="J73" si="33">SUM(J65:J72)</f>
        <v>300000</v>
      </c>
    </row>
    <row r="74" spans="1:16" x14ac:dyDescent="0.55000000000000004">
      <c r="A74" s="15"/>
      <c r="B74" s="112" t="s">
        <v>181</v>
      </c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15"/>
      <c r="D75" s="41">
        <f t="shared" ref="D75:J75" si="34">+IF(D34&lt;30001,0,D34-30000)</f>
        <v>0</v>
      </c>
      <c r="E75" s="41">
        <f t="shared" si="34"/>
        <v>0</v>
      </c>
      <c r="F75" s="41">
        <f t="shared" si="34"/>
        <v>0</v>
      </c>
      <c r="G75" s="41">
        <f t="shared" si="34"/>
        <v>0</v>
      </c>
      <c r="H75" s="41">
        <f t="shared" si="34"/>
        <v>0</v>
      </c>
      <c r="I75" s="41">
        <f t="shared" si="34"/>
        <v>0</v>
      </c>
      <c r="J75" s="41">
        <f t="shared" si="34"/>
        <v>0</v>
      </c>
    </row>
    <row r="76" spans="1:16" x14ac:dyDescent="0.55000000000000004">
      <c r="B76" s="5" t="s">
        <v>65</v>
      </c>
      <c r="D76" s="5">
        <f t="shared" ref="D76:J76" si="35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5"/>
        <v>3</v>
      </c>
      <c r="F76" s="5">
        <f t="shared" si="35"/>
        <v>3</v>
      </c>
      <c r="G76" s="5">
        <f t="shared" si="35"/>
        <v>3</v>
      </c>
      <c r="H76" s="5">
        <f t="shared" si="35"/>
        <v>3</v>
      </c>
      <c r="I76" s="5">
        <f t="shared" si="35"/>
        <v>3</v>
      </c>
      <c r="J76" s="5">
        <f t="shared" si="35"/>
        <v>3</v>
      </c>
    </row>
    <row r="77" spans="1:16" x14ac:dyDescent="0.55000000000000004">
      <c r="B77" s="5" t="s">
        <v>66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171</v>
      </c>
      <c r="F1" s="81">
        <v>0.6</v>
      </c>
    </row>
    <row r="3" spans="1:25" x14ac:dyDescent="0.5500000000000000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55000000000000004">
      <c r="A4" s="85" t="s">
        <v>166</v>
      </c>
      <c r="B4" s="7"/>
      <c r="C4" s="86" t="str">
        <f>+SIM1_!D24</f>
        <v>--</v>
      </c>
      <c r="D4" s="28">
        <f>+SIM1_!G51</f>
        <v>540000</v>
      </c>
      <c r="E4" s="28">
        <f>+SIM1_!J51</f>
        <v>620000</v>
      </c>
      <c r="F4" s="28"/>
    </row>
    <row r="5" spans="1:25" x14ac:dyDescent="0.55000000000000004">
      <c r="A5" s="85" t="s">
        <v>167</v>
      </c>
      <c r="B5" s="7"/>
      <c r="C5" s="86" t="str">
        <f>+SIM1_!D25</f>
        <v>--</v>
      </c>
      <c r="D5" s="28">
        <f>+SIM1_!G61</f>
        <v>300000</v>
      </c>
      <c r="E5" s="28">
        <f>+SIM1_!J61</f>
        <v>300000</v>
      </c>
      <c r="F5" s="27"/>
    </row>
    <row r="6" spans="1:25" x14ac:dyDescent="0.55000000000000004">
      <c r="A6" s="85" t="s">
        <v>83</v>
      </c>
      <c r="B6" s="7"/>
      <c r="C6" s="117">
        <f>+SIM1_!D28</f>
        <v>0</v>
      </c>
      <c r="D6" s="87">
        <f>+SIM1_!G28</f>
        <v>864.8028906666666</v>
      </c>
      <c r="E6" s="87">
        <f>+SIM1_!J28</f>
        <v>1738.7124947285238</v>
      </c>
      <c r="F6" s="10"/>
    </row>
    <row r="7" spans="1:25" x14ac:dyDescent="0.55000000000000004">
      <c r="A7" s="85" t="s">
        <v>84</v>
      </c>
      <c r="B7" s="7"/>
      <c r="C7" s="88">
        <f>+SIM1_!D27</f>
        <v>0</v>
      </c>
      <c r="D7" s="89">
        <f>+D8/D6</f>
        <v>0.66800250000000005</v>
      </c>
      <c r="E7" s="89">
        <f>+E8/E6</f>
        <v>0.6424750047265626</v>
      </c>
      <c r="F7" s="89"/>
    </row>
    <row r="8" spans="1:25" x14ac:dyDescent="0.55000000000000004">
      <c r="A8" s="85" t="s">
        <v>85</v>
      </c>
      <c r="B8" s="7"/>
      <c r="C8" s="117">
        <f>+SIM1_!D29</f>
        <v>0</v>
      </c>
      <c r="D8" s="10">
        <f>+SIM1_!G29</f>
        <v>577.69049297256004</v>
      </c>
      <c r="E8" s="10">
        <f>+SIM1_!J29</f>
        <v>1117.0793182688417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89</v>
      </c>
      <c r="B10" s="7"/>
      <c r="C10" s="117">
        <f>+SIM1_!D34</f>
        <v>0</v>
      </c>
      <c r="D10" s="10">
        <f>+SIM1_!G34</f>
        <v>2541.8381690792639</v>
      </c>
      <c r="E10" s="10">
        <f>+SIM1_!J34</f>
        <v>3932.1192003063234</v>
      </c>
      <c r="F10" s="10"/>
    </row>
    <row r="11" spans="1:25" x14ac:dyDescent="0.55000000000000004">
      <c r="A11" s="85" t="s">
        <v>90</v>
      </c>
      <c r="B11" s="7"/>
      <c r="C11" s="117">
        <f>+SIM1_!D35</f>
        <v>0</v>
      </c>
      <c r="D11" s="10">
        <f>+SIM1_!G35</f>
        <v>626.27858802258311</v>
      </c>
      <c r="E11" s="10">
        <f>+SIM1_!J35</f>
        <v>968.82724111282278</v>
      </c>
      <c r="F11" s="10"/>
    </row>
    <row r="12" spans="1:25" x14ac:dyDescent="0.55000000000000004">
      <c r="A12" s="85" t="s">
        <v>174</v>
      </c>
      <c r="B12" s="7"/>
      <c r="C12" s="28">
        <f>+IFERROR(C5/C11,0)</f>
        <v>0</v>
      </c>
      <c r="D12" s="28">
        <f>+D4/D11</f>
        <v>862.23608842352439</v>
      </c>
      <c r="E12" s="28">
        <f t="shared" ref="E12" si="0">+E4/E11</f>
        <v>639.9489751009171</v>
      </c>
      <c r="F12" s="28"/>
    </row>
    <row r="13" spans="1:25" x14ac:dyDescent="0.55000000000000004">
      <c r="A13" s="85" t="s">
        <v>175</v>
      </c>
      <c r="B13" s="7"/>
      <c r="C13" s="28">
        <f>+IFERROR(C6/C12,0)</f>
        <v>0</v>
      </c>
      <c r="D13" s="28">
        <f>+D5/D11</f>
        <v>479.02004912418022</v>
      </c>
      <c r="E13" s="28">
        <f t="shared" ref="E13" si="1">+E5/E11</f>
        <v>309.65272988754054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48</v>
      </c>
    </row>
    <row r="15" spans="1:25" x14ac:dyDescent="0.55000000000000004">
      <c r="A15" s="85" t="s">
        <v>87</v>
      </c>
      <c r="B15" s="7"/>
      <c r="C15" s="87">
        <f>+SIM1_!D16</f>
        <v>18</v>
      </c>
      <c r="D15" s="87">
        <f>+SIM1_!E16</f>
        <v>18</v>
      </c>
      <c r="E15" s="87">
        <f>+SIM1_!F16</f>
        <v>18</v>
      </c>
      <c r="F15" s="87"/>
      <c r="R15" s="5" t="s">
        <v>59</v>
      </c>
    </row>
    <row r="16" spans="1:25" x14ac:dyDescent="0.55000000000000004">
      <c r="A16" s="85" t="s">
        <v>88</v>
      </c>
      <c r="B16" s="7"/>
      <c r="C16" s="87">
        <f>SUM(C17:C20)</f>
        <v>0</v>
      </c>
      <c r="D16" s="87">
        <f>SUM(D17:D20)</f>
        <v>3</v>
      </c>
      <c r="E16" s="87">
        <f>SUM(E17:E20)</f>
        <v>4</v>
      </c>
      <c r="F16" s="87"/>
      <c r="R16" s="5" t="s">
        <v>60</v>
      </c>
      <c r="V16" s="5" t="s">
        <v>61</v>
      </c>
      <c r="Y16" s="35" t="s">
        <v>62</v>
      </c>
    </row>
    <row r="17" spans="1:25" x14ac:dyDescent="0.55000000000000004">
      <c r="A17" s="85" t="s">
        <v>91</v>
      </c>
      <c r="B17" s="7"/>
      <c r="C17" s="87">
        <f>+SIM1_!D36</f>
        <v>0</v>
      </c>
      <c r="D17" s="87">
        <f>+SIM1_!G36</f>
        <v>3</v>
      </c>
      <c r="E17" s="87">
        <f>+SIM1_!J36</f>
        <v>4</v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55000000000000004">
      <c r="A18" s="85" t="s">
        <v>92</v>
      </c>
      <c r="B18" s="7"/>
      <c r="C18" s="87">
        <f>+SIM1_!D37</f>
        <v>0</v>
      </c>
      <c r="D18" s="87">
        <f>+SIM1_!G37</f>
        <v>0</v>
      </c>
      <c r="E18" s="87">
        <f>+SIM1_!J37</f>
        <v>0</v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  <v>37500000</v>
      </c>
      <c r="Y18" s="35">
        <v>2.5</v>
      </c>
    </row>
    <row r="19" spans="1:25" x14ac:dyDescent="0.55000000000000004">
      <c r="A19" s="85" t="s">
        <v>94</v>
      </c>
      <c r="B19" s="7"/>
      <c r="C19" s="87">
        <f>+SIM1_!D38</f>
        <v>0</v>
      </c>
      <c r="D19" s="87">
        <f>+SIM1_!G38</f>
        <v>0</v>
      </c>
      <c r="E19" s="87">
        <f>+SIM1_!J38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93</v>
      </c>
      <c r="B20" s="7"/>
      <c r="C20" s="87">
        <f>+SIM1_!D39</f>
        <v>0</v>
      </c>
      <c r="D20" s="87">
        <f>+SIM1_!G39</f>
        <v>0</v>
      </c>
      <c r="E20" s="87">
        <f>+SIM1_!J39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168</v>
      </c>
      <c r="B22" s="7"/>
      <c r="C22" s="90" t="str">
        <f>+IFERROR(C4/C16,"--")</f>
        <v>--</v>
      </c>
      <c r="D22" s="90">
        <f t="shared" ref="D22:E22" si="2">+IFERROR(D4/D16,"--")</f>
        <v>180000</v>
      </c>
      <c r="E22" s="90">
        <f t="shared" si="2"/>
        <v>155000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169</v>
      </c>
      <c r="B23" s="7"/>
      <c r="C23" s="90" t="str">
        <f>+IFERROR(C5/C16,"--")</f>
        <v>--</v>
      </c>
      <c r="D23" s="90">
        <f t="shared" ref="D23" si="3">+IFERROR(D5/D16,"--")</f>
        <v>100000</v>
      </c>
      <c r="E23" s="90">
        <f t="shared" ref="E23" si="4">+IFERROR(E5/E16,"--")</f>
        <v>75000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176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172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95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102</v>
      </c>
    </row>
    <row r="4" spans="1:7" x14ac:dyDescent="0.55000000000000004">
      <c r="A4" t="s">
        <v>100</v>
      </c>
      <c r="B4" t="s">
        <v>101</v>
      </c>
      <c r="E4">
        <v>1000</v>
      </c>
    </row>
    <row r="5" spans="1:7" x14ac:dyDescent="0.55000000000000004">
      <c r="A5" t="s">
        <v>43</v>
      </c>
      <c r="B5" s="60">
        <v>8.5000000000000006E-2</v>
      </c>
    </row>
    <row r="6" spans="1:7" x14ac:dyDescent="0.55000000000000004">
      <c r="A6" t="s">
        <v>104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103</v>
      </c>
    </row>
    <row r="9" spans="1:7" x14ac:dyDescent="0.55000000000000004">
      <c r="A9" t="s">
        <v>100</v>
      </c>
      <c r="B9" t="s">
        <v>101</v>
      </c>
      <c r="E9">
        <v>1000</v>
      </c>
    </row>
    <row r="10" spans="1:7" x14ac:dyDescent="0.55000000000000004">
      <c r="A10" t="s">
        <v>43</v>
      </c>
      <c r="B10" s="60">
        <v>5.0000000000000001E-3</v>
      </c>
    </row>
    <row r="11" spans="1:7" x14ac:dyDescent="0.55000000000000004">
      <c r="A11" t="s">
        <v>104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105</v>
      </c>
      <c r="D13" t="s">
        <v>108</v>
      </c>
    </row>
    <row r="14" spans="1:7" x14ac:dyDescent="0.55000000000000004">
      <c r="A14" t="s">
        <v>106</v>
      </c>
      <c r="B14" t="s">
        <v>101</v>
      </c>
      <c r="E14">
        <v>1000</v>
      </c>
    </row>
    <row r="15" spans="1:7" x14ac:dyDescent="0.55000000000000004">
      <c r="A15" t="s">
        <v>43</v>
      </c>
      <c r="B15" s="60">
        <v>0.9</v>
      </c>
      <c r="C15" t="s">
        <v>107</v>
      </c>
    </row>
    <row r="16" spans="1:7" x14ac:dyDescent="0.55000000000000004">
      <c r="A16" t="s">
        <v>104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109</v>
      </c>
      <c r="D18" t="s">
        <v>108</v>
      </c>
    </row>
    <row r="19" spans="1:10" x14ac:dyDescent="0.55000000000000004">
      <c r="A19" t="s">
        <v>100</v>
      </c>
      <c r="B19" s="60">
        <v>0.7</v>
      </c>
      <c r="C19" t="s">
        <v>101</v>
      </c>
      <c r="E19">
        <v>1000</v>
      </c>
    </row>
    <row r="20" spans="1:10" x14ac:dyDescent="0.55000000000000004">
      <c r="A20" t="s">
        <v>43</v>
      </c>
      <c r="B20" s="60">
        <v>1</v>
      </c>
    </row>
    <row r="21" spans="1:10" x14ac:dyDescent="0.55000000000000004">
      <c r="A21" t="s">
        <v>104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55000000000000004">
      <c r="A24" s="54" t="s">
        <v>97</v>
      </c>
      <c r="I24" s="66">
        <v>1</v>
      </c>
      <c r="J24" t="s">
        <v>116</v>
      </c>
    </row>
    <row r="25" spans="1:10" x14ac:dyDescent="0.55000000000000004">
      <c r="A25" t="s">
        <v>42</v>
      </c>
      <c r="B25" s="61">
        <v>0.8</v>
      </c>
      <c r="I25" s="66">
        <v>2</v>
      </c>
      <c r="J25" t="s">
        <v>117</v>
      </c>
    </row>
    <row r="26" spans="1:10" x14ac:dyDescent="0.55000000000000004">
      <c r="A26" t="s">
        <v>43</v>
      </c>
      <c r="B26" s="61">
        <v>0.06</v>
      </c>
      <c r="I26" s="66">
        <v>3</v>
      </c>
      <c r="J26" t="s">
        <v>118</v>
      </c>
    </row>
    <row r="27" spans="1:10" x14ac:dyDescent="0.5500000000000000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55000000000000004">
      <c r="A29" s="54" t="s">
        <v>114</v>
      </c>
      <c r="I29" s="67" t="s">
        <v>120</v>
      </c>
      <c r="J29" s="68"/>
    </row>
    <row r="30" spans="1:10" x14ac:dyDescent="0.55000000000000004">
      <c r="A30" t="s">
        <v>42</v>
      </c>
      <c r="B30" s="61">
        <v>0.75</v>
      </c>
      <c r="I30" s="66">
        <v>1</v>
      </c>
      <c r="J30" t="s">
        <v>121</v>
      </c>
    </row>
    <row r="31" spans="1:10" x14ac:dyDescent="0.55000000000000004">
      <c r="A31" t="s">
        <v>43</v>
      </c>
      <c r="B31" s="61">
        <v>0.08</v>
      </c>
      <c r="I31" s="66">
        <v>2</v>
      </c>
      <c r="J31" t="s">
        <v>122</v>
      </c>
    </row>
    <row r="32" spans="1:10" x14ac:dyDescent="0.5500000000000000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55000000000000004">
      <c r="I33" s="66">
        <v>4</v>
      </c>
      <c r="J33" t="s">
        <v>124</v>
      </c>
    </row>
    <row r="34" spans="1:10" x14ac:dyDescent="0.55000000000000004">
      <c r="A34" s="54" t="s">
        <v>110</v>
      </c>
    </row>
    <row r="35" spans="1:10" x14ac:dyDescent="0.55000000000000004">
      <c r="A35" t="s">
        <v>42</v>
      </c>
      <c r="B35" s="62" t="s">
        <v>23</v>
      </c>
    </row>
    <row r="36" spans="1:10" x14ac:dyDescent="0.55000000000000004">
      <c r="A36" t="s">
        <v>43</v>
      </c>
      <c r="B36" s="61">
        <v>0.02</v>
      </c>
    </row>
    <row r="37" spans="1:10" x14ac:dyDescent="0.55000000000000004">
      <c r="A37" t="s">
        <v>98</v>
      </c>
      <c r="B37" s="61">
        <v>4.0000000000000001E-3</v>
      </c>
    </row>
    <row r="39" spans="1:10" x14ac:dyDescent="0.55000000000000004">
      <c r="A39" s="54" t="s">
        <v>111</v>
      </c>
      <c r="E39" s="54" t="s">
        <v>112</v>
      </c>
    </row>
    <row r="40" spans="1:10" x14ac:dyDescent="0.5500000000000000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5500000000000000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5500000000000000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SIM1_</vt:lpstr>
      <vt:lpstr>SIM1_比較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竹田 虎大朗</cp:lastModifiedBy>
  <dcterms:created xsi:type="dcterms:W3CDTF">2025-11-21T11:18:04Z</dcterms:created>
  <dcterms:modified xsi:type="dcterms:W3CDTF">2026-09-18T00:59:25Z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
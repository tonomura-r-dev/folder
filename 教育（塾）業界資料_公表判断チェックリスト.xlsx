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" sheetId="1" state="visible" r:id="rId1"/>
    <sheet xmlns:r="http://schemas.openxmlformats.org/officeDocument/2006/relationships" name="判定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85A"/>
      <sz val="14"/>
    </font>
    <font>
      <name val="Arial"/>
      <color rgb="007F7F7F"/>
      <sz val="9"/>
    </font>
    <font>
      <name val="Arial"/>
      <b val="1"/>
      <color rgb="001F285A"/>
      <sz val="10"/>
    </font>
    <font>
      <name val="Arial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sz val="9.5"/>
    </font>
    <font>
      <name val="Arial"/>
      <b val="1"/>
      <color rgb="00FFFFFF"/>
      <sz val="10"/>
    </font>
    <font>
      <name val="Arial"/>
      <b val="1"/>
      <sz val="9.5"/>
    </font>
  </fonts>
  <fills count="7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1F285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2" customWidth="1" min="2" max="2"/>
    <col width="14" customWidth="1" min="3" max="3"/>
    <col width="10" customWidth="1" min="4" max="4"/>
    <col width="8" customWidth="1" min="5" max="5"/>
    <col width="40" customWidth="1" min="6" max="6"/>
  </cols>
  <sheetData>
    <row r="2">
      <c r="B2" s="1" t="inlineStr">
        <is>
          <t>教育（塾）業界_LINEOA施策提案（36枚）｜公表判断チェックリスト</t>
        </is>
      </c>
    </row>
    <row r="3">
      <c r="B3" s="2" t="inlineStr">
        <is>
          <t>作成日：2026-09-15　対象ファイル：教育（塾）業界_LINEOA施策提案.pptx</t>
        </is>
      </c>
    </row>
    <row r="5">
      <c r="B5" s="3" t="inlineStr">
        <is>
          <t>背骨（この資料が言っていること・1文）</t>
        </is>
      </c>
    </row>
    <row r="6" ht="32" customHeight="1">
      <c r="B6" s="4" t="inlineStr">
        <is>
          <t>保護者の検討は、塾を探す26日前に始まっている。塾が姿を現せるのは最後の数日だけ。そして最初の問いは「いくら」ではなく「いつから」。友だちは広告で買えるが、運用設計がなければ資産にならない（ビザビ371万人の凍結）。</t>
        </is>
      </c>
    </row>
    <row r="8">
      <c r="B8" s="3" t="inlineStr">
        <is>
          <t>判定サマリ</t>
        </is>
      </c>
    </row>
    <row r="9">
      <c r="B9" s="5" t="inlineStr">
        <is>
          <t>緑（そのまま公表可）</t>
        </is>
      </c>
      <c r="D9" s="6">
        <f>COUNTIF(判定一覧!$D$3:$D$38,"緑")</f>
        <v/>
      </c>
      <c r="E9" s="5" t="inlineStr">
        <is>
          <t>枚</t>
        </is>
      </c>
    </row>
    <row r="10">
      <c r="B10" s="5" t="inlineStr">
        <is>
          <t>黄（未取得・仮説明記のうえ公表可）</t>
        </is>
      </c>
      <c r="D10" s="7">
        <f>COUNTIF(判定一覧!$D$3:$D$38,"黄")</f>
        <v/>
      </c>
      <c r="E10" s="5" t="inlineStr">
        <is>
          <t>枚</t>
        </is>
      </c>
    </row>
    <row r="11">
      <c r="B11" s="5" t="inlineStr">
        <is>
          <t>赤（出典確定まで公表不可）</t>
        </is>
      </c>
      <c r="D11" s="8">
        <f>COUNTIF(判定一覧!$D$3:$D$38,"赤")</f>
        <v/>
      </c>
      <c r="E11" s="5" t="inlineStr">
        <is>
          <t>枚</t>
        </is>
      </c>
    </row>
    <row r="12">
      <c r="B12" s="9" t="inlineStr">
        <is>
          <t>合計</t>
        </is>
      </c>
      <c r="D12" s="10">
        <f>SUM(D9:D11)</f>
        <v/>
      </c>
      <c r="E12" s="5" t="inlineStr">
        <is>
          <t>枚</t>
        </is>
      </c>
    </row>
    <row r="14">
      <c r="B14" s="3" t="inlineStr">
        <is>
          <t>納品条件</t>
        </is>
      </c>
    </row>
    <row r="15">
      <c r="B15" s="11">
        <f>IF(D11=0,"OK：赤0件。対外提出可（黄は未取得データの明記つきで提出可）","NG：赤"&amp;D11&amp;"件。出典を確定または該当数値を削除するまで対外提出不可")</f>
        <v/>
      </c>
    </row>
    <row r="17">
      <c r="B17" s="3" t="inlineStr">
        <is>
          <t>★ 上司確認が必要な3点</t>
        </is>
      </c>
    </row>
    <row r="18">
      <c r="B18" s="12" t="inlineStr">
        <is>
          <t>① DYM社内の塾・スクール系広告実績（CV地点別のCPC・CVR・CPA）→ S4・S7・S8・S24・S34が黄→緑。塾は公的統計が存在しない領域なので、社内実績が唯一の一次根拠になる（最優先）</t>
        </is>
      </c>
    </row>
    <row r="19">
      <c r="B19" s="12" t="inlineStr">
        <is>
          <t>② 競合8社の実名掲載OK（S12）→ NGなら「A社／B社」表記に変更。KUMON・ビザビは実測値つきなので特に確認が要る</t>
        </is>
      </c>
    </row>
    <row r="20">
      <c r="B20" s="12" t="inlineStr">
        <is>
          <t>③ 民間調査の引用可否（塾ナラ／DeltaX「塾選」／POPER／明光ネットワークジャパン／オリコンME／インタースペース）→ 特に明光義塾は競合であり、その調査を引用している点の扱い</t>
        </is>
      </c>
    </row>
    <row r="22">
      <c r="B22" s="3" t="inlineStr">
        <is>
          <t>△ データ待ち（人が集める素材・5種に限定）</t>
        </is>
      </c>
    </row>
    <row r="23">
      <c r="B23" s="12" t="inlineStr">
        <is>
          <t>1. ✅取得済み Googleトレンド（塾／個別指導／予備校／家庭教師・夏期講習／冬期講習／春期講習・中学受験／大学受験／高校受験）→ S10・S25に反映済み。※年初来のみなので5年推移が要るなら再取得</t>
        </is>
      </c>
    </row>
    <row r="24">
      <c r="B24" s="12" t="inlineStr">
        <is>
          <t>2. 上司確認3点セット（上記★）→ S4・S7・S8・S12・S24・S34が黄→緑</t>
        </is>
      </c>
    </row>
    <row r="25">
      <c r="B25" s="12" t="inlineStr">
        <is>
          <t>3. ✅取得済み LINEヤフー前後検索（塾／塾 費用／教育費／奨学金／教育ローン）→ S5・S11に反映済み</t>
        </is>
      </c>
    </row>
    <row r="26">
      <c r="B26" s="12" t="inlineStr">
        <is>
          <t>4. ✅取得済み 競合の友だち数実測（page.line.me・実機・2026-09-15）→ S12に反映済み。森塾のみ未確認</t>
        </is>
      </c>
    </row>
    <row r="27">
      <c r="B27" s="12" t="inlineStr">
        <is>
          <t>5. トライ・早稲田アカデミーの診断の実物スクショ（捨て垢で1回通す）→ S18・S12の裏取り。残る最後の素材</t>
        </is>
      </c>
    </row>
    <row r="28">
      <c r="B28" s="12" t="inlineStr">
        <is>
          <t>6. LINEヤフー公式の教育・スクール導入事例（lycbiz.com/jp/case-study）→ S35が黄→緑</t>
        </is>
      </c>
    </row>
    <row r="30">
      <c r="B30" s="3" t="inlineStr">
        <is>
          <t>凡例（このファイルの使い方）</t>
        </is>
      </c>
    </row>
    <row r="31">
      <c r="B31" s="12" t="inlineStr">
        <is>
          <t>・「判定一覧」タブのF列（残タスク）が、この資料を完成させるためのTODOです。</t>
        </is>
      </c>
    </row>
    <row r="32">
      <c r="B32" s="12" t="inlineStr">
        <is>
          <t>・黄色で塗られたセルが記入欄です。データが入ったらD列の判定を「緑」に書き換えてください。</t>
        </is>
      </c>
    </row>
    <row r="33">
      <c r="B33" s="12" t="inlineStr">
        <is>
          <t>・D列を書き換えると、このサマリの集計と納品条件の判定が自動で更新されます。</t>
        </is>
      </c>
    </row>
  </sheetData>
  <mergeCells count="11">
    <mergeCell ref="B6:F6"/>
    <mergeCell ref="B24:F24"/>
    <mergeCell ref="B20:F20"/>
    <mergeCell ref="B15:F15"/>
    <mergeCell ref="B25:F25"/>
    <mergeCell ref="B28:F28"/>
    <mergeCell ref="B19:F19"/>
    <mergeCell ref="B23:F23"/>
    <mergeCell ref="B26:F26"/>
    <mergeCell ref="B18:F18"/>
    <mergeCell ref="B27:F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1" customWidth="1" min="3" max="3"/>
    <col width="7" customWidth="1" min="4" max="4"/>
    <col width="52" customWidth="1" min="5" max="5"/>
    <col width="46" customWidth="1" min="6" max="6"/>
  </cols>
  <sheetData>
    <row r="2">
      <c r="A2" s="13" t="inlineStr">
        <is>
          <t>枚</t>
        </is>
      </c>
      <c r="B2" s="13" t="inlineStr">
        <is>
          <t>スライドタイトル</t>
        </is>
      </c>
      <c r="C2" s="13" t="inlineStr">
        <is>
          <t>主張の種類</t>
        </is>
      </c>
      <c r="D2" s="13" t="inlineStr">
        <is>
          <t>判定</t>
        </is>
      </c>
      <c r="E2" s="13" t="inlineStr">
        <is>
          <t>根拠・出典</t>
        </is>
      </c>
      <c r="F2" s="13" t="inlineStr">
        <is>
          <t>残タスク（これが埋まれば緑）</t>
        </is>
      </c>
    </row>
    <row r="3" ht="30" customHeight="1">
      <c r="A3" s="14" t="n">
        <v>1</v>
      </c>
      <c r="B3" s="15" t="inlineStr">
        <is>
          <t>表紙</t>
        </is>
      </c>
      <c r="C3" s="14" t="inlineStr">
        <is>
          <t>意見</t>
        </is>
      </c>
      <c r="D3" s="16" t="inlineStr">
        <is>
          <t>緑</t>
        </is>
      </c>
      <c r="E3" s="15" t="inlineStr">
        <is>
          <t>提案タイトル。数値なし</t>
        </is>
      </c>
      <c r="F3" s="15" t="inlineStr">
        <is>
          <t>宛先社名を差し込む</t>
        </is>
      </c>
    </row>
    <row r="4" ht="30" customHeight="1">
      <c r="A4" s="14" t="n">
        <v>2</v>
      </c>
      <c r="B4" s="15" t="inlineStr">
        <is>
          <t>資料アジェンダ</t>
        </is>
      </c>
      <c r="C4" s="14" t="inlineStr">
        <is>
          <t>意見</t>
        </is>
      </c>
      <c r="D4" s="16" t="inlineStr">
        <is>
          <t>緑</t>
        </is>
      </c>
      <c r="E4" s="15" t="inlineStr">
        <is>
          <t>全8章の目次</t>
        </is>
      </c>
      <c r="F4" s="15" t="inlineStr">
        <is>
          <t>―</t>
        </is>
      </c>
    </row>
    <row r="5" ht="30" customHeight="1">
      <c r="A5" s="14" t="n">
        <v>3</v>
      </c>
      <c r="B5" s="15" t="inlineStr">
        <is>
          <t>市場データ｜ニーズ全体図</t>
        </is>
      </c>
      <c r="C5" s="14" t="inlineStr">
        <is>
          <t>事実</t>
        </is>
      </c>
      <c r="D5" s="17" t="inlineStr">
        <is>
          <t>黄</t>
        </is>
      </c>
      <c r="E5" s="15" t="inlineStr">
        <is>
          <t>厚労省 人口動態統計（確定数）／経産省 特定サービス産業動態統計 2024年確報／文科省 学校基本調査 令和6年度／矢野経済研究所2024。定義の違い（経産省は受講生500人以上・市場の4〜5割）も併記済み</t>
        </is>
      </c>
      <c r="F5" s="18" t="inlineStr">
        <is>
          <t>★提出前にe-Statで統計表を開いて数値を照合（Gemini経由取得のため直リンク未確認）</t>
        </is>
      </c>
    </row>
    <row r="6" ht="30" customHeight="1">
      <c r="A6" s="14" t="n">
        <v>4</v>
      </c>
      <c r="B6" s="15" t="inlineStr">
        <is>
          <t>現状の構造｜3つの壁</t>
        </is>
      </c>
      <c r="C6" s="14" t="inlineStr">
        <is>
          <t>推定</t>
        </is>
      </c>
      <c r="D6" s="17" t="inlineStr">
        <is>
          <t>黄</t>
        </is>
      </c>
      <c r="E6" s="15" t="inlineStr">
        <is>
          <t>CPC/CPA・入会率は業界推計値（出典元の特定不可）。LP CVR 2.0%はモデル値</t>
        </is>
      </c>
      <c r="F6" s="18" t="inlineStr">
        <is>
          <t>社内の塾・スクール系実績でCPC/CVR/CPAを確定（上司確認①）</t>
        </is>
      </c>
    </row>
    <row r="7" ht="30" customHeight="1">
      <c r="A7" s="14" t="n">
        <v>5</v>
      </c>
      <c r="B7" s="15" t="inlineStr">
        <is>
          <t>エンドユーザー行動心理</t>
        </is>
      </c>
      <c r="C7" s="14" t="inlineStr">
        <is>
          <t>事実</t>
        </is>
      </c>
      <c r="D7" s="16" t="inlineStr">
        <is>
          <t>緑</t>
        </is>
      </c>
      <c r="E7" s="15" t="inlineStr">
        <is>
          <t>LINEヤフー前後検索（実測・性別/年代）／塾ナラ2025 n=200／塾シル2026 n=249／明光ネットワークジャパン2020／DeltaX2025</t>
        </is>
      </c>
      <c r="F7" s="15" t="inlineStr">
        <is>
          <t>★明光義塾は競合。その調査を引用してよいか確認（上司確認③）</t>
        </is>
      </c>
    </row>
    <row r="8" ht="30" customHeight="1">
      <c r="A8" s="14" t="n">
        <v>6</v>
      </c>
      <c r="B8" s="15" t="inlineStr">
        <is>
          <t>本提案のスコープ</t>
        </is>
      </c>
      <c r="C8" s="14" t="inlineStr">
        <is>
          <t>意見</t>
        </is>
      </c>
      <c r="D8" s="16" t="inlineStr">
        <is>
          <t>緑</t>
        </is>
      </c>
      <c r="E8" s="15" t="inlineStr">
        <is>
          <t>DYM提案のスコープ宣言。数値なし</t>
        </is>
      </c>
      <c r="F8" s="15" t="inlineStr">
        <is>
          <t>―</t>
        </is>
      </c>
    </row>
    <row r="9" ht="30" customHeight="1">
      <c r="A9" s="14" t="n">
        <v>7</v>
      </c>
      <c r="B9" s="15" t="inlineStr">
        <is>
          <t>広告の実態｜CPCの相場が存在しない</t>
        </is>
      </c>
      <c r="C9" s="14" t="inlineStr">
        <is>
          <t>推定</t>
        </is>
      </c>
      <c r="D9" s="17" t="inlineStr">
        <is>
          <t>黄</t>
        </is>
      </c>
      <c r="E9" s="15" t="inlineStr">
        <is>
          <t>公的統計・業界統一データの不在はGemini再調査で確認（事実）。推計値は出典元の特定不可</t>
        </is>
      </c>
      <c r="F9" s="18" t="inlineStr">
        <is>
          <t>社内実績でCPC/CPAを確定（上司確認①）</t>
        </is>
      </c>
    </row>
    <row r="10" ht="30" customHeight="1">
      <c r="A10" s="14" t="n">
        <v>8</v>
      </c>
      <c r="B10" s="15" t="inlineStr">
        <is>
          <t>広告実績CVR（CV地点別）</t>
        </is>
      </c>
      <c r="C10" s="14" t="inlineStr">
        <is>
          <t>推定</t>
        </is>
      </c>
      <c r="D10" s="17" t="inlineStr">
        <is>
          <t>黄</t>
        </is>
      </c>
      <c r="E10" s="15" t="inlineStr">
        <is>
          <t>★差込枠。数値は未記入（捏造なし）</t>
        </is>
      </c>
      <c r="F10" s="18" t="inlineStr">
        <is>
          <t>DYM社内の塾・スクール系実績をCV地点別に取得（上司確認①）</t>
        </is>
      </c>
    </row>
    <row r="11" ht="30" customHeight="1">
      <c r="A11" s="14" t="n">
        <v>9</v>
      </c>
      <c r="B11" s="15" t="inlineStr">
        <is>
          <t>広告審査・表現面の懸念</t>
        </is>
      </c>
      <c r="C11" s="14" t="inlineStr">
        <is>
          <t>事実</t>
        </is>
      </c>
      <c r="D11" s="17" t="inlineStr">
        <is>
          <t>黄</t>
        </is>
      </c>
      <c r="E11" s="15" t="inlineStr">
        <is>
          <t>景品表示法（優良誤認・有利誤認）の一般的な考え方に基づく整理</t>
        </is>
      </c>
      <c r="F11" s="18" t="inlineStr">
        <is>
          <t>★配信文面は法務確認を通す。塾業界固有の公正競争規約の有無は未確認</t>
        </is>
      </c>
    </row>
    <row r="12" ht="30" customHeight="1">
      <c r="A12" s="14" t="n">
        <v>10</v>
      </c>
      <c r="B12" s="15" t="inlineStr">
        <is>
          <t>シーズナリティ</t>
        </is>
      </c>
      <c r="C12" s="14" t="inlineStr">
        <is>
          <t>事実</t>
        </is>
      </c>
      <c r="D12" s="17" t="inlineStr">
        <is>
          <t>黄</t>
        </is>
      </c>
      <c r="E12" s="15" t="inlineStr">
        <is>
          <t>Googleトレンド 日本 2026年年初来・週次（実測・_data/trends/教育塾/）。塾ピーク2/8・夏期講習7/12</t>
        </is>
      </c>
      <c r="F12" s="18" t="inlineStr">
        <is>
          <t>取得期間が年初来のみ。5年推移が要るなら再取得（「◯年で△%上昇」は現データでは言えない）</t>
        </is>
      </c>
    </row>
    <row r="13" ht="30" customHeight="1">
      <c r="A13" s="14" t="n">
        <v>11</v>
      </c>
      <c r="B13" s="15" t="inlineStr">
        <is>
          <t>前後検索｜26日タイムライン</t>
        </is>
      </c>
      <c r="C13" s="14" t="inlineStr">
        <is>
          <t>事実</t>
        </is>
      </c>
      <c r="D13" s="16" t="inlineStr">
        <is>
          <t>緑</t>
        </is>
      </c>
      <c r="E13" s="15" t="inlineStr">
        <is>
          <t>LINEヤフー前後検索 起点KW「塾 費用」2022-05-09〜2023-05-14・関連度3.0以上（実測・_data/journey/教育塾/）</t>
        </is>
      </c>
      <c r="F13" s="15" t="inlineStr">
        <is>
          <t>―（本資料の背骨。同音異義語「熟」16件は除外済み）</t>
        </is>
      </c>
    </row>
    <row r="14" ht="30" customHeight="1">
      <c r="A14" s="14" t="n">
        <v>12</v>
      </c>
      <c r="B14" s="15" t="inlineStr">
        <is>
          <t>他社分析｜友だち数とビザビ凍結</t>
        </is>
      </c>
      <c r="C14" s="14" t="inlineStr">
        <is>
          <t>事実</t>
        </is>
      </c>
      <c r="D14" s="17" t="inlineStr">
        <is>
          <t>黄</t>
        </is>
      </c>
      <c r="E14" s="15" t="inlineStr">
        <is>
          <t>page.line.me・実機 2026-09-15取得（実測・証跡は_data/lineoa_competitors/）。いずれも認証済アカウント</t>
        </is>
      </c>
      <c r="F14" s="18" t="inlineStr">
        <is>
          <t>★競合の実名掲載OKか確認（上司確認②）。★KUMON 2,525万人の内訳は未確認のため推定と明記済み</t>
        </is>
      </c>
    </row>
    <row r="15" ht="30" customHeight="1">
      <c r="A15" s="14" t="n">
        <v>13</v>
      </c>
      <c r="B15" s="15" t="inlineStr">
        <is>
          <t>全体設計｜CJ8フェーズ×CV3段</t>
        </is>
      </c>
      <c r="C15" s="14" t="inlineStr">
        <is>
          <t>意見</t>
        </is>
      </c>
      <c r="D15" s="16" t="inlineStr">
        <is>
          <t>緑</t>
        </is>
      </c>
      <c r="E15" s="15" t="inlineStr">
        <is>
          <t>CV3段はDYM設計。数値なし</t>
        </is>
      </c>
      <c r="F15" s="15" t="inlineStr">
        <is>
          <t>貴社のCV定義とすり合わせ</t>
        </is>
      </c>
    </row>
    <row r="16" ht="30" customHeight="1">
      <c r="A16" s="14" t="n">
        <v>14</v>
      </c>
      <c r="B16" s="15" t="inlineStr">
        <is>
          <t>施策全体像｜二毛作</t>
        </is>
      </c>
      <c r="C16" s="14" t="inlineStr">
        <is>
          <t>意見</t>
        </is>
      </c>
      <c r="D16" s="16" t="inlineStr">
        <is>
          <t>緑</t>
        </is>
      </c>
      <c r="E16" s="15" t="inlineStr">
        <is>
          <t>DYM提案の対策領域マップ。退会1人＝50万円はモデル値と明記</t>
        </is>
      </c>
      <c r="F16" s="15" t="inlineStr">
        <is>
          <t>貴社の月謝・平均在籍年数で再計算</t>
        </is>
      </c>
    </row>
    <row r="17" ht="30" customHeight="1">
      <c r="A17" s="14" t="n">
        <v>15</v>
      </c>
      <c r="B17" s="15" t="inlineStr">
        <is>
          <t>施策展開図（初期・月次）</t>
        </is>
      </c>
      <c r="C17" s="14" t="inlineStr">
        <is>
          <t>意見</t>
        </is>
      </c>
      <c r="D17" s="16" t="inlineStr">
        <is>
          <t>緑</t>
        </is>
      </c>
      <c r="E17" s="15" t="inlineStr">
        <is>
          <t>DYM標準の展開図を塾施策に置換</t>
        </is>
      </c>
      <c r="F17" s="15" t="inlineStr">
        <is>
          <t>―</t>
        </is>
      </c>
    </row>
    <row r="18" ht="30" customHeight="1">
      <c r="A18" s="14" t="n">
        <v>16</v>
      </c>
      <c r="B18" s="15" t="inlineStr">
        <is>
          <t>構築｜友だち追加動線</t>
        </is>
      </c>
      <c r="C18" s="14" t="inlineStr">
        <is>
          <t>意見</t>
        </is>
      </c>
      <c r="D18" s="16" t="inlineStr">
        <is>
          <t>緑</t>
        </is>
      </c>
      <c r="E18" s="15" t="inlineStr">
        <is>
          <t>DYM提案の動線設計。訴求軸（料金でなく「いつから」）はS11の実測に基づく</t>
        </is>
      </c>
      <c r="F18" s="15" t="inlineStr">
        <is>
          <t>―</t>
        </is>
      </c>
    </row>
    <row r="19" ht="30" customHeight="1">
      <c r="A19" s="14" t="n">
        <v>17</v>
      </c>
      <c r="B19" s="15" t="inlineStr">
        <is>
          <t>構築｜あいさつメッセージ</t>
        </is>
      </c>
      <c r="C19" s="14" t="inlineStr">
        <is>
          <t>意見</t>
        </is>
      </c>
      <c r="D19" s="16" t="inlineStr">
        <is>
          <t>緑</t>
        </is>
      </c>
      <c r="E19" s="15" t="inlineStr">
        <is>
          <t>配信文面は初稿</t>
        </is>
      </c>
      <c r="F19" s="15" t="inlineStr">
        <is>
          <t>担当者名・対応時間・配信頻度を貴社運用に差し替え</t>
        </is>
      </c>
    </row>
    <row r="20" ht="30" customHeight="1">
      <c r="A20" s="14" t="n">
        <v>18</v>
      </c>
      <c r="B20" s="15" t="inlineStr">
        <is>
          <t>構築｜30秒ぴったり塾診断</t>
        </is>
      </c>
      <c r="C20" s="14" t="inlineStr">
        <is>
          <t>意見</t>
        </is>
      </c>
      <c r="D20" s="16" t="inlineStr">
        <is>
          <t>緑</t>
        </is>
      </c>
      <c r="E20" s="15" t="inlineStr">
        <is>
          <t>診断設計。継続率への効果はDeltaX2024（事実）で裏付け</t>
        </is>
      </c>
      <c r="F20" s="15" t="inlineStr">
        <is>
          <t>★事例数値（58点→82点）は貴社実績に差し替え、条件を併記（S09）</t>
        </is>
      </c>
    </row>
    <row r="21" ht="30" customHeight="1">
      <c r="A21" s="14" t="n">
        <v>19</v>
      </c>
      <c r="B21" s="15" t="inlineStr">
        <is>
          <t>構築｜リッチメニュー</t>
        </is>
      </c>
      <c r="C21" s="14" t="inlineStr">
        <is>
          <t>意見</t>
        </is>
      </c>
      <c r="D21" s="16" t="inlineStr">
        <is>
          <t>緑</t>
        </is>
      </c>
      <c r="E21" s="15" t="inlineStr">
        <is>
          <t>DYM提案の設計。KUMONの実機リッチメニューは実測（証跡あり）</t>
        </is>
      </c>
      <c r="F21" s="15" t="inlineStr">
        <is>
          <t>―</t>
        </is>
      </c>
    </row>
    <row r="22" ht="30" customHeight="1">
      <c r="A22" s="14" t="n">
        <v>20</v>
      </c>
      <c r="B22" s="15" t="inlineStr">
        <is>
          <t>構築｜生徒情報・CRM連携</t>
        </is>
      </c>
      <c r="C22" s="14" t="inlineStr">
        <is>
          <t>意見</t>
        </is>
      </c>
      <c r="D22" s="16" t="inlineStr">
        <is>
          <t>緑</t>
        </is>
      </c>
      <c r="E22" s="15" t="inlineStr">
        <is>
          <t>仕組みの説明。数値なし</t>
        </is>
      </c>
      <c r="F22" s="15" t="inlineStr">
        <is>
          <t>★貴社が使用中の塾管理システムを確認（要件定義）</t>
        </is>
      </c>
    </row>
    <row r="23" ht="30" customHeight="1">
      <c r="A23" s="14" t="n">
        <v>21</v>
      </c>
      <c r="B23" s="15" t="inlineStr">
        <is>
          <t>配信設計｜シナリオ2本</t>
        </is>
      </c>
      <c r="C23" s="14" t="inlineStr">
        <is>
          <t>意見</t>
        </is>
      </c>
      <c r="D23" s="16" t="inlineStr">
        <is>
          <t>緑</t>
        </is>
      </c>
      <c r="E23" s="15" t="inlineStr">
        <is>
          <t>配信設計。14日に寄せる根拠はS11の実測</t>
        </is>
      </c>
      <c r="F23" s="15" t="inlineStr">
        <is>
          <t>―</t>
        </is>
      </c>
    </row>
    <row r="24" ht="30" customHeight="1">
      <c r="A24" s="14" t="n">
        <v>22</v>
      </c>
      <c r="B24" s="15" t="inlineStr">
        <is>
          <t>実文面①｜未入会</t>
        </is>
      </c>
      <c r="C24" s="14" t="inlineStr">
        <is>
          <t>意見</t>
        </is>
      </c>
      <c r="D24" s="16" t="inlineStr">
        <is>
          <t>緑</t>
        </is>
      </c>
      <c r="E24" s="15" t="inlineStr">
        <is>
          <t>配信文面は初稿</t>
        </is>
      </c>
      <c r="F24" s="15" t="inlineStr">
        <is>
          <t>★事例の数値を貴社実績に差し替え、学年・期間・通塾回数を併記</t>
        </is>
      </c>
    </row>
    <row r="25" ht="30" customHeight="1">
      <c r="A25" s="14" t="n">
        <v>23</v>
      </c>
      <c r="B25" s="15" t="inlineStr">
        <is>
          <t>実文面②｜在籍生の保護者</t>
        </is>
      </c>
      <c r="C25" s="14" t="inlineStr">
        <is>
          <t>事実</t>
        </is>
      </c>
      <c r="D25" s="16" t="inlineStr">
        <is>
          <t>緑</t>
        </is>
      </c>
      <c r="E25" s="15" t="inlineStr">
        <is>
          <t>配信文面は初稿。根拠はPOPER2022 n=300／DeltaX2024 n=65</t>
        </is>
      </c>
      <c r="F25" s="15" t="inlineStr">
        <is>
          <t>―</t>
        </is>
      </c>
    </row>
    <row r="26" ht="30" customHeight="1">
      <c r="A26" s="14" t="n">
        <v>24</v>
      </c>
      <c r="B26" s="15" t="inlineStr">
        <is>
          <t>歩留まり①｜体験予約リマインド</t>
        </is>
      </c>
      <c r="C26" s="14" t="inlineStr">
        <is>
          <t>推定</t>
        </is>
      </c>
      <c r="D26" s="17" t="inlineStr">
        <is>
          <t>黄</t>
        </is>
      </c>
      <c r="E26" s="15" t="inlineStr">
        <is>
          <t>予約→体験 80%→92%は弊社支援実績レンジ（保守置き）</t>
        </is>
      </c>
      <c r="F26" s="18" t="inlineStr">
        <is>
          <t>社内数値で実績レンジを確定（上司確認①）</t>
        </is>
      </c>
    </row>
    <row r="27" ht="30" customHeight="1">
      <c r="A27" s="14" t="n">
        <v>25</v>
      </c>
      <c r="B27" s="15" t="inlineStr">
        <is>
          <t>年間の企画カレンダー</t>
        </is>
      </c>
      <c r="C27" s="14" t="inlineStr">
        <is>
          <t>事実</t>
        </is>
      </c>
      <c r="D27" s="17" t="inlineStr">
        <is>
          <t>黄</t>
        </is>
      </c>
      <c r="E27" s="15" t="inlineStr">
        <is>
          <t>Googleトレンド実測＋前後検索の26日。退会ピーク（3月・8〜10月）は業界推計値</t>
        </is>
      </c>
      <c r="F27" s="18" t="inlineStr">
        <is>
          <t>貴社の入会・退会の月別実績があれば実データに置換</t>
        </is>
      </c>
    </row>
    <row r="28" ht="30" customHeight="1">
      <c r="A28" s="14" t="n">
        <v>26</v>
      </c>
      <c r="B28" s="15" t="inlineStr">
        <is>
          <t>配信設計｜通知メッセージ</t>
        </is>
      </c>
      <c r="C28" s="14" t="inlineStr">
        <is>
          <t>意見</t>
        </is>
      </c>
      <c r="D28" s="16" t="inlineStr">
        <is>
          <t>緑</t>
        </is>
      </c>
      <c r="E28" s="15" t="inlineStr">
        <is>
          <t>利用シーンの設計。別途費用である旨を明記済み</t>
        </is>
      </c>
      <c r="F28" s="15" t="inlineStr">
        <is>
          <t>利用可否・単価はLINEヤフーの最新規定を要件定義時に確認</t>
        </is>
      </c>
    </row>
    <row r="29" ht="30" customHeight="1">
      <c r="A29" s="14" t="n">
        <v>27</v>
      </c>
      <c r="B29" s="15" t="inlineStr">
        <is>
          <t>歩留まり②｜退会防止（本資料の山）</t>
        </is>
      </c>
      <c r="C29" s="14" t="inlineStr">
        <is>
          <t>事実</t>
        </is>
      </c>
      <c r="D29" s="16" t="inlineStr">
        <is>
          <t>緑</t>
        </is>
      </c>
      <c r="E29" s="15" t="inlineStr">
        <is>
          <t>POPER「Comiru」2022年 n=300／DeltaX「塾選」2024年 n=65。退会率10〜20%は業界推計値と明記</t>
        </is>
      </c>
      <c r="F29" s="15" t="inlineStr">
        <is>
          <t>―</t>
        </is>
      </c>
    </row>
    <row r="30" ht="30" customHeight="1">
      <c r="A30" s="14" t="n">
        <v>28</v>
      </c>
      <c r="B30" s="15" t="inlineStr">
        <is>
          <t>現場の工数削減</t>
        </is>
      </c>
      <c r="C30" s="14" t="inlineStr">
        <is>
          <t>意見</t>
        </is>
      </c>
      <c r="D30" s="16" t="inlineStr">
        <is>
          <t>緑</t>
        </is>
      </c>
      <c r="E30" s="15" t="inlineStr">
        <is>
          <t>DYM提案の改善モデル。時給換算はあえてしない旨を明記</t>
        </is>
      </c>
      <c r="F30" s="15" t="inlineStr">
        <is>
          <t>―</t>
        </is>
      </c>
    </row>
    <row r="31" ht="30" customHeight="1">
      <c r="A31" s="14" t="n">
        <v>29</v>
      </c>
      <c r="B31" s="15" t="inlineStr">
        <is>
          <t>成果の見方｜効果測定の設計</t>
        </is>
      </c>
      <c r="C31" s="14" t="inlineStr">
        <is>
          <t>意見</t>
        </is>
      </c>
      <c r="D31" s="16" t="inlineStr">
        <is>
          <t>緑</t>
        </is>
      </c>
      <c r="E31" s="15" t="inlineStr">
        <is>
          <t>KPI設計。数値は入れない（業界汎用のためSIMは作らない）</t>
        </is>
      </c>
      <c r="F31" s="15" t="inlineStr">
        <is>
          <t>貴社の実績をいただければSIMを作成（lineoa-simスキル）</t>
        </is>
      </c>
    </row>
    <row r="32" ht="30" customHeight="1">
      <c r="A32" s="14" t="n">
        <v>30</v>
      </c>
      <c r="B32" s="15" t="inlineStr">
        <is>
          <t>費用プラン</t>
        </is>
      </c>
      <c r="C32" s="14" t="inlineStr">
        <is>
          <t>意見</t>
        </is>
      </c>
      <c r="D32" s="16" t="inlineStr">
        <is>
          <t>緑</t>
        </is>
      </c>
      <c r="E32" s="15" t="inlineStr">
        <is>
          <t>DYM標準プラン（6ヶ月〜・税抜）。別途費用も明記</t>
        </is>
      </c>
      <c r="F32" s="15" t="inlineStr">
        <is>
          <t>―</t>
        </is>
      </c>
    </row>
    <row r="33" ht="30" customHeight="1">
      <c r="A33" s="14" t="n">
        <v>31</v>
      </c>
      <c r="B33" s="15" t="inlineStr">
        <is>
          <t>導入スケジュール</t>
        </is>
      </c>
      <c r="C33" s="14" t="inlineStr">
        <is>
          <t>意見</t>
        </is>
      </c>
      <c r="D33" s="16" t="inlineStr">
        <is>
          <t>緑</t>
        </is>
      </c>
      <c r="E33" s="15" t="inlineStr">
        <is>
          <t>DYM標準。逆算日はS10の実測から算出</t>
        </is>
      </c>
      <c r="F33" s="15" t="inlineStr">
        <is>
          <t>―</t>
        </is>
      </c>
    </row>
    <row r="34" ht="30" customHeight="1">
      <c r="A34" s="14" t="n">
        <v>32</v>
      </c>
      <c r="B34" s="15" t="inlineStr">
        <is>
          <t>体制｜誰が何をやるか</t>
        </is>
      </c>
      <c r="C34" s="14" t="inlineStr">
        <is>
          <t>意見</t>
        </is>
      </c>
      <c r="D34" s="16" t="inlineStr">
        <is>
          <t>緑</t>
        </is>
      </c>
      <c r="E34" s="15" t="inlineStr">
        <is>
          <t>DYM標準のサポート体制</t>
        </is>
      </c>
      <c r="F34" s="15" t="inlineStr">
        <is>
          <t>体制人数・担当者名は契約時に確定</t>
        </is>
      </c>
    </row>
    <row r="35" ht="30" customHeight="1">
      <c r="A35" s="14" t="n">
        <v>33</v>
      </c>
      <c r="B35" s="15" t="inlineStr">
        <is>
          <t>飛び道具</t>
        </is>
      </c>
      <c r="C35" s="14" t="inlineStr">
        <is>
          <t>意見</t>
        </is>
      </c>
      <c r="D35" s="17" t="inlineStr">
        <is>
          <t>黄</t>
        </is>
      </c>
      <c r="E35" s="15" t="inlineStr">
        <is>
          <t>優先度◎○△はDYM見解。根拠データはS03〜S12</t>
        </is>
      </c>
      <c r="F35" s="18" t="inlineStr">
        <is>
          <t>△のAIボットは優先度低として提示。採否は貴社判断</t>
        </is>
      </c>
    </row>
    <row r="36" ht="30" customHeight="1">
      <c r="A36" s="14" t="n">
        <v>34</v>
      </c>
      <c r="B36" s="15" t="inlineStr">
        <is>
          <t>第2の提案軸｜紹介・口コミの動線化</t>
        </is>
      </c>
      <c r="C36" s="14" t="inlineStr">
        <is>
          <t>事実</t>
        </is>
      </c>
      <c r="D36" s="17" t="inlineStr">
        <is>
          <t>黄</t>
        </is>
      </c>
      <c r="E36" s="15" t="inlineStr">
        <is>
          <t>POPER2022 n=300／ネオマーケティング2019（事実）。入会率の差70〜80% vs 40〜50%は業界推計値</t>
        </is>
      </c>
      <c r="F36" s="18" t="inlineStr">
        <is>
          <t>入会率の差を社内実績で裏付けできるか確認（上司確認①）</t>
        </is>
      </c>
    </row>
    <row r="37" ht="30" customHeight="1">
      <c r="A37" s="14" t="n">
        <v>35</v>
      </c>
      <c r="B37" s="15" t="inlineStr">
        <is>
          <t>LINEOA実績と出典一覧</t>
        </is>
      </c>
      <c r="C37" s="14" t="inlineStr">
        <is>
          <t>事実</t>
        </is>
      </c>
      <c r="D37" s="17" t="inlineStr">
        <is>
          <t>黄</t>
        </is>
      </c>
      <c r="E37" s="15" t="inlineStr">
        <is>
          <t>LINE国内MAU・開封率はLINEヤフー公式値（緑相当）。教育・スクール事例は★未取得</t>
        </is>
      </c>
      <c r="F37" s="18" t="inlineStr">
        <is>
          <t>lycbiz.com/jp/case-study から該当事例を取得。該当なしなら正直にそう書く</t>
        </is>
      </c>
    </row>
    <row r="38" ht="30" customHeight="1">
      <c r="A38" s="14" t="n">
        <v>36</v>
      </c>
      <c r="B38" s="15" t="inlineStr">
        <is>
          <t>裏表紙</t>
        </is>
      </c>
      <c r="C38" s="14" t="inlineStr">
        <is>
          <t>事実</t>
        </is>
      </c>
      <c r="D38" s="16" t="inlineStr">
        <is>
          <t>緑</t>
        </is>
      </c>
      <c r="E38" s="15" t="inlineStr">
        <is>
          <t>DYM会社情報（原本のまま）</t>
        </is>
      </c>
      <c r="F38" s="15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2026-09-15T05:43:51Z</dcterms:created>
  <dcterms:modified xmlns:dcterms="http://purl.org/dc/terms/" xmlns:xsi="http://www.w3.org/2001/XMLSchema-instance" xsi:type="dcterms:W3CDTF">2026-09-15T05:43:51Z</dcterms:modified>
</cp:coreProperties>
</file>
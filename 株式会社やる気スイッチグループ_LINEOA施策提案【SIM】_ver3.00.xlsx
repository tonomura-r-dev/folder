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6AC261AD-2B3B-403B-A740-E9BD684E6BB7}" xr6:coauthVersionLast="47" xr6:coauthVersionMax="47" xr10:uidLastSave="{00000000-0000-0000-0000-000000000000}"/>
  <bookViews>
    <workbookView xWindow="-13380" yWindow="-16320" windowWidth="29040" windowHeight="15720" xr2:uid="{00000000-000D-0000-FFFF-FFFF00000000}"/>
  </bookViews>
  <sheets>
    <sheet name="SIM2_チャイルドアイズ" sheetId="1" r:id="rId1"/>
    <sheet name="SIM1_忍者ナイン" sheetId="2" r:id="rId2"/>
    <sheet name="SIM1_比較" sheetId="3" r:id="rId3"/>
    <sheet name="SIM考え方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1" l="1"/>
  <c r="K37" i="2"/>
  <c r="D76" i="1"/>
  <c r="E45" i="1"/>
  <c r="E50" i="1"/>
  <c r="E51" i="1" s="1"/>
  <c r="E73" i="1"/>
  <c r="E44" i="1"/>
  <c r="E22" i="4"/>
  <c r="E17" i="4"/>
  <c r="E12" i="4"/>
  <c r="E7" i="4"/>
  <c r="E20" i="3"/>
  <c r="D20" i="3"/>
  <c r="C20" i="3"/>
  <c r="E19" i="3"/>
  <c r="D19" i="3"/>
  <c r="C19" i="3"/>
  <c r="X18" i="3"/>
  <c r="E18" i="3"/>
  <c r="E16" i="3" s="1"/>
  <c r="D18" i="3"/>
  <c r="D16" i="3" s="1"/>
  <c r="C18" i="3"/>
  <c r="E17" i="3"/>
  <c r="D17" i="3"/>
  <c r="C17" i="3"/>
  <c r="C16" i="3"/>
  <c r="C10" i="3"/>
  <c r="C29" i="3" s="1"/>
  <c r="C8" i="3"/>
  <c r="C7" i="3"/>
  <c r="C6" i="3"/>
  <c r="C5" i="3"/>
  <c r="C23" i="3" s="1"/>
  <c r="C4" i="3"/>
  <c r="C22" i="3" s="1"/>
  <c r="D75" i="2"/>
  <c r="D73" i="2"/>
  <c r="D61" i="2"/>
  <c r="D55" i="2"/>
  <c r="J50" i="2"/>
  <c r="I50" i="2"/>
  <c r="H50" i="2"/>
  <c r="G50" i="2"/>
  <c r="F50" i="2"/>
  <c r="E50" i="2"/>
  <c r="D45" i="2"/>
  <c r="D51" i="2" s="1"/>
  <c r="C45" i="2"/>
  <c r="C51" i="2" s="1"/>
  <c r="J40" i="2"/>
  <c r="I40" i="2"/>
  <c r="H40" i="2"/>
  <c r="G40" i="2"/>
  <c r="F40" i="2"/>
  <c r="E40" i="2"/>
  <c r="D40" i="2"/>
  <c r="K39" i="2"/>
  <c r="B39" i="2"/>
  <c r="K38" i="2"/>
  <c r="B38" i="2"/>
  <c r="B37" i="2"/>
  <c r="P36" i="2"/>
  <c r="K36" i="2"/>
  <c r="B36" i="2"/>
  <c r="Q35" i="2"/>
  <c r="Q34" i="2"/>
  <c r="D34" i="2"/>
  <c r="Q33" i="2"/>
  <c r="Q32" i="2"/>
  <c r="D31" i="2"/>
  <c r="D35" i="2" s="1"/>
  <c r="C11" i="3" s="1"/>
  <c r="C12" i="3" s="1"/>
  <c r="C13" i="3" s="1"/>
  <c r="F27" i="2"/>
  <c r="G27" i="2" s="1"/>
  <c r="H27" i="2" s="1"/>
  <c r="I27" i="2" s="1"/>
  <c r="J27" i="2" s="1"/>
  <c r="J25" i="2"/>
  <c r="I25" i="2"/>
  <c r="H25" i="2"/>
  <c r="G25" i="2"/>
  <c r="F25" i="2"/>
  <c r="E25" i="2"/>
  <c r="E24" i="2"/>
  <c r="F24" i="2" s="1"/>
  <c r="G24" i="2" s="1"/>
  <c r="H24" i="2" s="1"/>
  <c r="I24" i="2" s="1"/>
  <c r="J24" i="2" s="1"/>
  <c r="E22" i="2"/>
  <c r="Y19" i="2"/>
  <c r="D16" i="2"/>
  <c r="D15" i="2"/>
  <c r="E15" i="2" s="1"/>
  <c r="D14" i="2"/>
  <c r="E14" i="2" s="1"/>
  <c r="F14" i="2" s="1"/>
  <c r="G14" i="2" s="1"/>
  <c r="H14" i="2" s="1"/>
  <c r="I14" i="2" s="1"/>
  <c r="J14" i="2" s="1"/>
  <c r="D75" i="1"/>
  <c r="D55" i="1"/>
  <c r="D61" i="1" s="1"/>
  <c r="C51" i="1"/>
  <c r="J50" i="1"/>
  <c r="I50" i="1"/>
  <c r="H50" i="1"/>
  <c r="G50" i="1"/>
  <c r="F50" i="1"/>
  <c r="D45" i="1"/>
  <c r="D51" i="1" s="1"/>
  <c r="C45" i="1"/>
  <c r="J40" i="1"/>
  <c r="I40" i="1"/>
  <c r="H40" i="1"/>
  <c r="G40" i="1"/>
  <c r="F40" i="1"/>
  <c r="E40" i="1"/>
  <c r="D40" i="1"/>
  <c r="D41" i="1" s="1"/>
  <c r="K39" i="1"/>
  <c r="B39" i="1"/>
  <c r="K38" i="1"/>
  <c r="B38" i="1"/>
  <c r="K37" i="1"/>
  <c r="K36" i="1"/>
  <c r="B36" i="1"/>
  <c r="Q35" i="1"/>
  <c r="D35" i="1"/>
  <c r="Q34" i="1"/>
  <c r="D34" i="1"/>
  <c r="Q33" i="1"/>
  <c r="P36" i="1" s="1"/>
  <c r="Q32" i="1"/>
  <c r="D31" i="1"/>
  <c r="F27" i="1"/>
  <c r="G27" i="1" s="1"/>
  <c r="H27" i="1" s="1"/>
  <c r="I27" i="1" s="1"/>
  <c r="J27" i="1" s="1"/>
  <c r="J25" i="1"/>
  <c r="I25" i="1"/>
  <c r="H25" i="1"/>
  <c r="G25" i="1"/>
  <c r="F25" i="1"/>
  <c r="E25" i="1"/>
  <c r="E24" i="1"/>
  <c r="F24" i="1" s="1"/>
  <c r="G24" i="1" s="1"/>
  <c r="H24" i="1" s="1"/>
  <c r="I24" i="1" s="1"/>
  <c r="J24" i="1" s="1"/>
  <c r="E22" i="1"/>
  <c r="F22" i="1" s="1"/>
  <c r="Y19" i="1"/>
  <c r="D16" i="1"/>
  <c r="E16" i="1" s="1"/>
  <c r="F16" i="1" s="1"/>
  <c r="G16" i="1" s="1"/>
  <c r="H16" i="1" s="1"/>
  <c r="I16" i="1" s="1"/>
  <c r="J16" i="1" s="1"/>
  <c r="D15" i="1"/>
  <c r="E15" i="1" s="1"/>
  <c r="D14" i="1"/>
  <c r="E14" i="1" s="1"/>
  <c r="F14" i="1" s="1"/>
  <c r="G14" i="1" s="1"/>
  <c r="H14" i="1" s="1"/>
  <c r="I14" i="1" s="1"/>
  <c r="J14" i="1" s="1"/>
  <c r="D54" i="1" l="1"/>
  <c r="C30" i="3"/>
  <c r="C25" i="3"/>
  <c r="D76" i="2"/>
  <c r="D54" i="2"/>
  <c r="K40" i="2"/>
  <c r="F22" i="2"/>
  <c r="C15" i="3"/>
  <c r="E16" i="2"/>
  <c r="F15" i="2"/>
  <c r="E23" i="2"/>
  <c r="E26" i="2" s="1"/>
  <c r="E28" i="2" s="1"/>
  <c r="K40" i="1"/>
  <c r="G22" i="1"/>
  <c r="F15" i="1"/>
  <c r="E23" i="1"/>
  <c r="E26" i="1" s="1"/>
  <c r="E28" i="1" s="1"/>
  <c r="D41" i="2"/>
  <c r="G22" i="2" l="1"/>
  <c r="E29" i="2"/>
  <c r="D15" i="3"/>
  <c r="F16" i="2"/>
  <c r="G15" i="2"/>
  <c r="H15" i="2" s="1"/>
  <c r="I15" i="2" s="1"/>
  <c r="J15" i="2" s="1"/>
  <c r="F23" i="2"/>
  <c r="H22" i="1"/>
  <c r="G15" i="1"/>
  <c r="H15" i="1" s="1"/>
  <c r="I15" i="1" s="1"/>
  <c r="J15" i="1" s="1"/>
  <c r="F23" i="1"/>
  <c r="E29" i="1"/>
  <c r="H22" i="2" l="1"/>
  <c r="G26" i="2"/>
  <c r="E31" i="2"/>
  <c r="E33" i="2"/>
  <c r="E34" i="2"/>
  <c r="G16" i="2"/>
  <c r="H16" i="2" s="1"/>
  <c r="I16" i="2" s="1"/>
  <c r="J16" i="2" s="1"/>
  <c r="E15" i="3"/>
  <c r="I22" i="1"/>
  <c r="F26" i="1"/>
  <c r="F28" i="1" s="1"/>
  <c r="F29" i="1" s="1"/>
  <c r="G23" i="1"/>
  <c r="E31" i="1"/>
  <c r="E33" i="1"/>
  <c r="E34" i="1"/>
  <c r="G23" i="2"/>
  <c r="H23" i="2" s="1"/>
  <c r="I23" i="2" s="1"/>
  <c r="J23" i="2" s="1"/>
  <c r="F26" i="2"/>
  <c r="F28" i="2" s="1"/>
  <c r="E35" i="2" l="1"/>
  <c r="E58" i="2" s="1"/>
  <c r="I22" i="2"/>
  <c r="H26" i="2"/>
  <c r="E41" i="2"/>
  <c r="E48" i="2"/>
  <c r="E65" i="2"/>
  <c r="E68" i="2"/>
  <c r="E75" i="2"/>
  <c r="J22" i="1"/>
  <c r="G26" i="1"/>
  <c r="G28" i="1" s="1"/>
  <c r="H23" i="1"/>
  <c r="F31" i="1"/>
  <c r="F33" i="1"/>
  <c r="F34" i="1"/>
  <c r="E65" i="1"/>
  <c r="E75" i="1"/>
  <c r="E68" i="1"/>
  <c r="F29" i="2"/>
  <c r="G28" i="2"/>
  <c r="E35" i="1"/>
  <c r="J22" i="2" l="1"/>
  <c r="J26" i="2" s="1"/>
  <c r="I26" i="2"/>
  <c r="E56" i="2"/>
  <c r="E46" i="2"/>
  <c r="E73" i="2"/>
  <c r="E45" i="2"/>
  <c r="E76" i="2"/>
  <c r="H26" i="1"/>
  <c r="H28" i="1" s="1"/>
  <c r="I23" i="1"/>
  <c r="F65" i="1"/>
  <c r="F68" i="1"/>
  <c r="F75" i="1"/>
  <c r="E56" i="1"/>
  <c r="E46" i="1"/>
  <c r="E76" i="1"/>
  <c r="F31" i="2"/>
  <c r="F33" i="2"/>
  <c r="F34" i="2"/>
  <c r="H28" i="2"/>
  <c r="G29" i="2"/>
  <c r="D6" i="3"/>
  <c r="E48" i="1"/>
  <c r="E58" i="1"/>
  <c r="E41" i="1"/>
  <c r="F35" i="1"/>
  <c r="G29" i="1"/>
  <c r="F35" i="2" l="1"/>
  <c r="E54" i="2"/>
  <c r="E44" i="2"/>
  <c r="E51" i="2" s="1"/>
  <c r="E55" i="2"/>
  <c r="E59" i="2" s="1"/>
  <c r="E61" i="2"/>
  <c r="E57" i="2" s="1"/>
  <c r="I26" i="1"/>
  <c r="I28" i="1" s="1"/>
  <c r="J23" i="1"/>
  <c r="J26" i="1" s="1"/>
  <c r="F46" i="1"/>
  <c r="F56" i="1"/>
  <c r="F45" i="1"/>
  <c r="F73" i="1"/>
  <c r="F76" i="1"/>
  <c r="F68" i="2"/>
  <c r="F75" i="2"/>
  <c r="F65" i="2"/>
  <c r="I28" i="2"/>
  <c r="H29" i="2"/>
  <c r="G31" i="2"/>
  <c r="G33" i="2"/>
  <c r="G34" i="2"/>
  <c r="D8" i="3"/>
  <c r="D7" i="3" s="1"/>
  <c r="F48" i="1"/>
  <c r="F58" i="1"/>
  <c r="F41" i="1"/>
  <c r="H29" i="1"/>
  <c r="G34" i="1"/>
  <c r="G33" i="1"/>
  <c r="G31" i="1"/>
  <c r="E54" i="1"/>
  <c r="G35" i="2" l="1"/>
  <c r="F41" i="2"/>
  <c r="F48" i="2"/>
  <c r="F58" i="2"/>
  <c r="E47" i="2"/>
  <c r="E49" i="2"/>
  <c r="G35" i="1"/>
  <c r="F76" i="2"/>
  <c r="F54" i="2" s="1"/>
  <c r="F44" i="2"/>
  <c r="F56" i="2"/>
  <c r="F46" i="2"/>
  <c r="F73" i="2"/>
  <c r="F45" i="2"/>
  <c r="J28" i="2"/>
  <c r="I29" i="2"/>
  <c r="H31" i="2"/>
  <c r="H33" i="2"/>
  <c r="H34" i="2"/>
  <c r="G41" i="2"/>
  <c r="G48" i="2"/>
  <c r="G58" i="2"/>
  <c r="D11" i="3"/>
  <c r="G65" i="2"/>
  <c r="G68" i="2"/>
  <c r="G75" i="2"/>
  <c r="D10" i="3"/>
  <c r="D29" i="3" s="1"/>
  <c r="H31" i="1"/>
  <c r="H33" i="1"/>
  <c r="H34" i="1"/>
  <c r="J28" i="1"/>
  <c r="I29" i="1"/>
  <c r="G68" i="1"/>
  <c r="G75" i="1"/>
  <c r="G65" i="1"/>
  <c r="G48" i="1"/>
  <c r="E47" i="1"/>
  <c r="E49" i="1"/>
  <c r="E61" i="1"/>
  <c r="E57" i="1" s="1"/>
  <c r="E55" i="1"/>
  <c r="E59" i="1" s="1"/>
  <c r="F44" i="1"/>
  <c r="F51" i="1" s="1"/>
  <c r="F54" i="1"/>
  <c r="G58" i="1" l="1"/>
  <c r="G41" i="1"/>
  <c r="H35" i="1"/>
  <c r="F55" i="2"/>
  <c r="F59" i="2" s="1"/>
  <c r="F61" i="2"/>
  <c r="F57" i="2" s="1"/>
  <c r="J29" i="2"/>
  <c r="E6" i="3"/>
  <c r="I31" i="2"/>
  <c r="I33" i="2"/>
  <c r="I34" i="2"/>
  <c r="H75" i="2"/>
  <c r="H68" i="2"/>
  <c r="H65" i="2"/>
  <c r="G46" i="2"/>
  <c r="G56" i="2"/>
  <c r="G73" i="2"/>
  <c r="G45" i="2"/>
  <c r="G76" i="2"/>
  <c r="D30" i="3"/>
  <c r="D25" i="3"/>
  <c r="H41" i="1"/>
  <c r="H58" i="1"/>
  <c r="H48" i="1"/>
  <c r="H65" i="1"/>
  <c r="H68" i="1"/>
  <c r="H75" i="1"/>
  <c r="J29" i="1"/>
  <c r="I31" i="1"/>
  <c r="I33" i="1"/>
  <c r="I34" i="1"/>
  <c r="G76" i="1"/>
  <c r="G56" i="1"/>
  <c r="G46" i="1"/>
  <c r="G73" i="1"/>
  <c r="G45" i="1"/>
  <c r="F47" i="1"/>
  <c r="F49" i="1"/>
  <c r="F55" i="1"/>
  <c r="F59" i="1" s="1"/>
  <c r="F61" i="1"/>
  <c r="F57" i="1" s="1"/>
  <c r="F51" i="2"/>
  <c r="H35" i="2"/>
  <c r="G44" i="2" l="1"/>
  <c r="G51" i="2" s="1"/>
  <c r="G54" i="2"/>
  <c r="G61" i="2" s="1"/>
  <c r="J31" i="2"/>
  <c r="J33" i="2"/>
  <c r="J34" i="2"/>
  <c r="E8" i="3"/>
  <c r="E7" i="3" s="1"/>
  <c r="I65" i="2"/>
  <c r="I68" i="2"/>
  <c r="I75" i="2"/>
  <c r="H76" i="2"/>
  <c r="H44" i="2"/>
  <c r="H54" i="2"/>
  <c r="H46" i="2"/>
  <c r="H56" i="2"/>
  <c r="H45" i="2"/>
  <c r="H73" i="2"/>
  <c r="G55" i="2"/>
  <c r="G59" i="2" s="1"/>
  <c r="H46" i="1"/>
  <c r="H56" i="1"/>
  <c r="H73" i="1"/>
  <c r="H45" i="1"/>
  <c r="H76" i="1"/>
  <c r="J31" i="1"/>
  <c r="J33" i="1"/>
  <c r="J34" i="1"/>
  <c r="I68" i="1"/>
  <c r="I75" i="1"/>
  <c r="I65" i="1"/>
  <c r="F49" i="2"/>
  <c r="F47" i="2"/>
  <c r="H58" i="2"/>
  <c r="H48" i="2"/>
  <c r="H41" i="2"/>
  <c r="I35" i="2"/>
  <c r="I35" i="1"/>
  <c r="G44" i="1"/>
  <c r="G51" i="1" s="1"/>
  <c r="G54" i="1"/>
  <c r="G47" i="2" l="1"/>
  <c r="D4" i="3"/>
  <c r="G49" i="2"/>
  <c r="J35" i="1"/>
  <c r="J48" i="1" s="1"/>
  <c r="J65" i="2"/>
  <c r="J68" i="2"/>
  <c r="J75" i="2"/>
  <c r="E10" i="3"/>
  <c r="E29" i="3" s="1"/>
  <c r="I56" i="2"/>
  <c r="I46" i="2"/>
  <c r="I73" i="2"/>
  <c r="I45" i="2"/>
  <c r="I76" i="2"/>
  <c r="I44" i="2" s="1"/>
  <c r="I51" i="2" s="1"/>
  <c r="I54" i="2"/>
  <c r="H55" i="2"/>
  <c r="H59" i="2" s="1"/>
  <c r="H61" i="2"/>
  <c r="H57" i="2" s="1"/>
  <c r="G57" i="2"/>
  <c r="D5" i="3"/>
  <c r="J65" i="1"/>
  <c r="J75" i="1"/>
  <c r="J68" i="1"/>
  <c r="I76" i="1"/>
  <c r="I46" i="1"/>
  <c r="I56" i="1"/>
  <c r="I45" i="1"/>
  <c r="I73" i="1"/>
  <c r="I58" i="2"/>
  <c r="I48" i="2"/>
  <c r="I41" i="2"/>
  <c r="I48" i="1"/>
  <c r="I58" i="1"/>
  <c r="I41" i="1"/>
  <c r="G49" i="1"/>
  <c r="G47" i="1"/>
  <c r="G61" i="1"/>
  <c r="G57" i="1" s="1"/>
  <c r="G55" i="1"/>
  <c r="G59" i="1" s="1"/>
  <c r="J35" i="2"/>
  <c r="H51" i="2"/>
  <c r="H54" i="1"/>
  <c r="H44" i="1"/>
  <c r="H51" i="1" s="1"/>
  <c r="D12" i="3" l="1"/>
  <c r="D22" i="3"/>
  <c r="J41" i="1"/>
  <c r="J58" i="1"/>
  <c r="J56" i="2"/>
  <c r="J46" i="2"/>
  <c r="J73" i="2"/>
  <c r="J45" i="2"/>
  <c r="J76" i="2"/>
  <c r="E30" i="3"/>
  <c r="E25" i="3" s="1"/>
  <c r="I47" i="2"/>
  <c r="I49" i="2"/>
  <c r="I55" i="2"/>
  <c r="I59" i="2" s="1"/>
  <c r="I61" i="2"/>
  <c r="I57" i="2" s="1"/>
  <c r="D23" i="3"/>
  <c r="D13" i="3"/>
  <c r="J46" i="1"/>
  <c r="J56" i="1"/>
  <c r="J45" i="1"/>
  <c r="J73" i="1"/>
  <c r="J76" i="1"/>
  <c r="E11" i="3"/>
  <c r="J58" i="2"/>
  <c r="J48" i="2"/>
  <c r="J41" i="2"/>
  <c r="H49" i="2"/>
  <c r="H47" i="2"/>
  <c r="H55" i="1"/>
  <c r="H59" i="1" s="1"/>
  <c r="H61" i="1"/>
  <c r="H57" i="1" s="1"/>
  <c r="H49" i="1"/>
  <c r="H47" i="1"/>
  <c r="I44" i="1"/>
  <c r="I51" i="1" s="1"/>
  <c r="I54" i="1"/>
  <c r="I47" i="1" l="1"/>
  <c r="I49" i="1"/>
  <c r="I61" i="1"/>
  <c r="I57" i="1" s="1"/>
  <c r="I55" i="1"/>
  <c r="I59" i="1" s="1"/>
  <c r="J44" i="2"/>
  <c r="J51" i="2" s="1"/>
  <c r="J54" i="2"/>
  <c r="J54" i="1"/>
  <c r="J44" i="1"/>
  <c r="J51" i="1" s="1"/>
  <c r="J49" i="2" l="1"/>
  <c r="J47" i="2"/>
  <c r="E4" i="3"/>
  <c r="J61" i="2"/>
  <c r="J55" i="2"/>
  <c r="J59" i="2" s="1"/>
  <c r="J61" i="1"/>
  <c r="J57" i="1" s="1"/>
  <c r="J55" i="1"/>
  <c r="J59" i="1" s="1"/>
  <c r="J49" i="1"/>
  <c r="J47" i="1"/>
  <c r="E22" i="3" l="1"/>
  <c r="E12" i="3"/>
  <c r="J57" i="2"/>
  <c r="E5" i="3"/>
  <c r="E13" i="3" l="1"/>
  <c r="E23" i="3"/>
  <c r="B37" i="1"/>
</calcChain>
</file>

<file path=xl/sharedStrings.xml><?xml version="1.0" encoding="utf-8"?>
<sst xmlns="http://schemas.openxmlformats.org/spreadsheetml/2006/main" count="460" uniqueCount="192">
  <si>
    <t>Ver.</t>
  </si>
  <si>
    <t>株式会社やる気スイッチグループ_LINEOA施策提案【SIM】</t>
  </si>
  <si>
    <t>※これより→はPDFにするときに消すようにする（範囲外に）</t>
  </si>
  <si>
    <t>■要件定義</t>
  </si>
  <si>
    <t>地点</t>
  </si>
  <si>
    <t>名称</t>
  </si>
  <si>
    <t>成果単価</t>
  </si>
  <si>
    <t>新規CV</t>
  </si>
  <si>
    <t>①_CV地点</t>
  </si>
  <si>
    <t>体験予約</t>
  </si>
  <si>
    <t>UU</t>
  </si>
  <si>
    <t>想定顧客リスト</t>
  </si>
  <si>
    <t>SimilarWeb等を参考に</t>
  </si>
  <si>
    <t>※メルマガ、他SNS等でのリリースが出来るか</t>
  </si>
  <si>
    <t>②_CV地点</t>
  </si>
  <si>
    <t>広告・アフィUU</t>
  </si>
  <si>
    <t>広告比率等を参考に</t>
  </si>
  <si>
    <t>LINEプレスリリースの可否</t>
  </si>
  <si>
    <t>リピートCV</t>
  </si>
  <si>
    <t>③_CV地点</t>
  </si>
  <si>
    <t>-</t>
  </si>
  <si>
    <t>CV（別施策）1</t>
  </si>
  <si>
    <t>リード（イメージ）</t>
  </si>
  <si>
    <t>CV聞けてれば→通知メッセ、サンクスLINE誘導</t>
  </si>
  <si>
    <t>④_CV地点</t>
  </si>
  <si>
    <t>CV（別施策）2</t>
  </si>
  <si>
    <t>マネタイズ（イメージ）</t>
  </si>
  <si>
    <t>↓調整可能です！</t>
  </si>
  <si>
    <t>項目</t>
  </si>
  <si>
    <t>　※↓現状数値</t>
  </si>
  <si>
    <t>1か月目</t>
  </si>
  <si>
    <t>2か月目</t>
  </si>
  <si>
    <t>3か月目</t>
  </si>
  <si>
    <t>4か月目</t>
  </si>
  <si>
    <t>5か月目</t>
  </si>
  <si>
    <t>6か月目</t>
  </si>
  <si>
    <t>半年合計</t>
  </si>
  <si>
    <t>単月平均（６ヶ月）</t>
  </si>
  <si>
    <t>20%くらいの調整は可能です。</t>
  </si>
  <si>
    <t>→DYM作業用</t>
  </si>
  <si>
    <t>WEBサイト</t>
  </si>
  <si>
    <t>UU全体</t>
  </si>
  <si>
    <t>UU(うち広告)</t>
  </si>
  <si>
    <t>（サイト固定リンク）</t>
  </si>
  <si>
    <t>AD以外のLINE誘導</t>
  </si>
  <si>
    <t>■従量計算式↓</t>
  </si>
  <si>
    <t>CV（別施策） ※想定</t>
  </si>
  <si>
    <t>ADでのLP/HP→LINE</t>
  </si>
  <si>
    <t>■料金テーブル</t>
  </si>
  <si>
    <t>施策</t>
  </si>
  <si>
    <t>CPF</t>
  </si>
  <si>
    <t>--</t>
  </si>
  <si>
    <t>課金対象配信総数</t>
  </si>
  <si>
    <t>費用</t>
  </si>
  <si>
    <t>単価</t>
  </si>
  <si>
    <t>離脱防止</t>
  </si>
  <si>
    <t>KaiU表示率</t>
  </si>
  <si>
    <t>離脱防止表示率（AD）</t>
  </si>
  <si>
    <t>サンクスLINE誘導</t>
  </si>
  <si>
    <t>離脱防止表示率（SEO）</t>
  </si>
  <si>
    <t>通知メッセージ_CV</t>
  </si>
  <si>
    <t>通知メッセージ_既存リスト</t>
  </si>
  <si>
    <t>↓企画投稿</t>
  </si>
  <si>
    <t>施策増分
※友だち</t>
  </si>
  <si>
    <t>CPFコスト / CPFの単価設定 ※ブロック率が上がりやすい</t>
  </si>
  <si>
    <t>開封率</t>
  </si>
  <si>
    <t>離脱防止表示率×UU×クリック率×実追加率</t>
  </si>
  <si>
    <t>クリック率</t>
  </si>
  <si>
    <t>4‐6か月後係数</t>
  </si>
  <si>
    <t>CV(別施策)*誘導成功率*実追加率</t>
  </si>
  <si>
    <t>audienceターゲ率</t>
  </si>
  <si>
    <t>通知メッセージ</t>
  </si>
  <si>
    <t>サンクス到達*情報一致率(70%前後)*実追加率</t>
  </si>
  <si>
    <t>↓ステップ配信</t>
  </si>
  <si>
    <t>友だち数_増加数</t>
  </si>
  <si>
    <t>※上記記載に追加して、LP、HPからのLINE誘導を加味する</t>
  </si>
  <si>
    <t>ブロック率</t>
  </si>
  <si>
    <t>友だち数</t>
  </si>
  <si>
    <t>ターゲット数</t>
  </si>
  <si>
    <t>※ターゲット数の増加分が通常の増加分を超えないように調整する</t>
  </si>
  <si>
    <t>企画投稿数</t>
  </si>
  <si>
    <t>←基本本数が4本として設計する（ユーザー数と固定費で調整）</t>
  </si>
  <si>
    <t>CPFの単価設定</t>
  </si>
  <si>
    <t>企画投稿からの流入</t>
  </si>
  <si>
    <t>ステップ配信本数</t>
  </si>
  <si>
    <t>←基本本数が4本として設計する</t>
  </si>
  <si>
    <t>特典の強さ</t>
  </si>
  <si>
    <t>ステップ配信からの流入</t>
  </si>
  <si>
    <t>クリエイティブ強さ</t>
  </si>
  <si>
    <t>配信数</t>
  </si>
  <si>
    <t>知名度強さ</t>
  </si>
  <si>
    <t>想定Click数</t>
  </si>
  <si>
    <t>動線の強さ</t>
  </si>
  <si>
    <t>新規向け_</t>
  </si>
  <si>
    <t>想定の係数（反応率）</t>
  </si>
  <si>
    <t>既存向け_休眠顧客向け</t>
  </si>
  <si>
    <t>※①＞②で作成</t>
  </si>
  <si>
    <t>※③＞④で作成</t>
  </si>
  <si>
    <t>合計CV</t>
  </si>
  <si>
    <t>CVR</t>
  </si>
  <si>
    <t>CV/流入数で計算、0.3%〜1%とかで推移。</t>
  </si>
  <si>
    <t>■成果報酬運営</t>
  </si>
  <si>
    <t>現状数値</t>
  </si>
  <si>
    <t>初期</t>
  </si>
  <si>
    <t>従量課金</t>
  </si>
  <si>
    <t>コスト想定(固定費)</t>
  </si>
  <si>
    <t>友だち獲得単価</t>
  </si>
  <si>
    <t>CPC想定</t>
  </si>
  <si>
    <t>CVR想定</t>
  </si>
  <si>
    <t>CPA想定</t>
  </si>
  <si>
    <t>成果報酬_費用発生</t>
  </si>
  <si>
    <t>総計コスト</t>
  </si>
  <si>
    <t>■コンサル運営</t>
  </si>
  <si>
    <t>コスト備考</t>
  </si>
  <si>
    <t>※コンサル</t>
  </si>
  <si>
    <t>UUにかかわらず、10000円/月にて設定</t>
  </si>
  <si>
    <t>サンクス誘導</t>
  </si>
  <si>
    <t>サンクス誘導：初期10万円/通期5万円　※20%のコストカットOK</t>
  </si>
  <si>
    <t>アカウント費</t>
  </si>
  <si>
    <t>アカウント費用（15000円or5000円）＋従量課金　※5000通を超える場合15000円～の設定にする ※重量課金は要確認</t>
  </si>
  <si>
    <t>プラン単価</t>
  </si>
  <si>
    <t>初期構築費</t>
  </si>
  <si>
    <t>コンサル費用固定</t>
  </si>
  <si>
    <t>←上限通数拡大の際に使用する。</t>
  </si>
  <si>
    <t>コンサル費②</t>
  </si>
  <si>
    <t>コンサル費用ショット（開発、初期費用）</t>
  </si>
  <si>
    <t>機能拡張</t>
  </si>
  <si>
    <t>通知メッセージ：要相談、（）</t>
  </si>
  <si>
    <t>APIツール費</t>
  </si>
  <si>
    <t>コスト総計</t>
  </si>
  <si>
    <t>追加通数</t>
  </si>
  <si>
    <t>想定単価</t>
  </si>
  <si>
    <t>→通数減らすように係数：</t>
  </si>
  <si>
    <t>比較項目</t>
  </si>
  <si>
    <t>DYM実装前</t>
  </si>
  <si>
    <t>DYM実装後（③か月）</t>
  </si>
  <si>
    <t>DYM実装後（⑥か月）</t>
  </si>
  <si>
    <t>コスト想定 ※月額（成果報酬プラン）</t>
  </si>
  <si>
    <t>コスト想定 ※月額（固定プラン）</t>
  </si>
  <si>
    <t>友だち数想定</t>
  </si>
  <si>
    <t>ブロック率想定</t>
  </si>
  <si>
    <t>友だち数（アクティブ）想定</t>
  </si>
  <si>
    <t>メッセ通数</t>
  </si>
  <si>
    <t>サイト流入数（LINEから）</t>
  </si>
  <si>
    <t>想定CPC（LINEOA施策）_成果報酬プラン</t>
  </si>
  <si>
    <t>想定CPC（LINEOA施策）_固定運用プラン</t>
  </si>
  <si>
    <t>CV数（もともと）</t>
  </si>
  <si>
    <t>CV数（+LINEOA施策）</t>
  </si>
  <si>
    <t>OA施策CV_内訳①_新規CV1</t>
  </si>
  <si>
    <t>OA施策CV_内訳②_新規CV2</t>
  </si>
  <si>
    <t>OA施策CV_内訳③_リピCV3</t>
  </si>
  <si>
    <t>OA施策CV_内訳④_リピCV4</t>
  </si>
  <si>
    <t>成果報酬プラン_CPA（単純計算）</t>
  </si>
  <si>
    <t>固定費プラン_CPA（単純計算）</t>
  </si>
  <si>
    <t>備考_合計コスト(従量課金) ※アカウント費用</t>
  </si>
  <si>
    <t>従量課金対象単価</t>
  </si>
  <si>
    <t>備考単価</t>
  </si>
  <si>
    <t>階層別</t>
  </si>
  <si>
    <t>母数</t>
  </si>
  <si>
    <t>誘導率</t>
  </si>
  <si>
    <t>想定CVR</t>
  </si>
  <si>
    <t>友だち数_増加施策</t>
  </si>
  <si>
    <t>離脱防止 ※</t>
  </si>
  <si>
    <t>掲載率</t>
  </si>
  <si>
    <t>※サイト構成、要望により変動</t>
  </si>
  <si>
    <t>追加率</t>
  </si>
  <si>
    <t>サイト→LINEの導線の改善 ※</t>
  </si>
  <si>
    <t>サンクスページ誘導 ※</t>
  </si>
  <si>
    <t>ただCVが増えるわけではない</t>
  </si>
  <si>
    <t>掲載数</t>
  </si>
  <si>
    <t>※カウントしない</t>
  </si>
  <si>
    <t>通知メッセの改善 ※</t>
  </si>
  <si>
    <t>配信効率改善施策</t>
  </si>
  <si>
    <t>※具体的なセグメントの仕方、企画により変動</t>
  </si>
  <si>
    <t>課金</t>
  </si>
  <si>
    <t>&gt; 通常メッセ</t>
  </si>
  <si>
    <t>企画投稿（セグメントor一斉配信）</t>
  </si>
  <si>
    <t>追いメッセージ（ステップ、シナリオ）</t>
  </si>
  <si>
    <t>VOOM投稿　※同時進行の場合が多い</t>
  </si>
  <si>
    <t>CV率</t>
  </si>
  <si>
    <t>通知メッセージ（1通7円くらいの想定）　※機能導入が必要　※ツール費：月8万～</t>
  </si>
  <si>
    <t>&gt; 追いメッセ（ステップ、シナリオ）</t>
  </si>
  <si>
    <t>非課金</t>
  </si>
  <si>
    <t>自動の即時応答</t>
  </si>
  <si>
    <t>個別チャット対応</t>
  </si>
  <si>
    <t>あいさつメッセージ</t>
  </si>
  <si>
    <t>（リッチメニュー）</t>
  </si>
  <si>
    <t>&gt; その他（リッチメニュー）</t>
  </si>
  <si>
    <t>&gt;挨拶メッセ</t>
  </si>
  <si>
    <t>&gt;挨拶メッセ（アンケート回答率）</t>
  </si>
  <si>
    <t>回答率</t>
  </si>
  <si>
    <t>-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</si>
</sst>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>
      <alignment vertical="center"/>
    </xf>
    <xf numFmtId="6" fontId="1" fillId="0" borderId="0">
      <alignment vertical="center"/>
    </xf>
    <xf numFmtId="9" fontId="1" fillId="0" borderId="0">
      <alignment vertical="center"/>
    </xf>
  </cellStyleXfs>
  <cellXfs count="14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5" xfId="0" applyNumberFormat="1" applyFont="1" applyFill="1" applyBorder="1" applyAlignment="1">
      <alignment horizontal="center" vertical="center" wrapText="1" readingOrder="1"/>
    </xf>
    <xf numFmtId="3" fontId="17" fillId="0" borderId="5" xfId="0" applyNumberFormat="1" applyFont="1" applyBorder="1" applyAlignment="1">
      <alignment horizontal="center" vertical="center" wrapText="1" readingOrder="1"/>
    </xf>
    <xf numFmtId="0" fontId="17" fillId="12" borderId="5" xfId="0" applyFont="1" applyFill="1" applyBorder="1" applyAlignment="1">
      <alignment horizontal="right" vertical="center" wrapText="1" readingOrder="1"/>
    </xf>
    <xf numFmtId="0" fontId="17" fillId="0" borderId="5" xfId="0" applyFont="1" applyBorder="1" applyAlignment="1">
      <alignment horizontal="right" vertical="center" wrapText="1" readingOrder="1"/>
    </xf>
    <xf numFmtId="3" fontId="17" fillId="0" borderId="5" xfId="0" applyNumberFormat="1" applyFont="1" applyBorder="1" applyAlignment="1">
      <alignment horizontal="right" vertical="center" wrapText="1" readingOrder="1"/>
    </xf>
    <xf numFmtId="10" fontId="17" fillId="0" borderId="5" xfId="0" applyNumberFormat="1" applyFont="1" applyBorder="1" applyAlignment="1">
      <alignment horizontal="right" vertical="center" wrapText="1" readingOrder="1"/>
    </xf>
    <xf numFmtId="0" fontId="19" fillId="12" borderId="5" xfId="0" applyFont="1" applyFill="1" applyBorder="1" applyAlignment="1">
      <alignment horizontal="right" vertical="center" wrapText="1" readingOrder="1"/>
    </xf>
    <xf numFmtId="3" fontId="19" fillId="0" borderId="5" xfId="0" applyNumberFormat="1" applyFont="1" applyBorder="1" applyAlignment="1">
      <alignment horizontal="right" vertical="center" wrapText="1" readingOrder="1"/>
    </xf>
    <xf numFmtId="3" fontId="20" fillId="0" borderId="5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5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right" vertical="center"/>
    </xf>
    <xf numFmtId="6" fontId="6" fillId="2" borderId="4" xfId="0" applyNumberFormat="1" applyFont="1" applyFill="1" applyBorder="1" applyAlignment="1">
      <alignment horizontal="right" vertical="center"/>
    </xf>
    <xf numFmtId="0" fontId="8" fillId="7" borderId="4" xfId="0" applyFont="1" applyFill="1" applyBorder="1" applyAlignment="1">
      <alignment horizontal="right" vertical="center"/>
    </xf>
    <xf numFmtId="38" fontId="19" fillId="12" borderId="5" xfId="1" applyFont="1" applyFill="1" applyBorder="1" applyAlignment="1">
      <alignment horizontal="right" vertical="center" wrapText="1" readingOrder="1"/>
    </xf>
    <xf numFmtId="176" fontId="17" fillId="12" borderId="5" xfId="3" applyNumberFormat="1" applyFont="1" applyFill="1" applyBorder="1" applyAlignment="1">
      <alignment horizontal="right" vertical="center" wrapText="1" readingOrder="1"/>
    </xf>
    <xf numFmtId="38" fontId="17" fillId="12" borderId="5" xfId="1" applyFont="1" applyFill="1" applyBorder="1" applyAlignment="1">
      <alignment horizontal="right" vertical="center" wrapText="1" readingOrder="1"/>
    </xf>
    <xf numFmtId="38" fontId="20" fillId="12" borderId="5" xfId="1" applyFont="1" applyFill="1" applyBorder="1" applyAlignment="1">
      <alignment horizontal="right" vertical="center" wrapText="1" readingOrder="1"/>
    </xf>
    <xf numFmtId="6" fontId="5" fillId="5" borderId="4" xfId="0" applyNumberFormat="1" applyFont="1" applyFill="1" applyBorder="1" applyAlignment="1">
      <alignment horizontal="right" vertical="center"/>
    </xf>
    <xf numFmtId="38" fontId="16" fillId="0" borderId="5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0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3" xfId="0" applyFont="1" applyBorder="1">
      <alignment vertical="center"/>
    </xf>
    <xf numFmtId="0" fontId="8" fillId="0" borderId="6" xfId="0" applyFont="1" applyBorder="1" applyAlignment="1">
      <alignment horizontal="center" vertical="center"/>
    </xf>
    <xf numFmtId="38" fontId="8" fillId="7" borderId="7" xfId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38" fontId="8" fillId="7" borderId="0" xfId="1" applyFont="1" applyFill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12" xfId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38" fontId="8" fillId="7" borderId="8" xfId="1" applyFont="1" applyFill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15" xfId="0" applyFont="1" applyBorder="1">
      <alignment vertical="center"/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0" fillId="0" borderId="0" xfId="0" applyAlignment="1"/>
    <xf numFmtId="0" fontId="6" fillId="2" borderId="1" xfId="0" applyFont="1" applyFill="1" applyBorder="1" applyAlignment="1">
      <alignment horizontal="center" vertical="center"/>
    </xf>
    <xf numFmtId="0" fontId="0" fillId="0" borderId="4" xfId="0" applyBorder="1" applyAlignment="1"/>
    <xf numFmtId="0" fontId="8" fillId="2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2" xfId="0" applyBorder="1" applyAlignment="1"/>
    <xf numFmtId="0" fontId="6" fillId="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8" fillId="10" borderId="5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5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76"/>
  <sheetViews>
    <sheetView tabSelected="1" topLeftCell="A8" zoomScale="59" zoomScaleNormal="55" workbookViewId="0">
      <selection activeCell="E74" sqref="E74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7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28" width="9" style="5" customWidth="1"/>
    <col min="29" max="16384" width="9" style="5"/>
  </cols>
  <sheetData>
    <row r="2" spans="1:25" x14ac:dyDescent="0.55000000000000004">
      <c r="A2" s="130" t="s">
        <v>0</v>
      </c>
      <c r="B2" s="131">
        <v>46269</v>
      </c>
    </row>
    <row r="4" spans="1:25" ht="45.75" customHeight="1" x14ac:dyDescent="0.55000000000000004">
      <c r="A4" s="56" t="s">
        <v>1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customHeight="1" x14ac:dyDescent="0.55000000000000004">
      <c r="A5" s="1"/>
      <c r="B5" s="1"/>
      <c r="C5" s="1"/>
      <c r="D5" s="1"/>
      <c r="N5" s="55" t="s">
        <v>2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customHeight="1" thickBot="1" x14ac:dyDescent="0.6">
      <c r="A7" s="29" t="s">
        <v>3</v>
      </c>
      <c r="B7" s="17" t="s">
        <v>4</v>
      </c>
      <c r="C7" s="17" t="s">
        <v>5</v>
      </c>
      <c r="D7" s="17" t="s">
        <v>6</v>
      </c>
    </row>
    <row r="8" spans="1:25" ht="18" customHeight="1" thickBot="1" x14ac:dyDescent="0.6">
      <c r="A8" s="136" t="s">
        <v>7</v>
      </c>
      <c r="B8" s="19" t="s">
        <v>8</v>
      </c>
      <c r="C8" s="19" t="s">
        <v>9</v>
      </c>
      <c r="D8" s="33">
        <v>2000</v>
      </c>
      <c r="G8" s="118" t="s">
        <v>10</v>
      </c>
      <c r="H8" s="119">
        <v>18784</v>
      </c>
      <c r="I8" s="120"/>
      <c r="J8" s="120" t="s">
        <v>11</v>
      </c>
      <c r="K8" s="126">
        <v>500</v>
      </c>
      <c r="N8" s="67" t="s">
        <v>12</v>
      </c>
      <c r="O8" s="35" t="s">
        <v>13</v>
      </c>
    </row>
    <row r="9" spans="1:25" ht="18" customHeight="1" thickBot="1" x14ac:dyDescent="0.6">
      <c r="A9" s="139"/>
      <c r="B9" s="19" t="s">
        <v>14</v>
      </c>
      <c r="C9" s="38" t="s">
        <v>191</v>
      </c>
      <c r="D9" s="33">
        <v>0</v>
      </c>
      <c r="G9" s="121" t="s">
        <v>15</v>
      </c>
      <c r="H9" s="122">
        <v>4500</v>
      </c>
      <c r="I9" s="22"/>
      <c r="J9" s="29"/>
      <c r="K9" s="115"/>
      <c r="N9" s="129" t="s">
        <v>16</v>
      </c>
      <c r="O9" s="127" t="s">
        <v>17</v>
      </c>
      <c r="P9" s="128" t="b">
        <v>1</v>
      </c>
    </row>
    <row r="10" spans="1:25" x14ac:dyDescent="0.55000000000000004">
      <c r="A10" s="136" t="s">
        <v>18</v>
      </c>
      <c r="B10" s="19" t="s">
        <v>19</v>
      </c>
      <c r="C10" s="19" t="s">
        <v>20</v>
      </c>
      <c r="D10" s="33">
        <v>0</v>
      </c>
      <c r="G10" s="121" t="s">
        <v>21</v>
      </c>
      <c r="H10" s="122">
        <v>100</v>
      </c>
      <c r="I10" s="22" t="s">
        <v>22</v>
      </c>
      <c r="J10" s="29"/>
      <c r="K10" s="115"/>
      <c r="N10" s="129" t="s">
        <v>23</v>
      </c>
    </row>
    <row r="11" spans="1:25" ht="18" customHeight="1" thickBot="1" x14ac:dyDescent="0.6">
      <c r="A11" s="139"/>
      <c r="B11" s="19" t="s">
        <v>24</v>
      </c>
      <c r="C11" s="38" t="s">
        <v>20</v>
      </c>
      <c r="D11" s="33">
        <v>0</v>
      </c>
      <c r="G11" s="123" t="s">
        <v>25</v>
      </c>
      <c r="H11" s="124">
        <v>0</v>
      </c>
      <c r="I11" s="125" t="s">
        <v>26</v>
      </c>
      <c r="J11" s="116"/>
      <c r="K11" s="117"/>
    </row>
    <row r="12" spans="1:25" x14ac:dyDescent="0.55000000000000004">
      <c r="O12" s="55" t="s">
        <v>27</v>
      </c>
      <c r="P12" s="55"/>
      <c r="Q12" s="55"/>
      <c r="S12" s="55"/>
      <c r="T12" s="55"/>
      <c r="U12" s="55"/>
      <c r="V12" s="55"/>
    </row>
    <row r="13" spans="1:25" ht="18" customHeight="1" x14ac:dyDescent="0.55000000000000004">
      <c r="A13" s="144" t="s">
        <v>28</v>
      </c>
      <c r="B13" s="134"/>
      <c r="C13" s="92"/>
      <c r="D13" s="13" t="s">
        <v>29</v>
      </c>
      <c r="E13" s="36" t="s">
        <v>30</v>
      </c>
      <c r="F13" s="36" t="s">
        <v>31</v>
      </c>
      <c r="G13" s="36" t="s">
        <v>32</v>
      </c>
      <c r="H13" s="36" t="s">
        <v>33</v>
      </c>
      <c r="I13" s="36" t="s">
        <v>34</v>
      </c>
      <c r="J13" s="36" t="s">
        <v>35</v>
      </c>
      <c r="K13" s="3" t="s">
        <v>36</v>
      </c>
      <c r="L13" s="4" t="s">
        <v>37</v>
      </c>
      <c r="N13" s="69" t="s">
        <v>38</v>
      </c>
      <c r="O13" s="30" t="s">
        <v>39</v>
      </c>
      <c r="P13" s="23"/>
      <c r="Q13" s="23"/>
      <c r="S13" s="23"/>
      <c r="T13" s="23"/>
      <c r="U13" s="23"/>
      <c r="V13" s="23"/>
    </row>
    <row r="14" spans="1:25" ht="19" customHeight="1" x14ac:dyDescent="0.55000000000000004">
      <c r="A14" s="133" t="s">
        <v>40</v>
      </c>
      <c r="B14" s="20" t="s">
        <v>41</v>
      </c>
      <c r="C14" s="96"/>
      <c r="D14" s="42">
        <f>+H8</f>
        <v>18784</v>
      </c>
      <c r="E14" s="43">
        <f t="shared" ref="E14:J16" si="0">+D14</f>
        <v>18784</v>
      </c>
      <c r="F14" s="43">
        <f t="shared" si="0"/>
        <v>18784</v>
      </c>
      <c r="G14" s="43">
        <f t="shared" si="0"/>
        <v>18784</v>
      </c>
      <c r="H14" s="43">
        <f t="shared" si="0"/>
        <v>18784</v>
      </c>
      <c r="I14" s="43">
        <f t="shared" si="0"/>
        <v>18784</v>
      </c>
      <c r="J14" s="43">
        <f t="shared" si="0"/>
        <v>18784</v>
      </c>
      <c r="K14" s="11"/>
      <c r="L14" s="7"/>
    </row>
    <row r="15" spans="1:25" ht="19" customHeight="1" x14ac:dyDescent="0.55000000000000004">
      <c r="A15" s="140"/>
      <c r="B15" s="20" t="s">
        <v>42</v>
      </c>
      <c r="C15" s="96"/>
      <c r="D15" s="42">
        <f>+H9</f>
        <v>4500</v>
      </c>
      <c r="E15" s="43">
        <f t="shared" si="0"/>
        <v>4500</v>
      </c>
      <c r="F15" s="43">
        <f t="shared" si="0"/>
        <v>4500</v>
      </c>
      <c r="G15" s="43">
        <f t="shared" si="0"/>
        <v>4500</v>
      </c>
      <c r="H15" s="43">
        <f t="shared" si="0"/>
        <v>4500</v>
      </c>
      <c r="I15" s="43">
        <f t="shared" si="0"/>
        <v>4500</v>
      </c>
      <c r="J15" s="43">
        <f t="shared" si="0"/>
        <v>4500</v>
      </c>
      <c r="K15" s="11"/>
      <c r="L15" s="7"/>
      <c r="N15" s="67" t="s">
        <v>43</v>
      </c>
      <c r="O15" s="17" t="s">
        <v>44</v>
      </c>
      <c r="P15" s="77">
        <v>5.0000000000000001E-3</v>
      </c>
      <c r="S15" s="29" t="s">
        <v>45</v>
      </c>
    </row>
    <row r="16" spans="1:25" ht="19" customHeight="1" x14ac:dyDescent="0.55000000000000004">
      <c r="A16" s="139"/>
      <c r="B16" s="20" t="s">
        <v>46</v>
      </c>
      <c r="C16" s="96"/>
      <c r="D16" s="42">
        <f>H10</f>
        <v>100</v>
      </c>
      <c r="E16" s="43">
        <f t="shared" si="0"/>
        <v>100</v>
      </c>
      <c r="F16" s="43">
        <f t="shared" si="0"/>
        <v>100</v>
      </c>
      <c r="G16" s="43">
        <f t="shared" si="0"/>
        <v>100</v>
      </c>
      <c r="H16" s="43">
        <f t="shared" si="0"/>
        <v>100</v>
      </c>
      <c r="I16" s="43">
        <f t="shared" si="0"/>
        <v>100</v>
      </c>
      <c r="J16" s="43">
        <f t="shared" si="0"/>
        <v>100</v>
      </c>
      <c r="K16" s="11"/>
      <c r="L16" s="7"/>
      <c r="N16" s="67" t="s">
        <v>43</v>
      </c>
      <c r="O16" s="17" t="s">
        <v>47</v>
      </c>
      <c r="P16" s="77">
        <v>2.5000000000000001E-3</v>
      </c>
      <c r="S16" s="5" t="s">
        <v>48</v>
      </c>
    </row>
    <row r="17" spans="1:26" x14ac:dyDescent="0.55000000000000004">
      <c r="A17" s="133" t="s">
        <v>49</v>
      </c>
      <c r="B17" s="8" t="s">
        <v>50</v>
      </c>
      <c r="C17" s="97"/>
      <c r="D17" s="145" t="b">
        <v>0</v>
      </c>
      <c r="E17" s="146" t="b">
        <v>0</v>
      </c>
      <c r="F17" s="146" t="b">
        <v>0</v>
      </c>
      <c r="G17" s="146" t="b">
        <v>0</v>
      </c>
      <c r="H17" s="146" t="b">
        <v>0</v>
      </c>
      <c r="I17" s="146" t="b">
        <v>0</v>
      </c>
      <c r="J17" s="146" t="b">
        <v>0</v>
      </c>
      <c r="K17" s="14" t="s">
        <v>51</v>
      </c>
      <c r="L17" s="9" t="s">
        <v>51</v>
      </c>
      <c r="S17" s="5" t="s">
        <v>52</v>
      </c>
      <c r="W17" s="5" t="s">
        <v>53</v>
      </c>
      <c r="Z17" s="35" t="s">
        <v>54</v>
      </c>
    </row>
    <row r="18" spans="1:26" x14ac:dyDescent="0.55000000000000004">
      <c r="A18" s="140"/>
      <c r="B18" s="8" t="s">
        <v>55</v>
      </c>
      <c r="C18" s="97"/>
      <c r="D18" s="145" t="b">
        <v>0</v>
      </c>
      <c r="E18" s="146" t="b">
        <v>1</v>
      </c>
      <c r="F18" s="146" t="b">
        <v>1</v>
      </c>
      <c r="G18" s="146" t="b">
        <v>1</v>
      </c>
      <c r="H18" s="146" t="b">
        <v>1</v>
      </c>
      <c r="I18" s="146" t="b">
        <v>1</v>
      </c>
      <c r="J18" s="146" t="b">
        <v>1</v>
      </c>
      <c r="K18" s="14" t="s">
        <v>51</v>
      </c>
      <c r="L18" s="9" t="s">
        <v>51</v>
      </c>
      <c r="N18" s="67" t="s">
        <v>56</v>
      </c>
      <c r="O18" s="22" t="s">
        <v>57</v>
      </c>
      <c r="P18" s="76">
        <v>0.65</v>
      </c>
      <c r="S18" s="5">
        <v>0</v>
      </c>
      <c r="T18" s="5" t="s">
        <v>20</v>
      </c>
      <c r="U18" s="34">
        <v>200000</v>
      </c>
      <c r="W18" s="5">
        <v>0</v>
      </c>
      <c r="X18" s="5" t="s">
        <v>20</v>
      </c>
      <c r="Y18" s="34">
        <v>600000</v>
      </c>
      <c r="Z18" s="35">
        <v>3</v>
      </c>
    </row>
    <row r="19" spans="1:26" x14ac:dyDescent="0.55000000000000004">
      <c r="A19" s="140"/>
      <c r="B19" s="8" t="s">
        <v>58</v>
      </c>
      <c r="C19" s="97"/>
      <c r="D19" s="145" t="b">
        <v>0</v>
      </c>
      <c r="E19" s="146" t="b">
        <v>0</v>
      </c>
      <c r="F19" s="146" t="b">
        <v>0</v>
      </c>
      <c r="G19" s="146" t="b">
        <v>0</v>
      </c>
      <c r="H19" s="146" t="b">
        <v>0</v>
      </c>
      <c r="I19" s="146" t="b">
        <v>0</v>
      </c>
      <c r="J19" s="146" t="b">
        <v>0</v>
      </c>
      <c r="K19" s="14"/>
      <c r="L19" s="9"/>
      <c r="N19" s="67" t="s">
        <v>56</v>
      </c>
      <c r="O19" s="22" t="s">
        <v>59</v>
      </c>
      <c r="P19" s="76">
        <v>0.55000000000000004</v>
      </c>
      <c r="S19" s="34">
        <v>200000</v>
      </c>
      <c r="T19" s="5" t="s">
        <v>20</v>
      </c>
      <c r="U19" s="34">
        <v>15000000</v>
      </c>
      <c r="W19" s="34">
        <v>600000</v>
      </c>
      <c r="X19" s="5" t="s">
        <v>20</v>
      </c>
      <c r="Y19" s="34">
        <f>+U19*2.5</f>
        <v>37500000</v>
      </c>
      <c r="Z19" s="35">
        <v>2.5</v>
      </c>
    </row>
    <row r="20" spans="1:26" x14ac:dyDescent="0.55000000000000004">
      <c r="A20" s="140"/>
      <c r="B20" s="8" t="s">
        <v>60</v>
      </c>
      <c r="C20" s="97"/>
      <c r="D20" s="145" t="b">
        <v>0</v>
      </c>
      <c r="E20" s="146" t="b">
        <v>0</v>
      </c>
      <c r="F20" s="146" t="b">
        <v>0</v>
      </c>
      <c r="G20" s="146" t="b">
        <v>0</v>
      </c>
      <c r="H20" s="146" t="b">
        <v>0</v>
      </c>
      <c r="I20" s="146" t="b">
        <v>0</v>
      </c>
      <c r="J20" s="146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39"/>
      <c r="B21" s="8" t="s">
        <v>61</v>
      </c>
      <c r="C21" s="97"/>
      <c r="D21" s="145" t="b">
        <v>0</v>
      </c>
      <c r="E21" s="146" t="b">
        <v>0</v>
      </c>
      <c r="F21" s="146" t="b">
        <v>0</v>
      </c>
      <c r="G21" s="146" t="b">
        <v>0</v>
      </c>
      <c r="H21" s="146" t="b">
        <v>0</v>
      </c>
      <c r="I21" s="146" t="b">
        <v>0</v>
      </c>
      <c r="J21" s="146" t="b">
        <v>0</v>
      </c>
      <c r="K21" s="14" t="s">
        <v>51</v>
      </c>
      <c r="L21" s="9" t="s">
        <v>51</v>
      </c>
      <c r="O21" s="25" t="s">
        <v>62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1" t="s">
        <v>63</v>
      </c>
      <c r="B22" s="6" t="s">
        <v>50</v>
      </c>
      <c r="C22" s="17"/>
      <c r="D22" s="44" t="s">
        <v>51</v>
      </c>
      <c r="E22" s="61">
        <f>IF(E17=FALSE,0,IF(E65=0,0,IFERROR(E65/P30,"D63を記入してください")))</f>
        <v>0</v>
      </c>
      <c r="F22" s="61">
        <f>E22*1.01</f>
        <v>0</v>
      </c>
      <c r="G22" s="61">
        <f>F22*1.01</f>
        <v>0</v>
      </c>
      <c r="H22" s="61">
        <f>G22*1.01</f>
        <v>0</v>
      </c>
      <c r="I22" s="61">
        <f>H22*1.01</f>
        <v>0</v>
      </c>
      <c r="J22" s="61">
        <f>I22*1.01</f>
        <v>0</v>
      </c>
      <c r="K22" s="11"/>
      <c r="L22" s="7"/>
      <c r="N22" s="67" t="s">
        <v>64</v>
      </c>
      <c r="O22" s="17" t="s">
        <v>65</v>
      </c>
      <c r="P22" s="24">
        <v>0.78</v>
      </c>
      <c r="S22" s="34"/>
      <c r="U22" s="34"/>
      <c r="W22" s="34"/>
      <c r="Y22" s="34"/>
      <c r="Z22" s="35"/>
    </row>
    <row r="23" spans="1:26" ht="19" customHeight="1" x14ac:dyDescent="0.55000000000000004">
      <c r="A23" s="140"/>
      <c r="B23" s="6" t="s">
        <v>55</v>
      </c>
      <c r="C23" s="17"/>
      <c r="D23" s="44" t="s">
        <v>51</v>
      </c>
      <c r="E23" s="46">
        <f>IF(E18=FALSE,0,E15*$P$18*0.08*0.08+(E14-E15)*$P$19*0.12*0.12)</f>
        <v>131.84927999999999</v>
      </c>
      <c r="F23" s="46">
        <f>IF(F18=FALSE,0,F15*$P$18*0.08*0.08+(F14-F15)*$P$19*0.12*0.12)</f>
        <v>131.84927999999999</v>
      </c>
      <c r="G23" s="61">
        <f t="shared" ref="G23:J24" si="1">F23*1.01</f>
        <v>133.16777279999999</v>
      </c>
      <c r="H23" s="61">
        <f t="shared" si="1"/>
        <v>134.49945052799998</v>
      </c>
      <c r="I23" s="61">
        <f t="shared" si="1"/>
        <v>135.84444503327998</v>
      </c>
      <c r="J23" s="61">
        <f t="shared" si="1"/>
        <v>137.20288948361278</v>
      </c>
      <c r="K23" s="11"/>
      <c r="L23" s="7"/>
      <c r="N23" s="67" t="s">
        <v>66</v>
      </c>
      <c r="O23" s="17" t="s">
        <v>67</v>
      </c>
      <c r="P23" s="24">
        <v>0.1</v>
      </c>
      <c r="Q23" s="5" t="s">
        <v>68</v>
      </c>
      <c r="S23" s="34"/>
      <c r="U23" s="34"/>
      <c r="W23" s="34"/>
      <c r="Y23" s="34"/>
      <c r="Z23" s="35"/>
    </row>
    <row r="24" spans="1:26" ht="19" customHeight="1" x14ac:dyDescent="0.55000000000000004">
      <c r="A24" s="140"/>
      <c r="B24" s="6" t="s">
        <v>58</v>
      </c>
      <c r="C24" s="17"/>
      <c r="D24" s="44" t="s">
        <v>51</v>
      </c>
      <c r="E24" s="46">
        <f>+IF(E19=FALSE,0,SUM(H10:H11)*0.15)</f>
        <v>0</v>
      </c>
      <c r="F24" s="61">
        <f>E24*1.01</f>
        <v>0</v>
      </c>
      <c r="G24" s="61">
        <f t="shared" si="1"/>
        <v>0</v>
      </c>
      <c r="H24" s="61">
        <f t="shared" si="1"/>
        <v>0</v>
      </c>
      <c r="I24" s="61">
        <f t="shared" si="1"/>
        <v>0</v>
      </c>
      <c r="J24" s="61">
        <f t="shared" si="1"/>
        <v>0</v>
      </c>
      <c r="K24" s="11"/>
      <c r="L24" s="7"/>
      <c r="N24" s="67" t="s">
        <v>69</v>
      </c>
      <c r="O24" s="22" t="s">
        <v>70</v>
      </c>
      <c r="P24" s="75">
        <v>0.8</v>
      </c>
      <c r="Q24" s="68">
        <v>0.8</v>
      </c>
      <c r="S24" s="34"/>
      <c r="U24" s="34"/>
      <c r="W24" s="34"/>
      <c r="Y24" s="34"/>
      <c r="Z24" s="35"/>
    </row>
    <row r="25" spans="1:26" ht="19" customHeight="1" x14ac:dyDescent="0.55000000000000004">
      <c r="A25" s="139"/>
      <c r="B25" s="6" t="s">
        <v>71</v>
      </c>
      <c r="C25" s="17"/>
      <c r="D25" s="44" t="s">
        <v>51</v>
      </c>
      <c r="E25" s="46">
        <f t="shared" ref="E25:J25" si="2">+IF(E20=FALSE,0,SUM($H$10:$H$11)*0.7*0.3)+IF($E$21=FALSE,0,$K$8*0.15*0.15)</f>
        <v>0</v>
      </c>
      <c r="F25" s="46">
        <f t="shared" si="2"/>
        <v>0</v>
      </c>
      <c r="G25" s="46">
        <f t="shared" si="2"/>
        <v>0</v>
      </c>
      <c r="H25" s="46">
        <f t="shared" si="2"/>
        <v>0</v>
      </c>
      <c r="I25" s="46">
        <f t="shared" si="2"/>
        <v>0</v>
      </c>
      <c r="J25" s="46">
        <f t="shared" si="2"/>
        <v>0</v>
      </c>
      <c r="K25" s="11"/>
      <c r="L25" s="7"/>
      <c r="N25" s="67" t="s">
        <v>72</v>
      </c>
      <c r="O25" s="25" t="s">
        <v>73</v>
      </c>
      <c r="P25" s="26"/>
      <c r="S25" s="34"/>
      <c r="U25" s="34"/>
      <c r="W25" s="34"/>
      <c r="Y25" s="34"/>
      <c r="Z25" s="35"/>
    </row>
    <row r="26" spans="1:26" ht="19" customHeight="1" x14ac:dyDescent="0.55000000000000004">
      <c r="A26" s="133" t="s">
        <v>74</v>
      </c>
      <c r="B26" s="134"/>
      <c r="C26" s="23"/>
      <c r="D26" s="44" t="s">
        <v>51</v>
      </c>
      <c r="E26" s="46">
        <f>+SUM(E22:E25)+$H$9*$P$16+($H$8-$H$9)*$P$15+IF(P9=FALSE,0,$K$8*0.15*0.08)</f>
        <v>220.51927999999998</v>
      </c>
      <c r="F26" s="46">
        <f>+SUM(F22:F25)+$H$9*$P$16+($H$8-$H$9)*$P$15</f>
        <v>214.51927999999998</v>
      </c>
      <c r="G26" s="46">
        <f>+SUM(G22:G25)+$H$9*$P$16+($H$8-$H$9)*$P$15</f>
        <v>215.83777279999998</v>
      </c>
      <c r="H26" s="46">
        <f>+SUM(H22:H25)+$H$9*$P$16+($H$8-$H$9)*$P$15</f>
        <v>217.16945052799997</v>
      </c>
      <c r="I26" s="46">
        <f>+SUM(I22:I25)+$H$9*$P$16+($H$8-$H$9)*$P$15</f>
        <v>218.51444503327997</v>
      </c>
      <c r="J26" s="46">
        <f>+SUM(J22:J25)+$H$9*$P$16+($H$8-$H$9)*$P$15</f>
        <v>219.87288948361277</v>
      </c>
      <c r="K26" s="11"/>
      <c r="L26" s="7"/>
      <c r="N26" s="70" t="s">
        <v>75</v>
      </c>
      <c r="O26" s="17" t="s">
        <v>65</v>
      </c>
      <c r="P26" s="24">
        <v>0.72499999999999998</v>
      </c>
      <c r="S26" s="34"/>
      <c r="U26" s="34"/>
      <c r="W26" s="34"/>
      <c r="Y26" s="34"/>
      <c r="Z26" s="35"/>
    </row>
    <row r="27" spans="1:26" ht="19" customHeight="1" x14ac:dyDescent="0.55000000000000004">
      <c r="A27" s="133" t="s">
        <v>76</v>
      </c>
      <c r="B27" s="134"/>
      <c r="C27" s="23"/>
      <c r="D27" s="104">
        <v>0</v>
      </c>
      <c r="E27" s="47">
        <v>0.316</v>
      </c>
      <c r="F27" s="47">
        <f>+E27*1.025</f>
        <v>0.32389999999999997</v>
      </c>
      <c r="G27" s="47">
        <f>+F27*1.025</f>
        <v>0.33199749999999995</v>
      </c>
      <c r="H27" s="47">
        <f>+G27*1.025</f>
        <v>0.34029743749999991</v>
      </c>
      <c r="I27" s="47">
        <f>+H27*1.025</f>
        <v>0.34880487343749988</v>
      </c>
      <c r="J27" s="47">
        <f>+I27*1.025</f>
        <v>0.35752499527343734</v>
      </c>
      <c r="K27" s="11"/>
      <c r="L27" s="7"/>
      <c r="O27" s="17" t="s">
        <v>67</v>
      </c>
      <c r="P27" s="24">
        <v>0.12</v>
      </c>
      <c r="Q27" s="5" t="s">
        <v>68</v>
      </c>
      <c r="S27" s="34"/>
      <c r="U27" s="34"/>
      <c r="W27" s="34"/>
      <c r="Y27" s="34"/>
      <c r="Z27" s="35"/>
    </row>
    <row r="28" spans="1:26" ht="19" customHeight="1" x14ac:dyDescent="0.55000000000000004">
      <c r="A28" s="143" t="s">
        <v>77</v>
      </c>
      <c r="B28" s="134"/>
      <c r="C28" s="98"/>
      <c r="D28" s="103">
        <v>0</v>
      </c>
      <c r="E28" s="49">
        <f t="shared" ref="E28:J28" si="3">+D28+E26</f>
        <v>220.51927999999998</v>
      </c>
      <c r="F28" s="49">
        <f t="shared" si="3"/>
        <v>435.03855999999996</v>
      </c>
      <c r="G28" s="49">
        <f t="shared" si="3"/>
        <v>650.8763328</v>
      </c>
      <c r="H28" s="49">
        <f t="shared" si="3"/>
        <v>868.04578332799997</v>
      </c>
      <c r="I28" s="49">
        <f t="shared" si="3"/>
        <v>1086.56022836128</v>
      </c>
      <c r="J28" s="49">
        <f t="shared" si="3"/>
        <v>1306.4331178448929</v>
      </c>
      <c r="K28" s="12"/>
      <c r="L28" s="7"/>
      <c r="O28" s="22" t="s">
        <v>70</v>
      </c>
      <c r="P28" s="75">
        <v>0.2</v>
      </c>
      <c r="Q28" s="68">
        <v>0.8</v>
      </c>
      <c r="S28" s="34"/>
      <c r="U28" s="34"/>
      <c r="W28" s="34"/>
      <c r="Y28" s="34"/>
      <c r="Z28" s="35"/>
    </row>
    <row r="29" spans="1:26" ht="19" customHeight="1" x14ac:dyDescent="0.55000000000000004">
      <c r="A29" s="142" t="s">
        <v>78</v>
      </c>
      <c r="B29" s="134"/>
      <c r="C29" s="99"/>
      <c r="D29" s="105">
        <v>0</v>
      </c>
      <c r="E29" s="50">
        <f t="shared" ref="E29:J29" si="4">+E28*(1-E27)</f>
        <v>150.83518751999998</v>
      </c>
      <c r="F29" s="50">
        <f t="shared" si="4"/>
        <v>294.12957041599998</v>
      </c>
      <c r="G29" s="50">
        <f t="shared" si="4"/>
        <v>434.78701750123201</v>
      </c>
      <c r="H29" s="50">
        <f t="shared" si="4"/>
        <v>572.65202762880153</v>
      </c>
      <c r="I29" s="50">
        <f t="shared" si="4"/>
        <v>707.56272542550278</v>
      </c>
      <c r="J29" s="50">
        <f t="shared" si="4"/>
        <v>839.3506235623355</v>
      </c>
      <c r="K29" s="12"/>
      <c r="L29" s="7"/>
      <c r="N29" s="67" t="s">
        <v>79</v>
      </c>
      <c r="S29" s="34"/>
      <c r="U29" s="34"/>
      <c r="W29" s="34"/>
      <c r="Y29" s="34"/>
      <c r="Z29" s="35"/>
    </row>
    <row r="30" spans="1:26" ht="19" customHeight="1" x14ac:dyDescent="0.55000000000000004">
      <c r="A30" s="135" t="s">
        <v>80</v>
      </c>
      <c r="B30" s="134"/>
      <c r="C30" s="30"/>
      <c r="D30" s="48">
        <v>0</v>
      </c>
      <c r="E30" s="45">
        <v>3</v>
      </c>
      <c r="F30" s="45">
        <v>3</v>
      </c>
      <c r="G30" s="45">
        <v>3</v>
      </c>
      <c r="H30" s="45">
        <v>3</v>
      </c>
      <c r="I30" s="45">
        <v>3</v>
      </c>
      <c r="J30" s="45">
        <v>3</v>
      </c>
      <c r="K30" s="11"/>
      <c r="L30" s="7"/>
      <c r="N30" s="67" t="s">
        <v>81</v>
      </c>
      <c r="O30" s="17" t="s">
        <v>82</v>
      </c>
      <c r="P30" s="74"/>
      <c r="S30" s="34"/>
      <c r="U30" s="34"/>
      <c r="W30" s="34"/>
      <c r="Y30" s="34"/>
      <c r="Z30" s="35"/>
    </row>
    <row r="31" spans="1:26" ht="19" customHeight="1" x14ac:dyDescent="0.55000000000000004">
      <c r="A31" s="133" t="s">
        <v>83</v>
      </c>
      <c r="B31" s="134"/>
      <c r="C31" s="23"/>
      <c r="D31" s="105">
        <f>+D30*D29*0.41*0.07</f>
        <v>0</v>
      </c>
      <c r="E31" s="61">
        <f>+E29*E30*$P$24*$P$22*$P$23*$P$36</f>
        <v>41.340835794591605</v>
      </c>
      <c r="F31" s="61">
        <f>+F29*F30*$P$24*$P$22*$P$23*$P$36</f>
        <v>80.614891477423512</v>
      </c>
      <c r="G31" s="61">
        <f>+G29*G30*$P$24*$P$22*$P$23*$P$36</f>
        <v>119.16621705896935</v>
      </c>
      <c r="H31" s="61">
        <f>+H29*H30*$P$24*$P$22*$P$23*$P$36*$Q$24</f>
        <v>125.56175428762302</v>
      </c>
      <c r="I31" s="61">
        <f>+I29*I30*$P$24*$P$22*$P$23*$P$36*$Q$24</f>
        <v>155.14276172361099</v>
      </c>
      <c r="J31" s="61">
        <f>+J29*J30*$P$24*$P$22*$P$23*$P$36*$Q$24</f>
        <v>184.03905281413262</v>
      </c>
      <c r="K31" s="11"/>
      <c r="L31" s="7"/>
      <c r="S31" s="34"/>
      <c r="U31" s="34"/>
      <c r="W31" s="34"/>
      <c r="Y31" s="34"/>
      <c r="Z31" s="35"/>
    </row>
    <row r="32" spans="1:26" ht="19" customHeight="1" x14ac:dyDescent="0.55000000000000004">
      <c r="A32" s="135" t="s">
        <v>84</v>
      </c>
      <c r="B32" s="134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7" t="s">
        <v>85</v>
      </c>
      <c r="O32" s="17" t="s">
        <v>86</v>
      </c>
      <c r="P32" s="73" t="b">
        <v>1</v>
      </c>
      <c r="Q32" s="71">
        <f>+IF(P32=TRUE,1.1,0.95)</f>
        <v>1.1000000000000001</v>
      </c>
      <c r="S32" s="34"/>
      <c r="U32" s="34"/>
      <c r="W32" s="34"/>
      <c r="Z32" s="35"/>
    </row>
    <row r="33" spans="1:17" ht="19" customHeight="1" x14ac:dyDescent="0.55000000000000004">
      <c r="A33" s="133" t="s">
        <v>87</v>
      </c>
      <c r="B33" s="134"/>
      <c r="C33" s="23"/>
      <c r="D33" s="44">
        <v>0</v>
      </c>
      <c r="E33" s="61">
        <f>+E29*E32*$P$26*$P$27*$P$28*$P$36</f>
        <v>38.42577686035758</v>
      </c>
      <c r="F33" s="61">
        <f>+F29*F32*$P$26*$P$27*$P$28*$P$36</f>
        <v>74.930508104015445</v>
      </c>
      <c r="G33" s="61">
        <f>+G29*G32*$P$26*$P$27*$P$28*$P$36</f>
        <v>110.76347098429842</v>
      </c>
      <c r="H33" s="61">
        <f>+H29*H32*$P$26*$P$27*$P$28*$P$36*$Q$28</f>
        <v>116.70804084426496</v>
      </c>
      <c r="I33" s="61">
        <f>+I29*I32*$P$26*$P$27*$P$28*$P$36*$Q$28</f>
        <v>144.20320801233069</v>
      </c>
      <c r="J33" s="61">
        <f>+J29*J32*$P$26*$P$27*$P$28*$P$36*$Q$28</f>
        <v>171.06194011570017</v>
      </c>
      <c r="K33" s="11"/>
      <c r="L33" s="7"/>
      <c r="O33" s="17" t="s">
        <v>88</v>
      </c>
      <c r="P33" s="73" t="b">
        <v>1</v>
      </c>
      <c r="Q33" s="71">
        <f>+IF(P33=TRUE,1.1,0.95)</f>
        <v>1.1000000000000001</v>
      </c>
    </row>
    <row r="34" spans="1:17" ht="19" customHeight="1" x14ac:dyDescent="0.55000000000000004">
      <c r="A34" s="142" t="s">
        <v>89</v>
      </c>
      <c r="B34" s="134"/>
      <c r="C34" s="99"/>
      <c r="D34" s="105">
        <f>+D29*D30</f>
        <v>0</v>
      </c>
      <c r="E34" s="46">
        <f>+E29*E30*$P$24+E29*E32*$P$28</f>
        <v>663.67482508799992</v>
      </c>
      <c r="F34" s="46">
        <f>+F29*F30*$P$24+F29*F32*$P$28</f>
        <v>1294.1701098304</v>
      </c>
      <c r="G34" s="46">
        <f>+G29*G30*$P$24+G29*G32*$P$28</f>
        <v>1913.0628770054209</v>
      </c>
      <c r="H34" s="46">
        <f>+H29*H30*$P$24*$Q$24+H29*H32*$P$28*$Q$28</f>
        <v>2015.7351372533817</v>
      </c>
      <c r="I34" s="46">
        <f>+I29*I30*$P$24*$Q$24+I29*I32*$P$28*$Q$28</f>
        <v>2490.6207934977701</v>
      </c>
      <c r="J34" s="46">
        <f>+J29*J30*$P$24*$Q$24+J29*J32*$P$28*$Q$28</f>
        <v>2954.5141949394215</v>
      </c>
      <c r="K34" s="11"/>
      <c r="L34" s="7"/>
      <c r="O34" s="17" t="s">
        <v>90</v>
      </c>
      <c r="P34" s="73" t="b">
        <v>1</v>
      </c>
      <c r="Q34" s="71">
        <f>+IF(P34=TRUE,1.1,0.95)</f>
        <v>1.1000000000000001</v>
      </c>
    </row>
    <row r="35" spans="1:17" ht="19" customHeight="1" x14ac:dyDescent="0.55000000000000004">
      <c r="A35" s="142" t="s">
        <v>91</v>
      </c>
      <c r="B35" s="134"/>
      <c r="C35" s="99"/>
      <c r="D35" s="106">
        <f>+D31*1.02</f>
        <v>0</v>
      </c>
      <c r="E35" s="50">
        <f t="shared" ref="E35:J35" si="5">+E31+E33+1.05*(E31+E33)</f>
        <v>163.52155594264582</v>
      </c>
      <c r="F35" s="50">
        <f t="shared" si="5"/>
        <v>318.86806914194989</v>
      </c>
      <c r="G35" s="50">
        <f t="shared" si="5"/>
        <v>471.35586048869897</v>
      </c>
      <c r="H35" s="50">
        <f t="shared" si="5"/>
        <v>496.65308002037034</v>
      </c>
      <c r="I35" s="50">
        <f t="shared" si="5"/>
        <v>613.65923795868048</v>
      </c>
      <c r="J35" s="50">
        <f t="shared" si="5"/>
        <v>727.95703550615724</v>
      </c>
      <c r="K35" s="11"/>
      <c r="L35" s="7"/>
      <c r="O35" s="17" t="s">
        <v>92</v>
      </c>
      <c r="P35" s="73" t="b">
        <v>1</v>
      </c>
      <c r="Q35" s="71">
        <f>+IF(P35=TRUE,1.1,0.95)</f>
        <v>1.1000000000000001</v>
      </c>
    </row>
    <row r="36" spans="1:17" x14ac:dyDescent="0.55000000000000004">
      <c r="A36" s="138" t="s">
        <v>7</v>
      </c>
      <c r="B36" s="6" t="str">
        <f>+C8</f>
        <v>体験予約</v>
      </c>
      <c r="C36" s="6"/>
      <c r="D36" s="11">
        <v>0</v>
      </c>
      <c r="E36" s="108">
        <v>2</v>
      </c>
      <c r="F36" s="108">
        <v>4</v>
      </c>
      <c r="G36" s="108">
        <v>7</v>
      </c>
      <c r="H36" s="108">
        <v>9</v>
      </c>
      <c r="I36" s="108">
        <v>10</v>
      </c>
      <c r="J36" s="108">
        <v>12</v>
      </c>
      <c r="K36" s="112">
        <f>SUM(E36:J36)</f>
        <v>44</v>
      </c>
      <c r="L36" s="7"/>
      <c r="N36" s="67" t="s">
        <v>93</v>
      </c>
      <c r="O36" s="17" t="s">
        <v>94</v>
      </c>
      <c r="P36" s="72">
        <f>1*(Q32*Q33*Q34*Q35)</f>
        <v>1.4641000000000006</v>
      </c>
      <c r="Q36" s="71"/>
    </row>
    <row r="37" spans="1:17" x14ac:dyDescent="0.55000000000000004">
      <c r="A37" s="139"/>
      <c r="B37" s="6" t="str">
        <f>+C9</f>
        <v>-</v>
      </c>
      <c r="C37" s="6"/>
      <c r="D37" s="11">
        <v>0</v>
      </c>
      <c r="E37" s="108">
        <v>0</v>
      </c>
      <c r="F37" s="108">
        <v>0</v>
      </c>
      <c r="G37" s="108">
        <v>0</v>
      </c>
      <c r="H37" s="108">
        <v>0</v>
      </c>
      <c r="I37" s="108">
        <v>0</v>
      </c>
      <c r="J37" s="108">
        <v>0</v>
      </c>
      <c r="K37" s="112">
        <f>SUM(E37:J37)</f>
        <v>0</v>
      </c>
      <c r="L37" s="7"/>
      <c r="N37" s="67" t="s">
        <v>93</v>
      </c>
    </row>
    <row r="38" spans="1:17" x14ac:dyDescent="0.55000000000000004">
      <c r="A38" s="138" t="s">
        <v>18</v>
      </c>
      <c r="B38" s="6" t="str">
        <f>+C10</f>
        <v>-</v>
      </c>
      <c r="C38" s="6"/>
      <c r="D38" s="11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12">
        <f>SUM(E38:J38)</f>
        <v>0</v>
      </c>
      <c r="L38" s="7"/>
      <c r="N38" s="67" t="s">
        <v>95</v>
      </c>
      <c r="O38" s="21" t="s">
        <v>96</v>
      </c>
    </row>
    <row r="39" spans="1:17" x14ac:dyDescent="0.55000000000000004">
      <c r="A39" s="139"/>
      <c r="B39" s="6" t="str">
        <f>+C11</f>
        <v>-</v>
      </c>
      <c r="C39" s="6"/>
      <c r="D39" s="11">
        <v>0</v>
      </c>
      <c r="E39" s="108">
        <v>0</v>
      </c>
      <c r="F39" s="108">
        <v>0</v>
      </c>
      <c r="G39" s="108">
        <v>0</v>
      </c>
      <c r="H39" s="108">
        <v>0</v>
      </c>
      <c r="I39" s="108">
        <v>0</v>
      </c>
      <c r="J39" s="108">
        <v>0</v>
      </c>
      <c r="K39" s="112">
        <f>SUM(E39:J39)</f>
        <v>0</v>
      </c>
      <c r="L39" s="7"/>
      <c r="N39" s="67" t="s">
        <v>95</v>
      </c>
      <c r="O39" s="21" t="s">
        <v>97</v>
      </c>
    </row>
    <row r="40" spans="1:17" ht="18" customHeight="1" x14ac:dyDescent="0.55000000000000004">
      <c r="A40" s="136" t="s">
        <v>98</v>
      </c>
      <c r="B40" s="134"/>
      <c r="C40" s="94"/>
      <c r="D40" s="11">
        <f t="shared" ref="D40:J40" si="6">+SUM(D36:D39)</f>
        <v>0</v>
      </c>
      <c r="E40" s="10">
        <f t="shared" si="6"/>
        <v>2</v>
      </c>
      <c r="F40" s="10">
        <f t="shared" si="6"/>
        <v>4</v>
      </c>
      <c r="G40" s="10">
        <f t="shared" si="6"/>
        <v>7</v>
      </c>
      <c r="H40" s="10">
        <f t="shared" si="6"/>
        <v>9</v>
      </c>
      <c r="I40" s="10">
        <f t="shared" si="6"/>
        <v>10</v>
      </c>
      <c r="J40" s="10">
        <f t="shared" si="6"/>
        <v>12</v>
      </c>
      <c r="K40" s="112">
        <f>SUM(E40:J40)</f>
        <v>44</v>
      </c>
      <c r="L40" s="7"/>
      <c r="O40" s="17"/>
    </row>
    <row r="41" spans="1:17" x14ac:dyDescent="0.55000000000000004">
      <c r="B41" s="5" t="s">
        <v>99</v>
      </c>
      <c r="D41" s="18">
        <f t="shared" ref="D41:J41" si="7">+IFERROR(D40/D35,0)</f>
        <v>0</v>
      </c>
      <c r="E41" s="18">
        <f t="shared" si="7"/>
        <v>1.2230803385343813E-2</v>
      </c>
      <c r="F41" s="18">
        <f t="shared" si="7"/>
        <v>1.254437300907457E-2</v>
      </c>
      <c r="G41" s="18">
        <f t="shared" si="7"/>
        <v>1.4850775362679147E-2</v>
      </c>
      <c r="H41" s="18">
        <f t="shared" si="7"/>
        <v>1.8121301089345631E-2</v>
      </c>
      <c r="I41" s="18">
        <f t="shared" si="7"/>
        <v>1.6295688847225227E-2</v>
      </c>
      <c r="J41" s="18">
        <f t="shared" si="7"/>
        <v>1.6484489351292906E-2</v>
      </c>
      <c r="N41" s="67" t="s">
        <v>100</v>
      </c>
    </row>
    <row r="42" spans="1:17" x14ac:dyDescent="0.55000000000000004">
      <c r="B42" s="29"/>
      <c r="D42" s="18"/>
      <c r="E42" s="113"/>
      <c r="F42" s="113"/>
      <c r="G42" s="113"/>
      <c r="H42" s="113"/>
      <c r="I42" s="113"/>
      <c r="J42" s="113"/>
    </row>
    <row r="43" spans="1:17" x14ac:dyDescent="0.55000000000000004">
      <c r="A43" s="29" t="s">
        <v>101</v>
      </c>
      <c r="C43" s="5" t="s">
        <v>102</v>
      </c>
      <c r="D43" s="5" t="s">
        <v>103</v>
      </c>
    </row>
    <row r="44" spans="1:17" ht="18" customHeight="1" x14ac:dyDescent="0.55000000000000004">
      <c r="A44" s="133" t="s">
        <v>104</v>
      </c>
      <c r="B44" s="134"/>
      <c r="C44" s="100"/>
      <c r="D44" s="16" t="s">
        <v>51</v>
      </c>
      <c r="E44" s="31">
        <f>+E75*E76</f>
        <v>0</v>
      </c>
      <c r="F44" s="31">
        <f t="shared" ref="E44:J44" si="8">+F75*F76</f>
        <v>0</v>
      </c>
      <c r="G44" s="31">
        <f t="shared" si="8"/>
        <v>0</v>
      </c>
      <c r="H44" s="31">
        <f t="shared" si="8"/>
        <v>0</v>
      </c>
      <c r="I44" s="31">
        <f t="shared" si="8"/>
        <v>0</v>
      </c>
      <c r="J44" s="31">
        <f t="shared" si="8"/>
        <v>0</v>
      </c>
      <c r="K44" s="11"/>
      <c r="L44" s="7"/>
    </row>
    <row r="45" spans="1:17" ht="18" customHeight="1" x14ac:dyDescent="0.55000000000000004">
      <c r="A45" s="133" t="s">
        <v>105</v>
      </c>
      <c r="B45" s="134"/>
      <c r="C45" s="101">
        <f>+SUM(C65:C72)</f>
        <v>0</v>
      </c>
      <c r="D45" s="78">
        <f>+SUM(D65:D72)</f>
        <v>120000</v>
      </c>
      <c r="E45" s="27">
        <f>SUM(E65:E69)+SUM(E71:E72)</f>
        <v>20000</v>
      </c>
      <c r="F45" s="27">
        <f t="shared" ref="E45:J45" si="9">SUM(F65:F69)+SUM(F71:F72)</f>
        <v>20000</v>
      </c>
      <c r="G45" s="27">
        <f t="shared" si="9"/>
        <v>20000</v>
      </c>
      <c r="H45" s="27">
        <f t="shared" si="9"/>
        <v>40000</v>
      </c>
      <c r="I45" s="27">
        <f t="shared" si="9"/>
        <v>40000</v>
      </c>
      <c r="J45" s="27">
        <f t="shared" si="9"/>
        <v>40000</v>
      </c>
      <c r="K45" s="11"/>
      <c r="L45" s="7"/>
    </row>
    <row r="46" spans="1:17" ht="18" customHeight="1" x14ac:dyDescent="0.55000000000000004">
      <c r="A46" s="133" t="s">
        <v>106</v>
      </c>
      <c r="B46" s="134"/>
      <c r="C46" s="100"/>
      <c r="D46" s="16" t="s">
        <v>51</v>
      </c>
      <c r="E46" s="28">
        <f t="shared" ref="E46:J46" si="10">+SUM(E65:E67)/(E28-D28)</f>
        <v>68.021263265506775</v>
      </c>
      <c r="F46" s="28">
        <f t="shared" si="10"/>
        <v>69.923784939050705</v>
      </c>
      <c r="G46" s="28">
        <f t="shared" si="10"/>
        <v>69.496640024632413</v>
      </c>
      <c r="H46" s="28">
        <f t="shared" si="10"/>
        <v>138.14097667540977</v>
      </c>
      <c r="I46" s="28">
        <f t="shared" si="10"/>
        <v>137.29069488029023</v>
      </c>
      <c r="J46" s="28">
        <f t="shared" si="10"/>
        <v>136.4424694215696</v>
      </c>
      <c r="K46" s="11"/>
      <c r="L46" s="7"/>
    </row>
    <row r="47" spans="1:17" ht="18" customHeight="1" x14ac:dyDescent="0.55000000000000004">
      <c r="A47" s="133" t="s">
        <v>107</v>
      </c>
      <c r="B47" s="134"/>
      <c r="C47" s="100"/>
      <c r="D47" s="16" t="s">
        <v>51</v>
      </c>
      <c r="E47" s="28">
        <f t="shared" ref="E47:J47" si="11">+E51/E35</f>
        <v>146.76964062412574</v>
      </c>
      <c r="F47" s="28">
        <f t="shared" si="11"/>
        <v>87.810611063521989</v>
      </c>
      <c r="G47" s="28">
        <f t="shared" si="11"/>
        <v>72.132337475870145</v>
      </c>
      <c r="H47" s="28">
        <f t="shared" si="11"/>
        <v>116.78171813133851</v>
      </c>
      <c r="I47" s="28">
        <f t="shared" si="11"/>
        <v>97.774133083351344</v>
      </c>
      <c r="J47" s="28">
        <f t="shared" si="11"/>
        <v>87.917276540228826</v>
      </c>
      <c r="K47" s="11"/>
      <c r="L47" s="7"/>
    </row>
    <row r="48" spans="1:17" ht="18" customHeight="1" x14ac:dyDescent="0.55000000000000004">
      <c r="A48" s="133" t="s">
        <v>108</v>
      </c>
      <c r="B48" s="134"/>
      <c r="C48" s="100"/>
      <c r="D48" s="16" t="s">
        <v>51</v>
      </c>
      <c r="E48" s="32">
        <f t="shared" ref="E48:J48" si="12">+SUM(E36:E39)/E35</f>
        <v>1.2230803385343813E-2</v>
      </c>
      <c r="F48" s="32">
        <f t="shared" si="12"/>
        <v>1.254437300907457E-2</v>
      </c>
      <c r="G48" s="32">
        <f t="shared" si="12"/>
        <v>1.4850775362679147E-2</v>
      </c>
      <c r="H48" s="32">
        <f t="shared" si="12"/>
        <v>1.8121301089345631E-2</v>
      </c>
      <c r="I48" s="32">
        <f t="shared" si="12"/>
        <v>1.6295688847225227E-2</v>
      </c>
      <c r="J48" s="32">
        <f t="shared" si="12"/>
        <v>1.6484489351292906E-2</v>
      </c>
      <c r="K48" s="11"/>
      <c r="L48" s="7"/>
    </row>
    <row r="49" spans="1:12" ht="18" customHeight="1" x14ac:dyDescent="0.55000000000000004">
      <c r="A49" s="136" t="s">
        <v>109</v>
      </c>
      <c r="B49" s="134"/>
      <c r="C49" s="102"/>
      <c r="D49" s="16" t="s">
        <v>51</v>
      </c>
      <c r="E49" s="28">
        <f t="shared" ref="E49:J49" si="13">+IFERROR(E51/SUM(E36:E39),0)</f>
        <v>12000</v>
      </c>
      <c r="F49" s="28">
        <f t="shared" si="13"/>
        <v>7000</v>
      </c>
      <c r="G49" s="28">
        <f t="shared" si="13"/>
        <v>4857.1428571428569</v>
      </c>
      <c r="H49" s="28">
        <f t="shared" si="13"/>
        <v>6444.4444444444443</v>
      </c>
      <c r="I49" s="28">
        <f t="shared" si="13"/>
        <v>6000</v>
      </c>
      <c r="J49" s="28">
        <f t="shared" si="13"/>
        <v>5333.333333333333</v>
      </c>
      <c r="K49" s="11"/>
      <c r="L49" s="7"/>
    </row>
    <row r="50" spans="1:12" ht="18" customHeight="1" x14ac:dyDescent="0.55000000000000004">
      <c r="A50" s="136" t="s">
        <v>110</v>
      </c>
      <c r="B50" s="134"/>
      <c r="C50" s="102"/>
      <c r="D50" s="62" t="s">
        <v>51</v>
      </c>
      <c r="E50" s="63">
        <f>+E36*$D$8+E37*$D$9+E38*$D$10</f>
        <v>4000</v>
      </c>
      <c r="F50" s="63">
        <f t="shared" ref="E50:J50" si="14">+F36*$D$8+F37*$D$9+F38*$D$10</f>
        <v>8000</v>
      </c>
      <c r="G50" s="63">
        <f t="shared" si="14"/>
        <v>14000</v>
      </c>
      <c r="H50" s="63">
        <f t="shared" si="14"/>
        <v>18000</v>
      </c>
      <c r="I50" s="63">
        <f t="shared" si="14"/>
        <v>20000</v>
      </c>
      <c r="J50" s="63">
        <f t="shared" si="14"/>
        <v>24000</v>
      </c>
      <c r="K50" s="11"/>
      <c r="L50" s="7"/>
    </row>
    <row r="51" spans="1:12" ht="18" customHeight="1" x14ac:dyDescent="0.55000000000000004">
      <c r="A51" s="137" t="s">
        <v>111</v>
      </c>
      <c r="B51" s="134"/>
      <c r="C51" s="107">
        <f>+C45</f>
        <v>0</v>
      </c>
      <c r="D51" s="40">
        <f>+D45</f>
        <v>120000</v>
      </c>
      <c r="E51" s="40">
        <f>SUM(E45,E50)+E44</f>
        <v>24000</v>
      </c>
      <c r="F51" s="40">
        <f t="shared" ref="E51:J51" si="15">SUM(F45,F50)+F44</f>
        <v>28000</v>
      </c>
      <c r="G51" s="40">
        <f t="shared" si="15"/>
        <v>34000</v>
      </c>
      <c r="H51" s="40">
        <f t="shared" si="15"/>
        <v>58000</v>
      </c>
      <c r="I51" s="40">
        <f t="shared" si="15"/>
        <v>60000</v>
      </c>
      <c r="J51" s="40">
        <f t="shared" si="15"/>
        <v>64000</v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112</v>
      </c>
    </row>
    <row r="54" spans="1:12" ht="18" hidden="1" customHeight="1" x14ac:dyDescent="0.55000000000000004">
      <c r="A54" s="133" t="s">
        <v>104</v>
      </c>
      <c r="B54" s="134"/>
      <c r="C54" s="93"/>
      <c r="D54" s="28">
        <f t="shared" ref="D54:J54" si="16">+D75*D76</f>
        <v>0</v>
      </c>
      <c r="E54" s="28">
        <f t="shared" si="16"/>
        <v>0</v>
      </c>
      <c r="F54" s="28">
        <f t="shared" si="16"/>
        <v>0</v>
      </c>
      <c r="G54" s="28">
        <f t="shared" si="16"/>
        <v>0</v>
      </c>
      <c r="H54" s="28">
        <f t="shared" si="16"/>
        <v>0</v>
      </c>
      <c r="I54" s="28">
        <f t="shared" si="16"/>
        <v>0</v>
      </c>
      <c r="J54" s="28">
        <f t="shared" si="16"/>
        <v>0</v>
      </c>
      <c r="K54" s="11"/>
      <c r="L54" s="7"/>
    </row>
    <row r="55" spans="1:12" ht="18" hidden="1" customHeight="1" x14ac:dyDescent="0.55000000000000004">
      <c r="A55" s="133" t="s">
        <v>105</v>
      </c>
      <c r="B55" s="134"/>
      <c r="C55" s="93"/>
      <c r="D55" s="27">
        <f>+SUM(D65:D72)</f>
        <v>120000</v>
      </c>
      <c r="E55" s="27">
        <f t="shared" ref="E55:J55" si="17">SUM(E65:E72)+E54</f>
        <v>20000</v>
      </c>
      <c r="F55" s="27">
        <f t="shared" si="17"/>
        <v>20000</v>
      </c>
      <c r="G55" s="27">
        <f t="shared" si="17"/>
        <v>20000</v>
      </c>
      <c r="H55" s="27">
        <f t="shared" si="17"/>
        <v>40000</v>
      </c>
      <c r="I55" s="27">
        <f t="shared" si="17"/>
        <v>40000</v>
      </c>
      <c r="J55" s="27">
        <f t="shared" si="17"/>
        <v>40000</v>
      </c>
      <c r="K55" s="11"/>
      <c r="L55" s="7"/>
    </row>
    <row r="56" spans="1:12" ht="18" hidden="1" customHeight="1" x14ac:dyDescent="0.55000000000000004">
      <c r="A56" s="133" t="s">
        <v>106</v>
      </c>
      <c r="B56" s="134"/>
      <c r="C56" s="93"/>
      <c r="D56" s="39" t="s">
        <v>51</v>
      </c>
      <c r="E56" s="28">
        <f t="shared" ref="E56:J56" si="18">+SUM(E65:E67)/(E28-D28)</f>
        <v>68.021263265506775</v>
      </c>
      <c r="F56" s="28">
        <f t="shared" si="18"/>
        <v>69.923784939050705</v>
      </c>
      <c r="G56" s="28">
        <f t="shared" si="18"/>
        <v>69.496640024632413</v>
      </c>
      <c r="H56" s="28">
        <f t="shared" si="18"/>
        <v>138.14097667540977</v>
      </c>
      <c r="I56" s="28">
        <f t="shared" si="18"/>
        <v>137.29069488029023</v>
      </c>
      <c r="J56" s="28">
        <f t="shared" si="18"/>
        <v>136.4424694215696</v>
      </c>
      <c r="K56" s="11"/>
      <c r="L56" s="7"/>
    </row>
    <row r="57" spans="1:12" ht="18" hidden="1" customHeight="1" x14ac:dyDescent="0.55000000000000004">
      <c r="A57" s="133" t="s">
        <v>107</v>
      </c>
      <c r="B57" s="134"/>
      <c r="C57" s="93"/>
      <c r="D57" s="39" t="s">
        <v>51</v>
      </c>
      <c r="E57" s="28">
        <f t="shared" ref="E57:J57" si="19">+E61/E35</f>
        <v>122.30803385343812</v>
      </c>
      <c r="F57" s="28">
        <f t="shared" si="19"/>
        <v>62.721865045372851</v>
      </c>
      <c r="G57" s="28">
        <f t="shared" si="19"/>
        <v>42.430786750511849</v>
      </c>
      <c r="H57" s="28">
        <f t="shared" si="19"/>
        <v>80.539115952647251</v>
      </c>
      <c r="I57" s="28">
        <f t="shared" si="19"/>
        <v>65.182755388900901</v>
      </c>
      <c r="J57" s="28">
        <f t="shared" si="19"/>
        <v>54.948297837643018</v>
      </c>
      <c r="K57" s="11"/>
      <c r="L57" s="7"/>
    </row>
    <row r="58" spans="1:12" ht="18" hidden="1" customHeight="1" x14ac:dyDescent="0.55000000000000004">
      <c r="A58" s="133" t="s">
        <v>108</v>
      </c>
      <c r="B58" s="134"/>
      <c r="C58" s="93"/>
      <c r="D58" s="39" t="s">
        <v>51</v>
      </c>
      <c r="E58" s="32">
        <f t="shared" ref="E58:J58" si="20">+SUM(E36:E39)/E35</f>
        <v>1.2230803385343813E-2</v>
      </c>
      <c r="F58" s="32">
        <f t="shared" si="20"/>
        <v>1.254437300907457E-2</v>
      </c>
      <c r="G58" s="32">
        <f t="shared" si="20"/>
        <v>1.4850775362679147E-2</v>
      </c>
      <c r="H58" s="32">
        <f t="shared" si="20"/>
        <v>1.8121301089345631E-2</v>
      </c>
      <c r="I58" s="32">
        <f t="shared" si="20"/>
        <v>1.6295688847225227E-2</v>
      </c>
      <c r="J58" s="32">
        <f t="shared" si="20"/>
        <v>1.6484489351292906E-2</v>
      </c>
      <c r="K58" s="11"/>
      <c r="L58" s="7"/>
    </row>
    <row r="59" spans="1:12" ht="18" hidden="1" customHeight="1" x14ac:dyDescent="0.55000000000000004">
      <c r="A59" s="136" t="s">
        <v>109</v>
      </c>
      <c r="B59" s="134"/>
      <c r="C59" s="94"/>
      <c r="D59" s="28"/>
      <c r="E59" s="28">
        <f t="shared" ref="E59:J59" si="21">+IFERROR(E55/E40,0)</f>
        <v>10000</v>
      </c>
      <c r="F59" s="28">
        <f t="shared" si="21"/>
        <v>5000</v>
      </c>
      <c r="G59" s="28">
        <f t="shared" si="21"/>
        <v>2857.1428571428573</v>
      </c>
      <c r="H59" s="28">
        <f t="shared" si="21"/>
        <v>4444.4444444444443</v>
      </c>
      <c r="I59" s="28">
        <f t="shared" si="21"/>
        <v>4000</v>
      </c>
      <c r="J59" s="28">
        <f t="shared" si="21"/>
        <v>3333.3333333333335</v>
      </c>
      <c r="K59" s="11"/>
      <c r="L59" s="7"/>
    </row>
    <row r="60" spans="1:12" ht="18" hidden="1" customHeight="1" x14ac:dyDescent="0.55000000000000004">
      <c r="A60" s="136" t="s">
        <v>110</v>
      </c>
      <c r="B60" s="134"/>
      <c r="C60" s="94"/>
      <c r="D60" s="28"/>
      <c r="E60" s="28"/>
      <c r="F60" s="28"/>
      <c r="G60" s="28"/>
      <c r="H60" s="28"/>
      <c r="I60" s="28"/>
      <c r="J60" s="28"/>
      <c r="K60" s="11"/>
      <c r="L60" s="7"/>
    </row>
    <row r="61" spans="1:12" ht="18" hidden="1" customHeight="1" x14ac:dyDescent="0.55000000000000004">
      <c r="A61" s="137" t="s">
        <v>111</v>
      </c>
      <c r="B61" s="134"/>
      <c r="C61" s="95"/>
      <c r="D61" s="40">
        <f>+D55</f>
        <v>120000</v>
      </c>
      <c r="E61" s="40">
        <f t="shared" ref="E61:J61" si="22">+SUM(E65:E72)+E54</f>
        <v>20000</v>
      </c>
      <c r="F61" s="40">
        <f t="shared" si="22"/>
        <v>20000</v>
      </c>
      <c r="G61" s="40">
        <f t="shared" si="22"/>
        <v>20000</v>
      </c>
      <c r="H61" s="40">
        <f t="shared" si="22"/>
        <v>40000</v>
      </c>
      <c r="I61" s="40">
        <f t="shared" si="22"/>
        <v>40000</v>
      </c>
      <c r="J61" s="40">
        <f t="shared" si="22"/>
        <v>40000</v>
      </c>
      <c r="K61" s="11"/>
      <c r="L61" s="7"/>
    </row>
    <row r="62" spans="1:12" hidden="1" x14ac:dyDescent="0.55000000000000004"/>
    <row r="64" spans="1:12" x14ac:dyDescent="0.55000000000000004">
      <c r="C64" s="5" t="s">
        <v>102</v>
      </c>
      <c r="D64" s="5" t="s">
        <v>103</v>
      </c>
    </row>
    <row r="65" spans="1:16" x14ac:dyDescent="0.55000000000000004">
      <c r="A65" s="52" t="s">
        <v>113</v>
      </c>
      <c r="B65" s="6" t="s">
        <v>104</v>
      </c>
      <c r="C65" s="87">
        <v>0</v>
      </c>
      <c r="D65" s="51">
        <v>0</v>
      </c>
      <c r="E65" s="28">
        <f t="shared" ref="E65:J65" si="23">MAX(0,15000+(E34-30000)*2.75)</f>
        <v>0</v>
      </c>
      <c r="F65" s="28">
        <f t="shared" si="23"/>
        <v>0</v>
      </c>
      <c r="G65" s="28">
        <f t="shared" si="23"/>
        <v>0</v>
      </c>
      <c r="H65" s="28">
        <f t="shared" si="23"/>
        <v>0</v>
      </c>
      <c r="I65" s="28">
        <f t="shared" si="23"/>
        <v>0</v>
      </c>
      <c r="J65" s="28">
        <f t="shared" si="23"/>
        <v>0</v>
      </c>
    </row>
    <row r="66" spans="1:16" x14ac:dyDescent="0.55000000000000004">
      <c r="A66" s="53" t="s">
        <v>114</v>
      </c>
      <c r="B66" s="6" t="s">
        <v>55</v>
      </c>
      <c r="C66" s="87">
        <v>0</v>
      </c>
      <c r="D66" s="51">
        <v>15000</v>
      </c>
      <c r="E66" s="51">
        <v>15000</v>
      </c>
      <c r="F66" s="51">
        <v>15000</v>
      </c>
      <c r="G66" s="51">
        <v>15000</v>
      </c>
      <c r="H66" s="28">
        <v>30000</v>
      </c>
      <c r="I66" s="28">
        <v>30000</v>
      </c>
      <c r="J66" s="28">
        <v>30000</v>
      </c>
      <c r="N66" s="67" t="s">
        <v>115</v>
      </c>
    </row>
    <row r="67" spans="1:16" x14ac:dyDescent="0.55000000000000004">
      <c r="B67" s="6" t="s">
        <v>116</v>
      </c>
      <c r="C67" s="87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7" t="s">
        <v>117</v>
      </c>
    </row>
    <row r="68" spans="1:16" x14ac:dyDescent="0.55000000000000004">
      <c r="A68" s="15"/>
      <c r="B68" s="6" t="s">
        <v>118</v>
      </c>
      <c r="C68" s="87">
        <v>0</v>
      </c>
      <c r="D68" s="51">
        <v>0</v>
      </c>
      <c r="E68" s="28">
        <f t="shared" ref="E68:J68" si="24">IF(E34&lt;5000,5000,15000)</f>
        <v>5000</v>
      </c>
      <c r="F68" s="28">
        <f t="shared" si="24"/>
        <v>5000</v>
      </c>
      <c r="G68" s="28">
        <f t="shared" si="24"/>
        <v>5000</v>
      </c>
      <c r="H68" s="28">
        <f t="shared" si="24"/>
        <v>5000</v>
      </c>
      <c r="I68" s="28">
        <f t="shared" si="24"/>
        <v>5000</v>
      </c>
      <c r="J68" s="28">
        <f t="shared" si="24"/>
        <v>5000</v>
      </c>
      <c r="N68" s="67" t="s">
        <v>119</v>
      </c>
      <c r="O68" s="17" t="s">
        <v>120</v>
      </c>
      <c r="P68" s="73">
        <v>5000</v>
      </c>
    </row>
    <row r="69" spans="1:16" x14ac:dyDescent="0.55000000000000004">
      <c r="A69" s="15"/>
      <c r="B69" s="6" t="s">
        <v>121</v>
      </c>
      <c r="C69" s="87">
        <v>0</v>
      </c>
      <c r="D69" s="51">
        <v>105000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N69" s="67" t="s">
        <v>122</v>
      </c>
      <c r="O69" s="5" t="s">
        <v>123</v>
      </c>
    </row>
    <row r="70" spans="1:16" x14ac:dyDescent="0.55000000000000004">
      <c r="A70" s="15"/>
      <c r="B70" s="6" t="s">
        <v>124</v>
      </c>
      <c r="C70" s="87">
        <v>0</v>
      </c>
      <c r="D70" s="51">
        <v>0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N70" s="67" t="s">
        <v>125</v>
      </c>
    </row>
    <row r="71" spans="1:16" x14ac:dyDescent="0.55000000000000004">
      <c r="A71" s="15"/>
      <c r="B71" s="6" t="s">
        <v>126</v>
      </c>
      <c r="C71" s="87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7" t="s">
        <v>127</v>
      </c>
    </row>
    <row r="72" spans="1:16" x14ac:dyDescent="0.55000000000000004">
      <c r="A72" s="15"/>
      <c r="B72" s="6" t="s">
        <v>128</v>
      </c>
      <c r="C72" s="87">
        <v>0</v>
      </c>
      <c r="D72" s="51">
        <v>0</v>
      </c>
      <c r="E72" s="28">
        <v>0</v>
      </c>
      <c r="F72" s="28">
        <v>0</v>
      </c>
      <c r="G72" s="28">
        <v>0</v>
      </c>
      <c r="H72" s="28">
        <v>5000</v>
      </c>
      <c r="I72" s="28">
        <v>5000</v>
      </c>
      <c r="J72" s="28">
        <v>5000</v>
      </c>
    </row>
    <row r="73" spans="1:16" x14ac:dyDescent="0.55000000000000004">
      <c r="A73" s="15"/>
      <c r="B73" s="109" t="s">
        <v>129</v>
      </c>
      <c r="C73" s="110">
        <v>0</v>
      </c>
      <c r="D73" s="111">
        <f t="shared" ref="D73" si="25">SUM(D65:D72)</f>
        <v>120000</v>
      </c>
      <c r="E73" s="111">
        <f>SUM(E65:E72)</f>
        <v>20000</v>
      </c>
      <c r="F73" s="111">
        <f t="shared" ref="D73:J73" si="26">SUM(F65:F72)</f>
        <v>20000</v>
      </c>
      <c r="G73" s="111">
        <f t="shared" si="26"/>
        <v>20000</v>
      </c>
      <c r="H73" s="111">
        <f t="shared" si="26"/>
        <v>40000</v>
      </c>
      <c r="I73" s="111">
        <f t="shared" si="26"/>
        <v>40000</v>
      </c>
      <c r="J73" s="111">
        <f t="shared" si="26"/>
        <v>40000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130</v>
      </c>
      <c r="D75" s="41">
        <f t="shared" ref="D75:J75" si="27">+IF(D34&lt;30001,0,D34-30000)</f>
        <v>0</v>
      </c>
      <c r="E75" s="41">
        <f t="shared" si="27"/>
        <v>0</v>
      </c>
      <c r="F75" s="41">
        <f t="shared" si="27"/>
        <v>0</v>
      </c>
      <c r="G75" s="41">
        <f t="shared" si="27"/>
        <v>0</v>
      </c>
      <c r="H75" s="41">
        <f t="shared" si="27"/>
        <v>0</v>
      </c>
      <c r="I75" s="41">
        <f t="shared" si="27"/>
        <v>0</v>
      </c>
      <c r="J75" s="41">
        <f t="shared" si="27"/>
        <v>0</v>
      </c>
    </row>
    <row r="76" spans="1:16" x14ac:dyDescent="0.55000000000000004">
      <c r="B76" s="5" t="s">
        <v>131</v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ref="D76:J76" si="28"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  <v>3</v>
      </c>
      <c r="F76" s="5">
        <f t="shared" si="28"/>
        <v>3</v>
      </c>
      <c r="G76" s="5">
        <f t="shared" si="28"/>
        <v>3</v>
      </c>
      <c r="H76" s="5">
        <f t="shared" si="28"/>
        <v>3</v>
      </c>
      <c r="I76" s="5">
        <f t="shared" si="28"/>
        <v>3</v>
      </c>
      <c r="J76" s="5">
        <f t="shared" si="28"/>
        <v>3</v>
      </c>
    </row>
  </sheetData>
  <mergeCells count="35"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34:B34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58:B58"/>
    <mergeCell ref="A48:B48"/>
    <mergeCell ref="A30:B30"/>
    <mergeCell ref="A59:B59"/>
    <mergeCell ref="A60:B60"/>
    <mergeCell ref="A49:B49"/>
    <mergeCell ref="A51:B51"/>
    <mergeCell ref="A45:B45"/>
    <mergeCell ref="A36:A37"/>
  </mergeCells>
  <phoneticPr fontId="2"/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76"/>
  <sheetViews>
    <sheetView topLeftCell="A13" zoomScale="48" zoomScaleNormal="55" workbookViewId="0">
      <selection activeCell="D65" sqref="D65:D73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7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28" width="9" style="5" customWidth="1"/>
    <col min="29" max="16384" width="9" style="5"/>
  </cols>
  <sheetData>
    <row r="2" spans="1:25" x14ac:dyDescent="0.55000000000000004">
      <c r="A2" s="130" t="s">
        <v>0</v>
      </c>
      <c r="B2" s="131">
        <v>46269</v>
      </c>
    </row>
    <row r="4" spans="1:25" ht="45.75" customHeight="1" x14ac:dyDescent="0.55000000000000004">
      <c r="A4" s="56" t="s">
        <v>1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customHeight="1" x14ac:dyDescent="0.55000000000000004">
      <c r="A5" s="1"/>
      <c r="B5" s="1"/>
      <c r="C5" s="1"/>
      <c r="D5" s="1"/>
      <c r="N5" s="55" t="s">
        <v>2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customHeight="1" thickBot="1" x14ac:dyDescent="0.6">
      <c r="A7" s="29" t="s">
        <v>3</v>
      </c>
      <c r="B7" s="17" t="s">
        <v>4</v>
      </c>
      <c r="C7" s="17" t="s">
        <v>5</v>
      </c>
      <c r="D7" s="17" t="s">
        <v>6</v>
      </c>
    </row>
    <row r="8" spans="1:25" ht="18" customHeight="1" thickBot="1" x14ac:dyDescent="0.6">
      <c r="A8" s="136" t="s">
        <v>7</v>
      </c>
      <c r="B8" s="19" t="s">
        <v>8</v>
      </c>
      <c r="C8" s="19" t="s">
        <v>9</v>
      </c>
      <c r="D8" s="33">
        <v>2000</v>
      </c>
      <c r="G8" s="118" t="s">
        <v>10</v>
      </c>
      <c r="H8" s="119">
        <v>17607</v>
      </c>
      <c r="I8" s="120"/>
      <c r="J8" s="120" t="s">
        <v>11</v>
      </c>
      <c r="K8" s="126">
        <v>500</v>
      </c>
      <c r="N8" s="67" t="s">
        <v>12</v>
      </c>
      <c r="O8" s="35" t="s">
        <v>13</v>
      </c>
    </row>
    <row r="9" spans="1:25" ht="18" customHeight="1" thickBot="1" x14ac:dyDescent="0.6">
      <c r="A9" s="139"/>
      <c r="B9" s="19" t="s">
        <v>14</v>
      </c>
      <c r="C9" s="38" t="s">
        <v>191</v>
      </c>
      <c r="D9" s="33">
        <v>0</v>
      </c>
      <c r="G9" s="121" t="s">
        <v>15</v>
      </c>
      <c r="H9" s="122">
        <v>7000</v>
      </c>
      <c r="I9" s="22"/>
      <c r="J9" s="29"/>
      <c r="K9" s="115"/>
      <c r="N9" s="129" t="s">
        <v>16</v>
      </c>
      <c r="O9" s="127" t="s">
        <v>17</v>
      </c>
      <c r="P9" s="128" t="b">
        <v>1</v>
      </c>
    </row>
    <row r="10" spans="1:25" x14ac:dyDescent="0.55000000000000004">
      <c r="A10" s="136" t="s">
        <v>18</v>
      </c>
      <c r="B10" s="19" t="s">
        <v>19</v>
      </c>
      <c r="C10" s="19" t="s">
        <v>20</v>
      </c>
      <c r="D10" s="33">
        <v>0</v>
      </c>
      <c r="G10" s="121" t="s">
        <v>21</v>
      </c>
      <c r="H10" s="122">
        <v>100</v>
      </c>
      <c r="I10" s="22" t="s">
        <v>22</v>
      </c>
      <c r="J10" s="29"/>
      <c r="K10" s="115"/>
      <c r="N10" s="129" t="s">
        <v>23</v>
      </c>
    </row>
    <row r="11" spans="1:25" ht="18" customHeight="1" thickBot="1" x14ac:dyDescent="0.6">
      <c r="A11" s="139"/>
      <c r="B11" s="19" t="s">
        <v>24</v>
      </c>
      <c r="C11" s="38" t="s">
        <v>20</v>
      </c>
      <c r="D11" s="33">
        <v>0</v>
      </c>
      <c r="G11" s="123" t="s">
        <v>25</v>
      </c>
      <c r="H11" s="124">
        <v>0</v>
      </c>
      <c r="I11" s="125" t="s">
        <v>26</v>
      </c>
      <c r="J11" s="116"/>
      <c r="K11" s="117"/>
    </row>
    <row r="12" spans="1:25" x14ac:dyDescent="0.55000000000000004">
      <c r="O12" s="55" t="s">
        <v>27</v>
      </c>
      <c r="P12" s="55"/>
      <c r="Q12" s="55"/>
      <c r="S12" s="55"/>
      <c r="T12" s="55"/>
      <c r="U12" s="55"/>
      <c r="V12" s="55"/>
    </row>
    <row r="13" spans="1:25" ht="18" customHeight="1" x14ac:dyDescent="0.55000000000000004">
      <c r="A13" s="144" t="s">
        <v>28</v>
      </c>
      <c r="B13" s="134"/>
      <c r="C13" s="92"/>
      <c r="D13" s="13" t="s">
        <v>29</v>
      </c>
      <c r="E13" s="36" t="s">
        <v>30</v>
      </c>
      <c r="F13" s="36" t="s">
        <v>31</v>
      </c>
      <c r="G13" s="36" t="s">
        <v>32</v>
      </c>
      <c r="H13" s="36" t="s">
        <v>33</v>
      </c>
      <c r="I13" s="36" t="s">
        <v>34</v>
      </c>
      <c r="J13" s="36" t="s">
        <v>35</v>
      </c>
      <c r="K13" s="3" t="s">
        <v>36</v>
      </c>
      <c r="L13" s="4" t="s">
        <v>37</v>
      </c>
      <c r="N13" s="69" t="s">
        <v>38</v>
      </c>
      <c r="O13" s="30" t="s">
        <v>39</v>
      </c>
      <c r="P13" s="23"/>
      <c r="Q13" s="23"/>
      <c r="S13" s="23"/>
      <c r="T13" s="23"/>
      <c r="U13" s="23"/>
      <c r="V13" s="23"/>
    </row>
    <row r="14" spans="1:25" ht="19" customHeight="1" x14ac:dyDescent="0.55000000000000004">
      <c r="A14" s="133" t="s">
        <v>40</v>
      </c>
      <c r="B14" s="20" t="s">
        <v>41</v>
      </c>
      <c r="C14" s="96"/>
      <c r="D14" s="42">
        <f>+H8</f>
        <v>17607</v>
      </c>
      <c r="E14" s="43">
        <f t="shared" ref="E14:J16" si="0">+D14</f>
        <v>17607</v>
      </c>
      <c r="F14" s="43">
        <f t="shared" si="0"/>
        <v>17607</v>
      </c>
      <c r="G14" s="43">
        <f t="shared" si="0"/>
        <v>17607</v>
      </c>
      <c r="H14" s="43">
        <f t="shared" si="0"/>
        <v>17607</v>
      </c>
      <c r="I14" s="43">
        <f t="shared" si="0"/>
        <v>17607</v>
      </c>
      <c r="J14" s="43">
        <f t="shared" si="0"/>
        <v>17607</v>
      </c>
      <c r="K14" s="11"/>
      <c r="L14" s="7"/>
    </row>
    <row r="15" spans="1:25" ht="19" customHeight="1" x14ac:dyDescent="0.55000000000000004">
      <c r="A15" s="140"/>
      <c r="B15" s="20" t="s">
        <v>42</v>
      </c>
      <c r="C15" s="96"/>
      <c r="D15" s="42">
        <f>+H9</f>
        <v>7000</v>
      </c>
      <c r="E15" s="43">
        <f t="shared" si="0"/>
        <v>7000</v>
      </c>
      <c r="F15" s="43">
        <f t="shared" si="0"/>
        <v>7000</v>
      </c>
      <c r="G15" s="43">
        <f t="shared" si="0"/>
        <v>7000</v>
      </c>
      <c r="H15" s="43">
        <f t="shared" si="0"/>
        <v>7000</v>
      </c>
      <c r="I15" s="43">
        <f t="shared" si="0"/>
        <v>7000</v>
      </c>
      <c r="J15" s="43">
        <f t="shared" si="0"/>
        <v>7000</v>
      </c>
      <c r="K15" s="11"/>
      <c r="L15" s="7"/>
      <c r="N15" s="67" t="s">
        <v>43</v>
      </c>
      <c r="O15" s="17" t="s">
        <v>44</v>
      </c>
      <c r="P15" s="77">
        <v>5.0000000000000001E-3</v>
      </c>
      <c r="S15" s="29" t="s">
        <v>45</v>
      </c>
    </row>
    <row r="16" spans="1:25" ht="19" customHeight="1" x14ac:dyDescent="0.55000000000000004">
      <c r="A16" s="139"/>
      <c r="B16" s="20" t="s">
        <v>46</v>
      </c>
      <c r="C16" s="96"/>
      <c r="D16" s="42">
        <f>H10</f>
        <v>100</v>
      </c>
      <c r="E16" s="43">
        <f t="shared" si="0"/>
        <v>100</v>
      </c>
      <c r="F16" s="43">
        <f t="shared" si="0"/>
        <v>100</v>
      </c>
      <c r="G16" s="43">
        <f t="shared" si="0"/>
        <v>100</v>
      </c>
      <c r="H16" s="43">
        <f t="shared" si="0"/>
        <v>100</v>
      </c>
      <c r="I16" s="43">
        <f t="shared" si="0"/>
        <v>100</v>
      </c>
      <c r="J16" s="43">
        <f t="shared" si="0"/>
        <v>100</v>
      </c>
      <c r="K16" s="11"/>
      <c r="L16" s="7"/>
      <c r="N16" s="67" t="s">
        <v>43</v>
      </c>
      <c r="O16" s="17" t="s">
        <v>47</v>
      </c>
      <c r="P16" s="77">
        <v>2.5000000000000001E-3</v>
      </c>
      <c r="S16" s="5" t="s">
        <v>48</v>
      </c>
    </row>
    <row r="17" spans="1:26" x14ac:dyDescent="0.55000000000000004">
      <c r="A17" s="133" t="s">
        <v>49</v>
      </c>
      <c r="B17" s="8" t="s">
        <v>50</v>
      </c>
      <c r="C17" s="97"/>
      <c r="D17" s="145" t="b">
        <v>0</v>
      </c>
      <c r="E17" s="146" t="b">
        <v>0</v>
      </c>
      <c r="F17" s="146" t="b">
        <v>0</v>
      </c>
      <c r="G17" s="146" t="b">
        <v>0</v>
      </c>
      <c r="H17" s="146" t="b">
        <v>0</v>
      </c>
      <c r="I17" s="146" t="b">
        <v>0</v>
      </c>
      <c r="J17" s="146" t="b">
        <v>0</v>
      </c>
      <c r="K17" s="14" t="s">
        <v>51</v>
      </c>
      <c r="L17" s="9" t="s">
        <v>51</v>
      </c>
      <c r="S17" s="5" t="s">
        <v>52</v>
      </c>
      <c r="W17" s="5" t="s">
        <v>53</v>
      </c>
      <c r="Z17" s="35" t="s">
        <v>54</v>
      </c>
    </row>
    <row r="18" spans="1:26" x14ac:dyDescent="0.55000000000000004">
      <c r="A18" s="140"/>
      <c r="B18" s="8" t="s">
        <v>55</v>
      </c>
      <c r="C18" s="97"/>
      <c r="D18" s="145" t="b">
        <v>0</v>
      </c>
      <c r="E18" s="146" t="b">
        <v>1</v>
      </c>
      <c r="F18" s="146" t="b">
        <v>1</v>
      </c>
      <c r="G18" s="146" t="b">
        <v>1</v>
      </c>
      <c r="H18" s="146" t="b">
        <v>1</v>
      </c>
      <c r="I18" s="146" t="b">
        <v>1</v>
      </c>
      <c r="J18" s="146" t="b">
        <v>1</v>
      </c>
      <c r="K18" s="14" t="s">
        <v>51</v>
      </c>
      <c r="L18" s="9" t="s">
        <v>51</v>
      </c>
      <c r="N18" s="67" t="s">
        <v>56</v>
      </c>
      <c r="O18" s="22" t="s">
        <v>57</v>
      </c>
      <c r="P18" s="76">
        <v>0.65</v>
      </c>
      <c r="S18" s="5">
        <v>0</v>
      </c>
      <c r="T18" s="5" t="s">
        <v>20</v>
      </c>
      <c r="U18" s="34">
        <v>200000</v>
      </c>
      <c r="W18" s="5">
        <v>0</v>
      </c>
      <c r="X18" s="5" t="s">
        <v>20</v>
      </c>
      <c r="Y18" s="34">
        <v>600000</v>
      </c>
      <c r="Z18" s="35">
        <v>3</v>
      </c>
    </row>
    <row r="19" spans="1:26" x14ac:dyDescent="0.55000000000000004">
      <c r="A19" s="140"/>
      <c r="B19" s="8" t="s">
        <v>58</v>
      </c>
      <c r="C19" s="97"/>
      <c r="D19" s="145" t="b">
        <v>0</v>
      </c>
      <c r="E19" s="146" t="b">
        <v>0</v>
      </c>
      <c r="F19" s="146" t="b">
        <v>0</v>
      </c>
      <c r="G19" s="146" t="b">
        <v>0</v>
      </c>
      <c r="H19" s="146" t="b">
        <v>0</v>
      </c>
      <c r="I19" s="146" t="b">
        <v>0</v>
      </c>
      <c r="J19" s="146" t="b">
        <v>0</v>
      </c>
      <c r="K19" s="14"/>
      <c r="L19" s="9"/>
      <c r="N19" s="67" t="s">
        <v>56</v>
      </c>
      <c r="O19" s="22" t="s">
        <v>59</v>
      </c>
      <c r="P19" s="76">
        <v>0.55000000000000004</v>
      </c>
      <c r="S19" s="34">
        <v>200000</v>
      </c>
      <c r="T19" s="5" t="s">
        <v>20</v>
      </c>
      <c r="U19" s="34">
        <v>15000000</v>
      </c>
      <c r="W19" s="34">
        <v>600000</v>
      </c>
      <c r="X19" s="5" t="s">
        <v>20</v>
      </c>
      <c r="Y19" s="34">
        <f>+U19*2.5</f>
        <v>37500000</v>
      </c>
      <c r="Z19" s="35">
        <v>2.5</v>
      </c>
    </row>
    <row r="20" spans="1:26" x14ac:dyDescent="0.55000000000000004">
      <c r="A20" s="140"/>
      <c r="B20" s="8" t="s">
        <v>60</v>
      </c>
      <c r="C20" s="97"/>
      <c r="D20" s="145" t="b">
        <v>0</v>
      </c>
      <c r="E20" s="146" t="b">
        <v>0</v>
      </c>
      <c r="F20" s="146" t="b">
        <v>0</v>
      </c>
      <c r="G20" s="146" t="b">
        <v>0</v>
      </c>
      <c r="H20" s="146" t="b">
        <v>0</v>
      </c>
      <c r="I20" s="146" t="b">
        <v>0</v>
      </c>
      <c r="J20" s="146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39"/>
      <c r="B21" s="8" t="s">
        <v>61</v>
      </c>
      <c r="C21" s="97"/>
      <c r="D21" s="145" t="b">
        <v>0</v>
      </c>
      <c r="E21" s="146" t="b">
        <v>0</v>
      </c>
      <c r="F21" s="146" t="b">
        <v>0</v>
      </c>
      <c r="G21" s="146" t="b">
        <v>0</v>
      </c>
      <c r="H21" s="146" t="b">
        <v>0</v>
      </c>
      <c r="I21" s="146" t="b">
        <v>0</v>
      </c>
      <c r="J21" s="146" t="b">
        <v>0</v>
      </c>
      <c r="K21" s="14" t="s">
        <v>51</v>
      </c>
      <c r="L21" s="9" t="s">
        <v>51</v>
      </c>
      <c r="O21" s="25" t="s">
        <v>62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1" t="s">
        <v>63</v>
      </c>
      <c r="B22" s="6" t="s">
        <v>50</v>
      </c>
      <c r="C22" s="17"/>
      <c r="D22" s="44" t="s">
        <v>51</v>
      </c>
      <c r="E22" s="61">
        <f>IF(E17=FALSE,0,IF(E65=0,0,IFERROR(E65/P30,"D63を記入してください")))</f>
        <v>0</v>
      </c>
      <c r="F22" s="61">
        <f>E22*1.01</f>
        <v>0</v>
      </c>
      <c r="G22" s="61">
        <f>F22*1.01</f>
        <v>0</v>
      </c>
      <c r="H22" s="61">
        <f>G22*1.01</f>
        <v>0</v>
      </c>
      <c r="I22" s="61">
        <f>H22*1.01</f>
        <v>0</v>
      </c>
      <c r="J22" s="61">
        <f>I22*1.01</f>
        <v>0</v>
      </c>
      <c r="K22" s="11"/>
      <c r="L22" s="7"/>
      <c r="N22" s="67" t="s">
        <v>64</v>
      </c>
      <c r="O22" s="17" t="s">
        <v>65</v>
      </c>
      <c r="P22" s="24">
        <v>0.78</v>
      </c>
      <c r="S22" s="34"/>
      <c r="U22" s="34"/>
      <c r="W22" s="34"/>
      <c r="Y22" s="34"/>
      <c r="Z22" s="35"/>
    </row>
    <row r="23" spans="1:26" ht="19" customHeight="1" x14ac:dyDescent="0.55000000000000004">
      <c r="A23" s="140"/>
      <c r="B23" s="6" t="s">
        <v>55</v>
      </c>
      <c r="C23" s="17"/>
      <c r="D23" s="44" t="s">
        <v>51</v>
      </c>
      <c r="E23" s="46">
        <f>IF(E18=FALSE,0,E15*$P$18*0.08*0.08+(E14-E15)*$P$19*0.12*0.12)</f>
        <v>113.12744000000001</v>
      </c>
      <c r="F23" s="46">
        <f>IF(F18=FALSE,0,F15*$P$18*0.08*0.08+(F14-F15)*$P$19*0.12*0.12)</f>
        <v>113.12744000000001</v>
      </c>
      <c r="G23" s="61">
        <f t="shared" ref="G23:J24" si="1">F23*1.01</f>
        <v>114.2587144</v>
      </c>
      <c r="H23" s="61">
        <f t="shared" si="1"/>
        <v>115.40130154400001</v>
      </c>
      <c r="I23" s="61">
        <f t="shared" si="1"/>
        <v>116.55531455944001</v>
      </c>
      <c r="J23" s="61">
        <f t="shared" si="1"/>
        <v>117.72086770503441</v>
      </c>
      <c r="K23" s="11"/>
      <c r="L23" s="7"/>
      <c r="N23" s="67" t="s">
        <v>66</v>
      </c>
      <c r="O23" s="17" t="s">
        <v>67</v>
      </c>
      <c r="P23" s="24">
        <v>0.1</v>
      </c>
      <c r="Q23" s="5" t="s">
        <v>68</v>
      </c>
      <c r="S23" s="34"/>
      <c r="U23" s="34"/>
      <c r="W23" s="34"/>
      <c r="Y23" s="34"/>
      <c r="Z23" s="35"/>
    </row>
    <row r="24" spans="1:26" ht="19" customHeight="1" x14ac:dyDescent="0.55000000000000004">
      <c r="A24" s="140"/>
      <c r="B24" s="6" t="s">
        <v>58</v>
      </c>
      <c r="C24" s="17"/>
      <c r="D24" s="44" t="s">
        <v>51</v>
      </c>
      <c r="E24" s="46">
        <f>+IF(E19=FALSE,0,SUM(H10:H11)*0.15)</f>
        <v>0</v>
      </c>
      <c r="F24" s="61">
        <f>E24*1.01</f>
        <v>0</v>
      </c>
      <c r="G24" s="61">
        <f t="shared" si="1"/>
        <v>0</v>
      </c>
      <c r="H24" s="61">
        <f t="shared" si="1"/>
        <v>0</v>
      </c>
      <c r="I24" s="61">
        <f t="shared" si="1"/>
        <v>0</v>
      </c>
      <c r="J24" s="61">
        <f t="shared" si="1"/>
        <v>0</v>
      </c>
      <c r="K24" s="11"/>
      <c r="L24" s="7"/>
      <c r="N24" s="67" t="s">
        <v>69</v>
      </c>
      <c r="O24" s="22" t="s">
        <v>70</v>
      </c>
      <c r="P24" s="75">
        <v>0.8</v>
      </c>
      <c r="Q24" s="68">
        <v>0.8</v>
      </c>
      <c r="S24" s="34"/>
      <c r="U24" s="34"/>
      <c r="W24" s="34"/>
      <c r="Y24" s="34"/>
      <c r="Z24" s="35"/>
    </row>
    <row r="25" spans="1:26" ht="19" customHeight="1" x14ac:dyDescent="0.55000000000000004">
      <c r="A25" s="139"/>
      <c r="B25" s="6" t="s">
        <v>71</v>
      </c>
      <c r="C25" s="17"/>
      <c r="D25" s="44" t="s">
        <v>51</v>
      </c>
      <c r="E25" s="46">
        <f t="shared" ref="E25:J25" si="2">+IF(E20=FALSE,0,SUM($H$10:$H$11)*0.7*0.3)+IF($E$21=FALSE,0,$K$8*0.15*0.15)</f>
        <v>0</v>
      </c>
      <c r="F25" s="46">
        <f t="shared" si="2"/>
        <v>0</v>
      </c>
      <c r="G25" s="46">
        <f t="shared" si="2"/>
        <v>0</v>
      </c>
      <c r="H25" s="46">
        <f t="shared" si="2"/>
        <v>0</v>
      </c>
      <c r="I25" s="46">
        <f t="shared" si="2"/>
        <v>0</v>
      </c>
      <c r="J25" s="46">
        <f t="shared" si="2"/>
        <v>0</v>
      </c>
      <c r="K25" s="11"/>
      <c r="L25" s="7"/>
      <c r="N25" s="67" t="s">
        <v>72</v>
      </c>
      <c r="O25" s="25" t="s">
        <v>73</v>
      </c>
      <c r="P25" s="26"/>
      <c r="S25" s="34"/>
      <c r="U25" s="34"/>
      <c r="W25" s="34"/>
      <c r="Y25" s="34"/>
      <c r="Z25" s="35"/>
    </row>
    <row r="26" spans="1:26" ht="19" customHeight="1" x14ac:dyDescent="0.55000000000000004">
      <c r="A26" s="133" t="s">
        <v>74</v>
      </c>
      <c r="B26" s="134"/>
      <c r="C26" s="23"/>
      <c r="D26" s="44" t="s">
        <v>51</v>
      </c>
      <c r="E26" s="46">
        <f>+SUM(E22:E25)+$H$9*$P$16+($H$8-$H$9)*$P$15+IF(P9=FALSE,0,$K$8*0.15*0.08)</f>
        <v>189.66244</v>
      </c>
      <c r="F26" s="46">
        <f>+SUM(F22:F25)+$H$9*$P$16+($H$8-$H$9)*$P$15</f>
        <v>183.66244</v>
      </c>
      <c r="G26" s="46">
        <f>+SUM(G22:G25)+$H$9*$P$16+($H$8-$H$9)*$P$15</f>
        <v>184.7937144</v>
      </c>
      <c r="H26" s="46">
        <f>+SUM(H22:H25)+$H$9*$P$16+($H$8-$H$9)*$P$15</f>
        <v>185.936301544</v>
      </c>
      <c r="I26" s="46">
        <f>+SUM(I22:I25)+$H$9*$P$16+($H$8-$H$9)*$P$15</f>
        <v>187.09031455944</v>
      </c>
      <c r="J26" s="46">
        <f>+SUM(J22:J25)+$H$9*$P$16+($H$8-$H$9)*$P$15</f>
        <v>188.2558677050344</v>
      </c>
      <c r="K26" s="11"/>
      <c r="L26" s="7"/>
      <c r="N26" s="70" t="s">
        <v>75</v>
      </c>
      <c r="O26" s="17" t="s">
        <v>65</v>
      </c>
      <c r="P26" s="24">
        <v>0.72499999999999998</v>
      </c>
      <c r="S26" s="34"/>
      <c r="U26" s="34"/>
      <c r="W26" s="34"/>
      <c r="Y26" s="34"/>
      <c r="Z26" s="35"/>
    </row>
    <row r="27" spans="1:26" ht="19" customHeight="1" x14ac:dyDescent="0.55000000000000004">
      <c r="A27" s="133" t="s">
        <v>76</v>
      </c>
      <c r="B27" s="134"/>
      <c r="C27" s="23"/>
      <c r="D27" s="104">
        <v>0</v>
      </c>
      <c r="E27" s="47">
        <v>0.316</v>
      </c>
      <c r="F27" s="47">
        <f>+E27*1.025</f>
        <v>0.32389999999999997</v>
      </c>
      <c r="G27" s="47">
        <f>+F27*1.025</f>
        <v>0.33199749999999995</v>
      </c>
      <c r="H27" s="47">
        <f>+G27*1.025</f>
        <v>0.34029743749999991</v>
      </c>
      <c r="I27" s="47">
        <f>+H27*1.025</f>
        <v>0.34880487343749988</v>
      </c>
      <c r="J27" s="47">
        <f>+I27*1.025</f>
        <v>0.35752499527343734</v>
      </c>
      <c r="K27" s="11"/>
      <c r="L27" s="7"/>
      <c r="O27" s="17" t="s">
        <v>67</v>
      </c>
      <c r="P27" s="24">
        <v>0.12</v>
      </c>
      <c r="Q27" s="5" t="s">
        <v>68</v>
      </c>
      <c r="S27" s="34"/>
      <c r="U27" s="34"/>
      <c r="W27" s="34"/>
      <c r="Y27" s="34"/>
      <c r="Z27" s="35"/>
    </row>
    <row r="28" spans="1:26" ht="19" customHeight="1" x14ac:dyDescent="0.55000000000000004">
      <c r="A28" s="143" t="s">
        <v>77</v>
      </c>
      <c r="B28" s="134"/>
      <c r="C28" s="98"/>
      <c r="D28" s="103">
        <v>0</v>
      </c>
      <c r="E28" s="49">
        <f t="shared" ref="E28:J28" si="3">+D28+E26</f>
        <v>189.66244</v>
      </c>
      <c r="F28" s="49">
        <f t="shared" si="3"/>
        <v>373.32488000000001</v>
      </c>
      <c r="G28" s="49">
        <f t="shared" si="3"/>
        <v>558.11859440000001</v>
      </c>
      <c r="H28" s="49">
        <f t="shared" si="3"/>
        <v>744.05489594400001</v>
      </c>
      <c r="I28" s="49">
        <f t="shared" si="3"/>
        <v>931.14521050344001</v>
      </c>
      <c r="J28" s="49">
        <f t="shared" si="3"/>
        <v>1119.4010782084745</v>
      </c>
      <c r="K28" s="12"/>
      <c r="L28" s="7"/>
      <c r="O28" s="22" t="s">
        <v>70</v>
      </c>
      <c r="P28" s="75">
        <v>0.2</v>
      </c>
      <c r="Q28" s="68">
        <v>0.8</v>
      </c>
      <c r="S28" s="34"/>
      <c r="U28" s="34"/>
      <c r="W28" s="34"/>
      <c r="Y28" s="34"/>
      <c r="Z28" s="35"/>
    </row>
    <row r="29" spans="1:26" ht="19" customHeight="1" x14ac:dyDescent="0.55000000000000004">
      <c r="A29" s="142" t="s">
        <v>78</v>
      </c>
      <c r="B29" s="134"/>
      <c r="C29" s="99"/>
      <c r="D29" s="105">
        <v>0</v>
      </c>
      <c r="E29" s="50">
        <f t="shared" ref="E29:J29" si="4">+E28*(1-E27)</f>
        <v>129.72910895999999</v>
      </c>
      <c r="F29" s="50">
        <f t="shared" si="4"/>
        <v>252.40495136800001</v>
      </c>
      <c r="G29" s="50">
        <f t="shared" si="4"/>
        <v>372.82461635568603</v>
      </c>
      <c r="H29" s="50">
        <f t="shared" si="4"/>
        <v>490.85492149492779</v>
      </c>
      <c r="I29" s="50">
        <f t="shared" si="4"/>
        <v>606.35722320185346</v>
      </c>
      <c r="J29" s="50">
        <f t="shared" si="4"/>
        <v>719.18721301290896</v>
      </c>
      <c r="K29" s="12"/>
      <c r="L29" s="7"/>
      <c r="N29" s="67" t="s">
        <v>79</v>
      </c>
      <c r="S29" s="34"/>
      <c r="U29" s="34"/>
      <c r="W29" s="34"/>
      <c r="Y29" s="34"/>
      <c r="Z29" s="35"/>
    </row>
    <row r="30" spans="1:26" ht="19" customHeight="1" x14ac:dyDescent="0.55000000000000004">
      <c r="A30" s="135" t="s">
        <v>80</v>
      </c>
      <c r="B30" s="134"/>
      <c r="C30" s="30"/>
      <c r="D30" s="48">
        <v>0</v>
      </c>
      <c r="E30" s="45">
        <v>3</v>
      </c>
      <c r="F30" s="45">
        <v>3</v>
      </c>
      <c r="G30" s="45">
        <v>3</v>
      </c>
      <c r="H30" s="45">
        <v>3</v>
      </c>
      <c r="I30" s="45">
        <v>3</v>
      </c>
      <c r="J30" s="45">
        <v>3</v>
      </c>
      <c r="K30" s="11"/>
      <c r="L30" s="7"/>
      <c r="N30" s="67" t="s">
        <v>81</v>
      </c>
      <c r="O30" s="17" t="s">
        <v>82</v>
      </c>
      <c r="P30" s="74"/>
      <c r="S30" s="34"/>
      <c r="U30" s="34"/>
      <c r="W30" s="34"/>
      <c r="Y30" s="34"/>
      <c r="Z30" s="35"/>
    </row>
    <row r="31" spans="1:26" ht="19" customHeight="1" x14ac:dyDescent="0.55000000000000004">
      <c r="A31" s="133" t="s">
        <v>83</v>
      </c>
      <c r="B31" s="134"/>
      <c r="C31" s="23"/>
      <c r="D31" s="105">
        <f>+D30*D29*0.41*0.07</f>
        <v>0</v>
      </c>
      <c r="E31" s="61">
        <f>+E29*E30*$P$24*$P$22*$P$23*$P$36</f>
        <v>35.556091913784527</v>
      </c>
      <c r="F31" s="61">
        <f>+F29*F30*$P$24*$P$22*$P$23*$P$36</f>
        <v>69.17902791656482</v>
      </c>
      <c r="G31" s="61">
        <f>+G29*G30*$P$24*$P$22*$P$23*$P$36</f>
        <v>102.18359189495064</v>
      </c>
      <c r="H31" s="61">
        <f>+H29*H30*$P$24*$P$22*$P$23*$P$36*$Q$24</f>
        <v>107.62662501837406</v>
      </c>
      <c r="I31" s="61">
        <f>+I29*I30*$P$24*$P$22*$P$23*$P$36*$Q$24</f>
        <v>132.95207734695757</v>
      </c>
      <c r="J31" s="61">
        <f>+J29*J30*$P$24*$P$22*$P$23*$P$36*$Q$24</f>
        <v>157.69158890617277</v>
      </c>
      <c r="K31" s="11"/>
      <c r="L31" s="7"/>
      <c r="S31" s="34"/>
      <c r="U31" s="34"/>
      <c r="W31" s="34"/>
      <c r="Y31" s="34"/>
      <c r="Z31" s="35"/>
    </row>
    <row r="32" spans="1:26" ht="19" customHeight="1" x14ac:dyDescent="0.55000000000000004">
      <c r="A32" s="135" t="s">
        <v>84</v>
      </c>
      <c r="B32" s="134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7" t="s">
        <v>85</v>
      </c>
      <c r="O32" s="17" t="s">
        <v>86</v>
      </c>
      <c r="P32" s="73" t="b">
        <v>1</v>
      </c>
      <c r="Q32" s="71">
        <f>+IF(P32=TRUE,1.1,0.95)</f>
        <v>1.1000000000000001</v>
      </c>
      <c r="S32" s="34"/>
      <c r="U32" s="34"/>
      <c r="W32" s="34"/>
      <c r="Z32" s="35"/>
    </row>
    <row r="33" spans="1:17" ht="19" customHeight="1" x14ac:dyDescent="0.55000000000000004">
      <c r="A33" s="133" t="s">
        <v>87</v>
      </c>
      <c r="B33" s="134"/>
      <c r="C33" s="23"/>
      <c r="D33" s="44">
        <v>0</v>
      </c>
      <c r="E33" s="61">
        <f>+E29*E32*$P$26*$P$27*$P$28*$P$36</f>
        <v>33.048931586530472</v>
      </c>
      <c r="F33" s="61">
        <f>+F29*F32*$P$26*$P$27*$P$28*$P$36</f>
        <v>64.301019537832687</v>
      </c>
      <c r="G33" s="61">
        <f>+G29*G32*$P$26*$P$27*$P$28*$P$36</f>
        <v>94.978338620306658</v>
      </c>
      <c r="H33" s="61">
        <f>+H29*H32*$P$26*$P$27*$P$28*$P$36*$Q$28</f>
        <v>100.0375681260528</v>
      </c>
      <c r="I33" s="61">
        <f>+I29*I32*$P$26*$P$27*$P$28*$P$36*$Q$28</f>
        <v>123.57725138018489</v>
      </c>
      <c r="J33" s="61">
        <f>+J29*J32*$P$26*$P$27*$P$28*$P$36*$Q$28</f>
        <v>146.5723102012503</v>
      </c>
      <c r="K33" s="11"/>
      <c r="L33" s="7"/>
      <c r="O33" s="17" t="s">
        <v>88</v>
      </c>
      <c r="P33" s="73" t="b">
        <v>1</v>
      </c>
      <c r="Q33" s="71">
        <f>+IF(P33=TRUE,1.1,0.95)</f>
        <v>1.1000000000000001</v>
      </c>
    </row>
    <row r="34" spans="1:17" ht="19" customHeight="1" x14ac:dyDescent="0.55000000000000004">
      <c r="A34" s="142" t="s">
        <v>89</v>
      </c>
      <c r="B34" s="134"/>
      <c r="C34" s="99"/>
      <c r="D34" s="105">
        <f>+D29*D30</f>
        <v>0</v>
      </c>
      <c r="E34" s="46">
        <f>+E29*E30*$P$24+E29*E32*$P$28</f>
        <v>570.80807942399997</v>
      </c>
      <c r="F34" s="46">
        <f>+F29*F30*$P$24+F29*F32*$P$28</f>
        <v>1110.5817860192001</v>
      </c>
      <c r="G34" s="46">
        <f>+G29*G30*$P$24+G29*G32*$P$28</f>
        <v>1640.4283119650186</v>
      </c>
      <c r="H34" s="46">
        <f>+H29*H30*$P$24*$Q$24+H29*H32*$P$28*$Q$28</f>
        <v>1727.809323662146</v>
      </c>
      <c r="I34" s="46">
        <f>+I29*I30*$P$24*$Q$24+I29*I32*$P$28*$Q$28</f>
        <v>2134.3774256705246</v>
      </c>
      <c r="J34" s="46">
        <f>+J29*J30*$P$24*$Q$24+J29*J32*$P$28*$Q$28</f>
        <v>2531.53898980544</v>
      </c>
      <c r="K34" s="11"/>
      <c r="L34" s="7"/>
      <c r="O34" s="17" t="s">
        <v>90</v>
      </c>
      <c r="P34" s="73" t="b">
        <v>1</v>
      </c>
      <c r="Q34" s="71">
        <f>+IF(P34=TRUE,1.1,0.95)</f>
        <v>1.1000000000000001</v>
      </c>
    </row>
    <row r="35" spans="1:17" ht="19" customHeight="1" x14ac:dyDescent="0.55000000000000004">
      <c r="A35" s="142" t="s">
        <v>91</v>
      </c>
      <c r="B35" s="134"/>
      <c r="C35" s="99"/>
      <c r="D35" s="106">
        <f>+D31*1.02</f>
        <v>0</v>
      </c>
      <c r="E35" s="50">
        <f t="shared" ref="E35:J35" si="5">+E31+E33+1.05*(E31+E33)</f>
        <v>140.64029817564574</v>
      </c>
      <c r="F35" s="50">
        <f t="shared" si="5"/>
        <v>273.63409728151487</v>
      </c>
      <c r="G35" s="50">
        <f t="shared" si="5"/>
        <v>404.18195755627744</v>
      </c>
      <c r="H35" s="50">
        <f t="shared" si="5"/>
        <v>425.71159594607508</v>
      </c>
      <c r="I35" s="50">
        <f t="shared" si="5"/>
        <v>525.88512389064203</v>
      </c>
      <c r="J35" s="50">
        <f t="shared" si="5"/>
        <v>623.74099317021728</v>
      </c>
      <c r="K35" s="11"/>
      <c r="L35" s="7"/>
      <c r="O35" s="17" t="s">
        <v>92</v>
      </c>
      <c r="P35" s="73" t="b">
        <v>1</v>
      </c>
      <c r="Q35" s="71">
        <f>+IF(P35=TRUE,1.1,0.95)</f>
        <v>1.1000000000000001</v>
      </c>
    </row>
    <row r="36" spans="1:17" x14ac:dyDescent="0.55000000000000004">
      <c r="A36" s="138" t="s">
        <v>7</v>
      </c>
      <c r="B36" s="6" t="str">
        <f>+C8</f>
        <v>体験予約</v>
      </c>
      <c r="C36" s="6"/>
      <c r="D36" s="11">
        <v>0</v>
      </c>
      <c r="E36" s="108">
        <v>2</v>
      </c>
      <c r="F36" s="108">
        <v>4</v>
      </c>
      <c r="G36" s="108">
        <v>6</v>
      </c>
      <c r="H36" s="108">
        <v>8</v>
      </c>
      <c r="I36" s="108">
        <v>11</v>
      </c>
      <c r="J36" s="108">
        <v>13</v>
      </c>
      <c r="K36" s="112">
        <f>SUM(E36:J36)</f>
        <v>44</v>
      </c>
      <c r="L36" s="7"/>
      <c r="N36" s="67" t="s">
        <v>93</v>
      </c>
      <c r="O36" s="17" t="s">
        <v>94</v>
      </c>
      <c r="P36" s="72">
        <f>1*(Q32*Q33*Q34*Q35)</f>
        <v>1.4641000000000006</v>
      </c>
      <c r="Q36" s="71"/>
    </row>
    <row r="37" spans="1:17" x14ac:dyDescent="0.55000000000000004">
      <c r="A37" s="139"/>
      <c r="B37" s="6" t="str">
        <f>+C9</f>
        <v>-</v>
      </c>
      <c r="C37" s="6"/>
      <c r="D37" s="11">
        <v>0</v>
      </c>
      <c r="E37" s="108">
        <v>0</v>
      </c>
      <c r="F37" s="108">
        <v>0</v>
      </c>
      <c r="G37" s="108">
        <v>0</v>
      </c>
      <c r="H37" s="108">
        <v>0</v>
      </c>
      <c r="I37" s="108">
        <v>0</v>
      </c>
      <c r="J37" s="108">
        <v>0</v>
      </c>
      <c r="K37" s="112">
        <f>SUM(E37:J37)</f>
        <v>0</v>
      </c>
      <c r="L37" s="7"/>
      <c r="N37" s="67" t="s">
        <v>93</v>
      </c>
    </row>
    <row r="38" spans="1:17" x14ac:dyDescent="0.55000000000000004">
      <c r="A38" s="138" t="s">
        <v>18</v>
      </c>
      <c r="B38" s="6" t="str">
        <f>+C10</f>
        <v>-</v>
      </c>
      <c r="C38" s="6"/>
      <c r="D38" s="11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12">
        <f>SUM(E38:J38)</f>
        <v>0</v>
      </c>
      <c r="L38" s="7"/>
      <c r="N38" s="67" t="s">
        <v>95</v>
      </c>
      <c r="O38" s="21" t="s">
        <v>96</v>
      </c>
    </row>
    <row r="39" spans="1:17" x14ac:dyDescent="0.55000000000000004">
      <c r="A39" s="139"/>
      <c r="B39" s="6" t="str">
        <f>+C11</f>
        <v>-</v>
      </c>
      <c r="C39" s="6"/>
      <c r="D39" s="11">
        <v>0</v>
      </c>
      <c r="E39" s="108">
        <v>0</v>
      </c>
      <c r="F39" s="108">
        <v>0</v>
      </c>
      <c r="G39" s="108">
        <v>0</v>
      </c>
      <c r="H39" s="108">
        <v>0</v>
      </c>
      <c r="I39" s="108">
        <v>0</v>
      </c>
      <c r="J39" s="108">
        <v>0</v>
      </c>
      <c r="K39" s="112">
        <f>SUM(E39:J39)</f>
        <v>0</v>
      </c>
      <c r="L39" s="7"/>
      <c r="N39" s="67" t="s">
        <v>95</v>
      </c>
      <c r="O39" s="21" t="s">
        <v>97</v>
      </c>
    </row>
    <row r="40" spans="1:17" ht="18" customHeight="1" x14ac:dyDescent="0.55000000000000004">
      <c r="A40" s="136" t="s">
        <v>98</v>
      </c>
      <c r="B40" s="134"/>
      <c r="C40" s="94"/>
      <c r="D40" s="11">
        <f t="shared" ref="D40:J40" si="6">+SUM(D36:D39)</f>
        <v>0</v>
      </c>
      <c r="E40" s="10">
        <f t="shared" si="6"/>
        <v>2</v>
      </c>
      <c r="F40" s="10">
        <f t="shared" si="6"/>
        <v>4</v>
      </c>
      <c r="G40" s="10">
        <f t="shared" si="6"/>
        <v>6</v>
      </c>
      <c r="H40" s="10">
        <f t="shared" si="6"/>
        <v>8</v>
      </c>
      <c r="I40" s="10">
        <f t="shared" si="6"/>
        <v>11</v>
      </c>
      <c r="J40" s="10">
        <f t="shared" si="6"/>
        <v>13</v>
      </c>
      <c r="K40" s="112">
        <f>SUM(E40:J40)</f>
        <v>44</v>
      </c>
      <c r="L40" s="7"/>
      <c r="O40" s="17"/>
    </row>
    <row r="41" spans="1:17" x14ac:dyDescent="0.55000000000000004">
      <c r="B41" s="5" t="s">
        <v>99</v>
      </c>
      <c r="D41" s="18">
        <f t="shared" ref="D41:J41" si="7">+IFERROR(D40/D35,0)</f>
        <v>0</v>
      </c>
      <c r="E41" s="18">
        <f t="shared" si="7"/>
        <v>1.4220675197248223E-2</v>
      </c>
      <c r="F41" s="18">
        <f t="shared" si="7"/>
        <v>1.461806127138022E-2</v>
      </c>
      <c r="G41" s="18">
        <f t="shared" si="7"/>
        <v>1.4844799199540154E-2</v>
      </c>
      <c r="H41" s="18">
        <f t="shared" si="7"/>
        <v>1.8792065041642325E-2</v>
      </c>
      <c r="I41" s="18">
        <f t="shared" si="7"/>
        <v>2.0917115735503203E-2</v>
      </c>
      <c r="J41" s="18">
        <f t="shared" si="7"/>
        <v>2.0841984320970123E-2</v>
      </c>
      <c r="N41" s="67" t="s">
        <v>100</v>
      </c>
    </row>
    <row r="42" spans="1:17" x14ac:dyDescent="0.55000000000000004">
      <c r="B42" s="29"/>
      <c r="D42" s="18"/>
      <c r="E42" s="113"/>
      <c r="F42" s="113"/>
      <c r="G42" s="113"/>
      <c r="H42" s="113"/>
      <c r="I42" s="113"/>
      <c r="J42" s="113"/>
    </row>
    <row r="43" spans="1:17" x14ac:dyDescent="0.55000000000000004">
      <c r="A43" s="29" t="s">
        <v>101</v>
      </c>
      <c r="C43" s="5" t="s">
        <v>102</v>
      </c>
      <c r="D43" s="5" t="s">
        <v>103</v>
      </c>
    </row>
    <row r="44" spans="1:17" ht="18" customHeight="1" x14ac:dyDescent="0.55000000000000004">
      <c r="A44" s="133" t="s">
        <v>104</v>
      </c>
      <c r="B44" s="134"/>
      <c r="C44" s="100"/>
      <c r="D44" s="16" t="s">
        <v>51</v>
      </c>
      <c r="E44" s="31">
        <f t="shared" ref="E44:J44" si="8">+E75*E76</f>
        <v>0</v>
      </c>
      <c r="F44" s="31">
        <f t="shared" si="8"/>
        <v>0</v>
      </c>
      <c r="G44" s="31">
        <f t="shared" si="8"/>
        <v>0</v>
      </c>
      <c r="H44" s="31">
        <f t="shared" si="8"/>
        <v>0</v>
      </c>
      <c r="I44" s="31">
        <f t="shared" si="8"/>
        <v>0</v>
      </c>
      <c r="J44" s="31">
        <f t="shared" si="8"/>
        <v>0</v>
      </c>
      <c r="K44" s="11"/>
      <c r="L44" s="7"/>
    </row>
    <row r="45" spans="1:17" ht="18" customHeight="1" x14ac:dyDescent="0.55000000000000004">
      <c r="A45" s="133" t="s">
        <v>105</v>
      </c>
      <c r="B45" s="134"/>
      <c r="C45" s="101">
        <f>+SUM(C65:C72)</f>
        <v>0</v>
      </c>
      <c r="D45" s="78">
        <f>+SUM(D65:D72)</f>
        <v>120000</v>
      </c>
      <c r="E45" s="27">
        <f t="shared" ref="E45:J45" si="9">SUM(E65:E69)+SUM(E71:E72)</f>
        <v>20000</v>
      </c>
      <c r="F45" s="27">
        <f t="shared" si="9"/>
        <v>20000</v>
      </c>
      <c r="G45" s="27">
        <f t="shared" si="9"/>
        <v>20000</v>
      </c>
      <c r="H45" s="27">
        <f t="shared" si="9"/>
        <v>40000</v>
      </c>
      <c r="I45" s="27">
        <f t="shared" si="9"/>
        <v>40000</v>
      </c>
      <c r="J45" s="27">
        <f t="shared" si="9"/>
        <v>40000</v>
      </c>
      <c r="K45" s="11"/>
      <c r="L45" s="7"/>
    </row>
    <row r="46" spans="1:17" ht="18" customHeight="1" x14ac:dyDescent="0.55000000000000004">
      <c r="A46" s="133" t="s">
        <v>106</v>
      </c>
      <c r="B46" s="134"/>
      <c r="C46" s="100"/>
      <c r="D46" s="16" t="s">
        <v>51</v>
      </c>
      <c r="E46" s="28">
        <f t="shared" ref="E46:J46" si="10">+SUM(E65:E67)/(E28-D28)</f>
        <v>79.087878443407135</v>
      </c>
      <c r="F46" s="28">
        <f t="shared" si="10"/>
        <v>81.671570953756245</v>
      </c>
      <c r="G46" s="28">
        <f t="shared" si="10"/>
        <v>81.17159205713763</v>
      </c>
      <c r="H46" s="28">
        <f t="shared" si="10"/>
        <v>161.34557776444097</v>
      </c>
      <c r="I46" s="28">
        <f t="shared" si="10"/>
        <v>160.35036378363014</v>
      </c>
      <c r="J46" s="28">
        <f t="shared" si="10"/>
        <v>159.3575826651257</v>
      </c>
      <c r="K46" s="11"/>
      <c r="L46" s="7"/>
    </row>
    <row r="47" spans="1:17" ht="18" customHeight="1" x14ac:dyDescent="0.55000000000000004">
      <c r="A47" s="133" t="s">
        <v>107</v>
      </c>
      <c r="B47" s="134"/>
      <c r="C47" s="100"/>
      <c r="D47" s="16" t="s">
        <v>51</v>
      </c>
      <c r="E47" s="28">
        <f t="shared" ref="E47:J47" si="11">+E51/E35</f>
        <v>170.64810236697869</v>
      </c>
      <c r="F47" s="28">
        <f t="shared" si="11"/>
        <v>102.32642889966154</v>
      </c>
      <c r="G47" s="28">
        <f t="shared" si="11"/>
        <v>79.172262397547485</v>
      </c>
      <c r="H47" s="28">
        <f t="shared" si="11"/>
        <v>131.54445529149626</v>
      </c>
      <c r="I47" s="28">
        <f t="shared" si="11"/>
        <v>117.89647050919987</v>
      </c>
      <c r="J47" s="28">
        <f t="shared" si="11"/>
        <v>105.81315116800215</v>
      </c>
      <c r="K47" s="11"/>
      <c r="L47" s="7"/>
    </row>
    <row r="48" spans="1:17" ht="18" customHeight="1" x14ac:dyDescent="0.55000000000000004">
      <c r="A48" s="133" t="s">
        <v>108</v>
      </c>
      <c r="B48" s="134"/>
      <c r="C48" s="100"/>
      <c r="D48" s="16" t="s">
        <v>51</v>
      </c>
      <c r="E48" s="32">
        <f t="shared" ref="E48:J48" si="12">+SUM(E36:E39)/E35</f>
        <v>1.4220675197248223E-2</v>
      </c>
      <c r="F48" s="32">
        <f t="shared" si="12"/>
        <v>1.461806127138022E-2</v>
      </c>
      <c r="G48" s="32">
        <f t="shared" si="12"/>
        <v>1.4844799199540154E-2</v>
      </c>
      <c r="H48" s="32">
        <f t="shared" si="12"/>
        <v>1.8792065041642325E-2</v>
      </c>
      <c r="I48" s="32">
        <f t="shared" si="12"/>
        <v>2.0917115735503203E-2</v>
      </c>
      <c r="J48" s="32">
        <f t="shared" si="12"/>
        <v>2.0841984320970123E-2</v>
      </c>
      <c r="K48" s="11"/>
      <c r="L48" s="7"/>
    </row>
    <row r="49" spans="1:12" ht="18" customHeight="1" x14ac:dyDescent="0.55000000000000004">
      <c r="A49" s="136" t="s">
        <v>109</v>
      </c>
      <c r="B49" s="134"/>
      <c r="C49" s="102"/>
      <c r="D49" s="16" t="s">
        <v>51</v>
      </c>
      <c r="E49" s="28">
        <f t="shared" ref="E49:J49" si="13">+IFERROR(E51/SUM(E36:E39),0)</f>
        <v>12000</v>
      </c>
      <c r="F49" s="28">
        <f t="shared" si="13"/>
        <v>7000</v>
      </c>
      <c r="G49" s="28">
        <f t="shared" si="13"/>
        <v>5333.333333333333</v>
      </c>
      <c r="H49" s="28">
        <f t="shared" si="13"/>
        <v>7000</v>
      </c>
      <c r="I49" s="28">
        <f t="shared" si="13"/>
        <v>5636.363636363636</v>
      </c>
      <c r="J49" s="28">
        <f t="shared" si="13"/>
        <v>5076.9230769230771</v>
      </c>
      <c r="K49" s="11"/>
      <c r="L49" s="7"/>
    </row>
    <row r="50" spans="1:12" ht="18" customHeight="1" x14ac:dyDescent="0.55000000000000004">
      <c r="A50" s="136" t="s">
        <v>110</v>
      </c>
      <c r="B50" s="134"/>
      <c r="C50" s="102"/>
      <c r="D50" s="62" t="s">
        <v>51</v>
      </c>
      <c r="E50" s="63">
        <f t="shared" ref="E50:J50" si="14">+E36*$D$8+E37*$D$9+E38*$D$10</f>
        <v>4000</v>
      </c>
      <c r="F50" s="63">
        <f t="shared" si="14"/>
        <v>8000</v>
      </c>
      <c r="G50" s="63">
        <f t="shared" si="14"/>
        <v>12000</v>
      </c>
      <c r="H50" s="63">
        <f t="shared" si="14"/>
        <v>16000</v>
      </c>
      <c r="I50" s="63">
        <f t="shared" si="14"/>
        <v>22000</v>
      </c>
      <c r="J50" s="63">
        <f t="shared" si="14"/>
        <v>26000</v>
      </c>
      <c r="K50" s="11"/>
      <c r="L50" s="7"/>
    </row>
    <row r="51" spans="1:12" ht="18" customHeight="1" x14ac:dyDescent="0.55000000000000004">
      <c r="A51" s="137" t="s">
        <v>111</v>
      </c>
      <c r="B51" s="134"/>
      <c r="C51" s="107">
        <f>+C45</f>
        <v>0</v>
      </c>
      <c r="D51" s="40">
        <f>+D45</f>
        <v>120000</v>
      </c>
      <c r="E51" s="40">
        <f t="shared" ref="E51:J51" si="15">SUM(E45,E50)+E44</f>
        <v>24000</v>
      </c>
      <c r="F51" s="40">
        <f t="shared" si="15"/>
        <v>28000</v>
      </c>
      <c r="G51" s="40">
        <f t="shared" si="15"/>
        <v>32000</v>
      </c>
      <c r="H51" s="40">
        <f t="shared" si="15"/>
        <v>56000</v>
      </c>
      <c r="I51" s="40">
        <f t="shared" si="15"/>
        <v>62000</v>
      </c>
      <c r="J51" s="40">
        <f t="shared" si="15"/>
        <v>66000</v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112</v>
      </c>
    </row>
    <row r="54" spans="1:12" ht="18" hidden="1" customHeight="1" x14ac:dyDescent="0.55000000000000004">
      <c r="A54" s="133" t="s">
        <v>104</v>
      </c>
      <c r="B54" s="134"/>
      <c r="C54" s="93"/>
      <c r="D54" s="28">
        <f t="shared" ref="D54:J54" si="16">+D75*D76</f>
        <v>0</v>
      </c>
      <c r="E54" s="28">
        <f t="shared" si="16"/>
        <v>0</v>
      </c>
      <c r="F54" s="28">
        <f t="shared" si="16"/>
        <v>0</v>
      </c>
      <c r="G54" s="28">
        <f t="shared" si="16"/>
        <v>0</v>
      </c>
      <c r="H54" s="28">
        <f t="shared" si="16"/>
        <v>0</v>
      </c>
      <c r="I54" s="28">
        <f t="shared" si="16"/>
        <v>0</v>
      </c>
      <c r="J54" s="28">
        <f t="shared" si="16"/>
        <v>0</v>
      </c>
      <c r="K54" s="11"/>
      <c r="L54" s="7"/>
    </row>
    <row r="55" spans="1:12" ht="18" hidden="1" customHeight="1" x14ac:dyDescent="0.55000000000000004">
      <c r="A55" s="133" t="s">
        <v>105</v>
      </c>
      <c r="B55" s="134"/>
      <c r="C55" s="93"/>
      <c r="D55" s="27">
        <f>+SUM(D65:D72)</f>
        <v>120000</v>
      </c>
      <c r="E55" s="27">
        <f t="shared" ref="E55:J55" si="17">SUM(E65:E72)+E54</f>
        <v>20000</v>
      </c>
      <c r="F55" s="27">
        <f t="shared" si="17"/>
        <v>20000</v>
      </c>
      <c r="G55" s="27">
        <f t="shared" si="17"/>
        <v>20000</v>
      </c>
      <c r="H55" s="27">
        <f t="shared" si="17"/>
        <v>40000</v>
      </c>
      <c r="I55" s="27">
        <f t="shared" si="17"/>
        <v>40000</v>
      </c>
      <c r="J55" s="27">
        <f t="shared" si="17"/>
        <v>40000</v>
      </c>
      <c r="K55" s="11"/>
      <c r="L55" s="7"/>
    </row>
    <row r="56" spans="1:12" ht="18" hidden="1" customHeight="1" x14ac:dyDescent="0.55000000000000004">
      <c r="A56" s="133" t="s">
        <v>106</v>
      </c>
      <c r="B56" s="134"/>
      <c r="C56" s="93"/>
      <c r="D56" s="39" t="s">
        <v>51</v>
      </c>
      <c r="E56" s="28">
        <f t="shared" ref="E56:J56" si="18">+SUM(E65:E67)/(E28-D28)</f>
        <v>79.087878443407135</v>
      </c>
      <c r="F56" s="28">
        <f t="shared" si="18"/>
        <v>81.671570953756245</v>
      </c>
      <c r="G56" s="28">
        <f t="shared" si="18"/>
        <v>81.17159205713763</v>
      </c>
      <c r="H56" s="28">
        <f t="shared" si="18"/>
        <v>161.34557776444097</v>
      </c>
      <c r="I56" s="28">
        <f t="shared" si="18"/>
        <v>160.35036378363014</v>
      </c>
      <c r="J56" s="28">
        <f t="shared" si="18"/>
        <v>159.3575826651257</v>
      </c>
      <c r="K56" s="11"/>
      <c r="L56" s="7"/>
    </row>
    <row r="57" spans="1:12" ht="18" hidden="1" customHeight="1" x14ac:dyDescent="0.55000000000000004">
      <c r="A57" s="133" t="s">
        <v>107</v>
      </c>
      <c r="B57" s="134"/>
      <c r="C57" s="93"/>
      <c r="D57" s="39" t="s">
        <v>51</v>
      </c>
      <c r="E57" s="28">
        <f t="shared" ref="E57:J57" si="19">+E61/E35</f>
        <v>142.20675197248224</v>
      </c>
      <c r="F57" s="28">
        <f t="shared" si="19"/>
        <v>73.090306356901095</v>
      </c>
      <c r="G57" s="28">
        <f t="shared" si="19"/>
        <v>49.482663998467181</v>
      </c>
      <c r="H57" s="28">
        <f t="shared" si="19"/>
        <v>93.960325208211628</v>
      </c>
      <c r="I57" s="28">
        <f t="shared" si="19"/>
        <v>76.062239038193468</v>
      </c>
      <c r="J57" s="28">
        <f t="shared" si="19"/>
        <v>64.129182526061911</v>
      </c>
      <c r="K57" s="11"/>
      <c r="L57" s="7"/>
    </row>
    <row r="58" spans="1:12" ht="18" hidden="1" customHeight="1" x14ac:dyDescent="0.55000000000000004">
      <c r="A58" s="133" t="s">
        <v>108</v>
      </c>
      <c r="B58" s="134"/>
      <c r="C58" s="93"/>
      <c r="D58" s="39" t="s">
        <v>51</v>
      </c>
      <c r="E58" s="32">
        <f t="shared" ref="E58:J58" si="20">+SUM(E36:E39)/E35</f>
        <v>1.4220675197248223E-2</v>
      </c>
      <c r="F58" s="32">
        <f t="shared" si="20"/>
        <v>1.461806127138022E-2</v>
      </c>
      <c r="G58" s="32">
        <f t="shared" si="20"/>
        <v>1.4844799199540154E-2</v>
      </c>
      <c r="H58" s="32">
        <f t="shared" si="20"/>
        <v>1.8792065041642325E-2</v>
      </c>
      <c r="I58" s="32">
        <f t="shared" si="20"/>
        <v>2.0917115735503203E-2</v>
      </c>
      <c r="J58" s="32">
        <f t="shared" si="20"/>
        <v>2.0841984320970123E-2</v>
      </c>
      <c r="K58" s="11"/>
      <c r="L58" s="7"/>
    </row>
    <row r="59" spans="1:12" ht="18" hidden="1" customHeight="1" x14ac:dyDescent="0.55000000000000004">
      <c r="A59" s="136" t="s">
        <v>109</v>
      </c>
      <c r="B59" s="134"/>
      <c r="C59" s="94"/>
      <c r="D59" s="28"/>
      <c r="E59" s="28">
        <f t="shared" ref="E59:J59" si="21">+IFERROR(E55/E40,0)</f>
        <v>10000</v>
      </c>
      <c r="F59" s="28">
        <f t="shared" si="21"/>
        <v>5000</v>
      </c>
      <c r="G59" s="28">
        <f t="shared" si="21"/>
        <v>3333.3333333333335</v>
      </c>
      <c r="H59" s="28">
        <f t="shared" si="21"/>
        <v>5000</v>
      </c>
      <c r="I59" s="28">
        <f t="shared" si="21"/>
        <v>3636.3636363636365</v>
      </c>
      <c r="J59" s="28">
        <f t="shared" si="21"/>
        <v>3076.9230769230771</v>
      </c>
      <c r="K59" s="11"/>
      <c r="L59" s="7"/>
    </row>
    <row r="60" spans="1:12" ht="18" hidden="1" customHeight="1" x14ac:dyDescent="0.55000000000000004">
      <c r="A60" s="136" t="s">
        <v>110</v>
      </c>
      <c r="B60" s="134"/>
      <c r="C60" s="94"/>
      <c r="D60" s="28"/>
      <c r="E60" s="28"/>
      <c r="F60" s="28"/>
      <c r="G60" s="28"/>
      <c r="H60" s="28"/>
      <c r="I60" s="28"/>
      <c r="J60" s="28"/>
      <c r="K60" s="11"/>
      <c r="L60" s="7"/>
    </row>
    <row r="61" spans="1:12" ht="18" hidden="1" customHeight="1" x14ac:dyDescent="0.55000000000000004">
      <c r="A61" s="137" t="s">
        <v>111</v>
      </c>
      <c r="B61" s="134"/>
      <c r="C61" s="95"/>
      <c r="D61" s="40">
        <f>+D55</f>
        <v>120000</v>
      </c>
      <c r="E61" s="40">
        <f t="shared" ref="E61:J61" si="22">+SUM(E65:E72)+E54</f>
        <v>20000</v>
      </c>
      <c r="F61" s="40">
        <f t="shared" si="22"/>
        <v>20000</v>
      </c>
      <c r="G61" s="40">
        <f t="shared" si="22"/>
        <v>20000</v>
      </c>
      <c r="H61" s="40">
        <f t="shared" si="22"/>
        <v>40000</v>
      </c>
      <c r="I61" s="40">
        <f t="shared" si="22"/>
        <v>40000</v>
      </c>
      <c r="J61" s="40">
        <f t="shared" si="22"/>
        <v>40000</v>
      </c>
      <c r="K61" s="11"/>
      <c r="L61" s="7"/>
    </row>
    <row r="62" spans="1:12" hidden="1" x14ac:dyDescent="0.55000000000000004"/>
    <row r="64" spans="1:12" x14ac:dyDescent="0.55000000000000004">
      <c r="C64" s="5" t="s">
        <v>102</v>
      </c>
      <c r="D64" s="5" t="s">
        <v>103</v>
      </c>
    </row>
    <row r="65" spans="1:16" x14ac:dyDescent="0.55000000000000004">
      <c r="A65" s="52" t="s">
        <v>113</v>
      </c>
      <c r="B65" s="6" t="s">
        <v>104</v>
      </c>
      <c r="C65" s="87">
        <v>0</v>
      </c>
      <c r="D65" s="51">
        <v>0</v>
      </c>
      <c r="E65" s="28">
        <f t="shared" ref="E65:J65" si="23">MAX(0,15000+(E34-30000)*2.75)</f>
        <v>0</v>
      </c>
      <c r="F65" s="28">
        <f t="shared" si="23"/>
        <v>0</v>
      </c>
      <c r="G65" s="28">
        <f t="shared" si="23"/>
        <v>0</v>
      </c>
      <c r="H65" s="28">
        <f t="shared" si="23"/>
        <v>0</v>
      </c>
      <c r="I65" s="28">
        <f t="shared" si="23"/>
        <v>0</v>
      </c>
      <c r="J65" s="28">
        <f t="shared" si="23"/>
        <v>0</v>
      </c>
    </row>
    <row r="66" spans="1:16" x14ac:dyDescent="0.55000000000000004">
      <c r="A66" s="53" t="s">
        <v>114</v>
      </c>
      <c r="B66" s="6" t="s">
        <v>55</v>
      </c>
      <c r="C66" s="87">
        <v>0</v>
      </c>
      <c r="D66" s="51">
        <v>15000</v>
      </c>
      <c r="E66" s="51">
        <v>15000</v>
      </c>
      <c r="F66" s="51">
        <v>15000</v>
      </c>
      <c r="G66" s="51">
        <v>15000</v>
      </c>
      <c r="H66" s="28">
        <v>30000</v>
      </c>
      <c r="I66" s="28">
        <v>30000</v>
      </c>
      <c r="J66" s="28">
        <v>30000</v>
      </c>
      <c r="N66" s="67" t="s">
        <v>115</v>
      </c>
    </row>
    <row r="67" spans="1:16" x14ac:dyDescent="0.55000000000000004">
      <c r="B67" s="6" t="s">
        <v>116</v>
      </c>
      <c r="C67" s="87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7" t="s">
        <v>117</v>
      </c>
    </row>
    <row r="68" spans="1:16" x14ac:dyDescent="0.55000000000000004">
      <c r="A68" s="15"/>
      <c r="B68" s="6" t="s">
        <v>118</v>
      </c>
      <c r="C68" s="87">
        <v>0</v>
      </c>
      <c r="D68" s="51">
        <v>0</v>
      </c>
      <c r="E68" s="28">
        <f t="shared" ref="E68:J68" si="24">IF(E34&lt;5000,5000,15000)</f>
        <v>5000</v>
      </c>
      <c r="F68" s="28">
        <f t="shared" si="24"/>
        <v>5000</v>
      </c>
      <c r="G68" s="28">
        <f t="shared" si="24"/>
        <v>5000</v>
      </c>
      <c r="H68" s="28">
        <f t="shared" si="24"/>
        <v>5000</v>
      </c>
      <c r="I68" s="28">
        <f t="shared" si="24"/>
        <v>5000</v>
      </c>
      <c r="J68" s="28">
        <f t="shared" si="24"/>
        <v>5000</v>
      </c>
      <c r="N68" s="67" t="s">
        <v>119</v>
      </c>
      <c r="O68" s="17" t="s">
        <v>120</v>
      </c>
      <c r="P68" s="73">
        <v>5000</v>
      </c>
    </row>
    <row r="69" spans="1:16" x14ac:dyDescent="0.55000000000000004">
      <c r="A69" s="15"/>
      <c r="B69" s="6" t="s">
        <v>121</v>
      </c>
      <c r="C69" s="87">
        <v>0</v>
      </c>
      <c r="D69" s="51">
        <v>105000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N69" s="67" t="s">
        <v>122</v>
      </c>
      <c r="O69" s="5" t="s">
        <v>123</v>
      </c>
    </row>
    <row r="70" spans="1:16" x14ac:dyDescent="0.55000000000000004">
      <c r="A70" s="15"/>
      <c r="B70" s="6" t="s">
        <v>124</v>
      </c>
      <c r="C70" s="87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7" t="s">
        <v>125</v>
      </c>
    </row>
    <row r="71" spans="1:16" x14ac:dyDescent="0.55000000000000004">
      <c r="A71" s="15"/>
      <c r="B71" s="6" t="s">
        <v>126</v>
      </c>
      <c r="C71" s="87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7" t="s">
        <v>127</v>
      </c>
    </row>
    <row r="72" spans="1:16" x14ac:dyDescent="0.55000000000000004">
      <c r="A72" s="15"/>
      <c r="B72" s="6" t="s">
        <v>128</v>
      </c>
      <c r="C72" s="87">
        <v>0</v>
      </c>
      <c r="D72" s="51">
        <v>0</v>
      </c>
      <c r="E72" s="28">
        <v>0</v>
      </c>
      <c r="F72" s="28">
        <v>0</v>
      </c>
      <c r="G72" s="28">
        <v>0</v>
      </c>
      <c r="H72" s="28">
        <v>5000</v>
      </c>
      <c r="I72" s="28">
        <v>5000</v>
      </c>
      <c r="J72" s="28">
        <v>5000</v>
      </c>
    </row>
    <row r="73" spans="1:16" x14ac:dyDescent="0.55000000000000004">
      <c r="A73" s="15"/>
      <c r="B73" s="109" t="s">
        <v>129</v>
      </c>
      <c r="C73" s="110">
        <v>0</v>
      </c>
      <c r="D73" s="111">
        <f t="shared" ref="D73:J73" si="25">SUM(D65:D72)</f>
        <v>120000</v>
      </c>
      <c r="E73" s="111">
        <f t="shared" si="25"/>
        <v>20000</v>
      </c>
      <c r="F73" s="111">
        <f t="shared" si="25"/>
        <v>20000</v>
      </c>
      <c r="G73" s="111">
        <f t="shared" si="25"/>
        <v>20000</v>
      </c>
      <c r="H73" s="111">
        <f t="shared" si="25"/>
        <v>40000</v>
      </c>
      <c r="I73" s="111">
        <f t="shared" si="25"/>
        <v>40000</v>
      </c>
      <c r="J73" s="111">
        <f t="shared" si="25"/>
        <v>40000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130</v>
      </c>
      <c r="D75" s="41">
        <f t="shared" ref="D75:J75" si="26">+IF(D34&lt;30001,0,D34-30000)</f>
        <v>0</v>
      </c>
      <c r="E75" s="41">
        <f t="shared" si="26"/>
        <v>0</v>
      </c>
      <c r="F75" s="41">
        <f t="shared" si="26"/>
        <v>0</v>
      </c>
      <c r="G75" s="41">
        <f t="shared" si="26"/>
        <v>0</v>
      </c>
      <c r="H75" s="41">
        <f t="shared" si="26"/>
        <v>0</v>
      </c>
      <c r="I75" s="41">
        <f t="shared" si="26"/>
        <v>0</v>
      </c>
      <c r="J75" s="41">
        <f t="shared" si="26"/>
        <v>0</v>
      </c>
    </row>
    <row r="76" spans="1:16" x14ac:dyDescent="0.55000000000000004">
      <c r="B76" s="5" t="s">
        <v>131</v>
      </c>
      <c r="D76" s="5">
        <f t="shared" ref="D76:J76" si="27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27"/>
        <v>3</v>
      </c>
      <c r="F76" s="5">
        <f t="shared" si="27"/>
        <v>3</v>
      </c>
      <c r="G76" s="5">
        <f t="shared" si="27"/>
        <v>3</v>
      </c>
      <c r="H76" s="5">
        <f t="shared" si="27"/>
        <v>3</v>
      </c>
      <c r="I76" s="5">
        <f t="shared" si="27"/>
        <v>3</v>
      </c>
      <c r="J76" s="5">
        <f t="shared" si="27"/>
        <v>3</v>
      </c>
    </row>
  </sheetData>
  <mergeCells count="35"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34:B34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58:B58"/>
    <mergeCell ref="A48:B48"/>
    <mergeCell ref="A30:B30"/>
    <mergeCell ref="A59:B59"/>
    <mergeCell ref="A60:B60"/>
    <mergeCell ref="A49:B49"/>
    <mergeCell ref="A51:B51"/>
    <mergeCell ref="A45:B45"/>
    <mergeCell ref="A36:A37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 customWidth="1"/>
    <col min="18" max="18" width="10.83203125" style="5" bestFit="1" customWidth="1"/>
    <col min="19" max="19" width="9" style="5" customWidth="1"/>
    <col min="20" max="27" width="14.83203125" style="5" customWidth="1"/>
    <col min="28" max="30" width="9" style="5" customWidth="1"/>
    <col min="31" max="16384" width="9" style="5"/>
  </cols>
  <sheetData>
    <row r="1" spans="1:25" x14ac:dyDescent="0.55000000000000004">
      <c r="E1" s="73" t="s">
        <v>132</v>
      </c>
      <c r="F1" s="73">
        <v>0.6</v>
      </c>
    </row>
    <row r="3" spans="1:25" x14ac:dyDescent="0.55000000000000004">
      <c r="A3" s="79" t="s">
        <v>133</v>
      </c>
      <c r="B3" s="79"/>
      <c r="C3" s="80" t="s">
        <v>134</v>
      </c>
      <c r="D3" s="81" t="s">
        <v>135</v>
      </c>
      <c r="E3" s="81" t="s">
        <v>136</v>
      </c>
      <c r="F3" s="81"/>
    </row>
    <row r="4" spans="1:25" x14ac:dyDescent="0.55000000000000004">
      <c r="A4" s="82" t="s">
        <v>137</v>
      </c>
      <c r="B4" s="7"/>
      <c r="C4" s="83" t="str">
        <f>+SIM1_忍者ナイン!D24</f>
        <v>--</v>
      </c>
      <c r="D4" s="28">
        <f>+SIM1_忍者ナイン!G51</f>
        <v>32000</v>
      </c>
      <c r="E4" s="28">
        <f>+SIM1_忍者ナイン!J51</f>
        <v>66000</v>
      </c>
      <c r="F4" s="28"/>
    </row>
    <row r="5" spans="1:25" x14ac:dyDescent="0.55000000000000004">
      <c r="A5" s="82" t="s">
        <v>138</v>
      </c>
      <c r="B5" s="7"/>
      <c r="C5" s="83" t="str">
        <f>+SIM1_忍者ナイン!D25</f>
        <v>--</v>
      </c>
      <c r="D5" s="28">
        <f>+SIM1_忍者ナイン!G61</f>
        <v>20000</v>
      </c>
      <c r="E5" s="28">
        <f>+SIM1_忍者ナイン!J61</f>
        <v>40000</v>
      </c>
      <c r="F5" s="27"/>
    </row>
    <row r="6" spans="1:25" x14ac:dyDescent="0.55000000000000004">
      <c r="A6" s="82" t="s">
        <v>139</v>
      </c>
      <c r="B6" s="7"/>
      <c r="C6" s="114">
        <f>+SIM1_忍者ナイン!D28</f>
        <v>0</v>
      </c>
      <c r="D6" s="84">
        <f>+SIM1_忍者ナイン!G28</f>
        <v>558.11859440000001</v>
      </c>
      <c r="E6" s="84">
        <f>+SIM1_忍者ナイン!J28</f>
        <v>1119.4010782084745</v>
      </c>
      <c r="F6" s="10"/>
    </row>
    <row r="7" spans="1:25" x14ac:dyDescent="0.55000000000000004">
      <c r="A7" s="82" t="s">
        <v>140</v>
      </c>
      <c r="B7" s="7"/>
      <c r="C7" s="85">
        <f>+SIM1_忍者ナイン!D27</f>
        <v>0</v>
      </c>
      <c r="D7" s="86">
        <f>+D8/D6</f>
        <v>0.66800250000000005</v>
      </c>
      <c r="E7" s="86">
        <f>+E8/E6</f>
        <v>0.6424750047265626</v>
      </c>
      <c r="F7" s="86"/>
    </row>
    <row r="8" spans="1:25" x14ac:dyDescent="0.55000000000000004">
      <c r="A8" s="82" t="s">
        <v>141</v>
      </c>
      <c r="B8" s="7"/>
      <c r="C8" s="114">
        <f>+SIM1_忍者ナイン!D29</f>
        <v>0</v>
      </c>
      <c r="D8" s="10">
        <f>+SIM1_忍者ナイン!G29</f>
        <v>372.82461635568603</v>
      </c>
      <c r="E8" s="10">
        <f>+SIM1_忍者ナイン!J29</f>
        <v>719.18721301290896</v>
      </c>
      <c r="F8" s="10"/>
    </row>
    <row r="9" spans="1:25" x14ac:dyDescent="0.55000000000000004">
      <c r="A9" s="82"/>
      <c r="B9" s="7"/>
      <c r="C9" s="7"/>
      <c r="D9" s="7"/>
      <c r="E9" s="7"/>
      <c r="F9" s="7"/>
    </row>
    <row r="10" spans="1:25" x14ac:dyDescent="0.55000000000000004">
      <c r="A10" s="82" t="s">
        <v>142</v>
      </c>
      <c r="B10" s="7"/>
      <c r="C10" s="114">
        <f>+SIM1_忍者ナイン!D34</f>
        <v>0</v>
      </c>
      <c r="D10" s="10">
        <f>+SIM1_忍者ナイン!G34</f>
        <v>1640.4283119650186</v>
      </c>
      <c r="E10" s="10">
        <f>+SIM1_忍者ナイン!J34</f>
        <v>2531.53898980544</v>
      </c>
      <c r="F10" s="10"/>
    </row>
    <row r="11" spans="1:25" x14ac:dyDescent="0.55000000000000004">
      <c r="A11" s="82" t="s">
        <v>143</v>
      </c>
      <c r="B11" s="7"/>
      <c r="C11" s="114">
        <f>+SIM1_忍者ナイン!D35</f>
        <v>0</v>
      </c>
      <c r="D11" s="10">
        <f>+SIM1_忍者ナイン!G35</f>
        <v>404.18195755627744</v>
      </c>
      <c r="E11" s="10">
        <f>+SIM1_忍者ナイン!J35</f>
        <v>623.74099317021728</v>
      </c>
      <c r="F11" s="10"/>
    </row>
    <row r="12" spans="1:25" x14ac:dyDescent="0.55000000000000004">
      <c r="A12" s="82" t="s">
        <v>144</v>
      </c>
      <c r="B12" s="7"/>
      <c r="C12" s="28">
        <f>+IFERROR(C5/C11,0)</f>
        <v>0</v>
      </c>
      <c r="D12" s="28">
        <f>+D4/D11</f>
        <v>79.172262397547485</v>
      </c>
      <c r="E12" s="28">
        <f>+E4/E11</f>
        <v>105.81315116800215</v>
      </c>
      <c r="F12" s="28"/>
    </row>
    <row r="13" spans="1:25" x14ac:dyDescent="0.55000000000000004">
      <c r="A13" s="82" t="s">
        <v>145</v>
      </c>
      <c r="B13" s="7"/>
      <c r="C13" s="28">
        <f>+IFERROR(C6/C12,0)</f>
        <v>0</v>
      </c>
      <c r="D13" s="28">
        <f>+D5/D11</f>
        <v>49.482663998467181</v>
      </c>
      <c r="E13" s="28">
        <f>+E5/E11</f>
        <v>64.129182526061911</v>
      </c>
      <c r="F13" s="28"/>
    </row>
    <row r="14" spans="1:25" x14ac:dyDescent="0.55000000000000004">
      <c r="A14" s="82"/>
      <c r="B14" s="7"/>
      <c r="C14" s="7"/>
      <c r="D14" s="7"/>
      <c r="E14" s="7"/>
      <c r="F14" s="7"/>
      <c r="R14" s="29" t="s">
        <v>45</v>
      </c>
    </row>
    <row r="15" spans="1:25" x14ac:dyDescent="0.55000000000000004">
      <c r="A15" s="82" t="s">
        <v>146</v>
      </c>
      <c r="B15" s="7"/>
      <c r="C15" s="84">
        <f>+SIM1_忍者ナイン!D16</f>
        <v>100</v>
      </c>
      <c r="D15" s="84">
        <f>+SIM1_忍者ナイン!E16</f>
        <v>100</v>
      </c>
      <c r="E15" s="84">
        <f>+SIM1_忍者ナイン!F16</f>
        <v>100</v>
      </c>
      <c r="F15" s="84"/>
      <c r="R15" s="5" t="s">
        <v>48</v>
      </c>
    </row>
    <row r="16" spans="1:25" x14ac:dyDescent="0.55000000000000004">
      <c r="A16" s="82" t="s">
        <v>147</v>
      </c>
      <c r="B16" s="7"/>
      <c r="C16" s="84">
        <f>SUM(C17:C20)</f>
        <v>0</v>
      </c>
      <c r="D16" s="84">
        <f>SUM(D17:D20)</f>
        <v>6</v>
      </c>
      <c r="E16" s="84">
        <f>SUM(E17:E20)</f>
        <v>13</v>
      </c>
      <c r="F16" s="84"/>
      <c r="R16" s="5" t="s">
        <v>52</v>
      </c>
      <c r="V16" s="5" t="s">
        <v>53</v>
      </c>
      <c r="Y16" s="35" t="s">
        <v>54</v>
      </c>
    </row>
    <row r="17" spans="1:25" x14ac:dyDescent="0.55000000000000004">
      <c r="A17" s="82" t="s">
        <v>148</v>
      </c>
      <c r="B17" s="7"/>
      <c r="C17" s="84">
        <f>+SIM1_忍者ナイン!D36</f>
        <v>0</v>
      </c>
      <c r="D17" s="84">
        <f>+SIM1_忍者ナイン!G36</f>
        <v>6</v>
      </c>
      <c r="E17" s="84">
        <f>+SIM1_忍者ナイン!J36</f>
        <v>13</v>
      </c>
      <c r="F17" s="10"/>
      <c r="R17" s="5">
        <v>0</v>
      </c>
      <c r="S17" s="5" t="s">
        <v>20</v>
      </c>
      <c r="T17" s="34">
        <v>200000</v>
      </c>
      <c r="V17" s="5">
        <v>0</v>
      </c>
      <c r="W17" s="5" t="s">
        <v>20</v>
      </c>
      <c r="X17" s="34">
        <v>600000</v>
      </c>
      <c r="Y17" s="35">
        <v>3</v>
      </c>
    </row>
    <row r="18" spans="1:25" x14ac:dyDescent="0.55000000000000004">
      <c r="A18" s="82" t="s">
        <v>149</v>
      </c>
      <c r="B18" s="7"/>
      <c r="C18" s="84">
        <f>+SIM1_忍者ナイン!D37</f>
        <v>0</v>
      </c>
      <c r="D18" s="84">
        <f>+SIM1_忍者ナイン!G37</f>
        <v>0</v>
      </c>
      <c r="E18" s="84">
        <f>+SIM1_忍者ナイン!J37</f>
        <v>0</v>
      </c>
      <c r="F18" s="10"/>
      <c r="R18" s="34">
        <v>200000</v>
      </c>
      <c r="S18" s="5" t="s">
        <v>20</v>
      </c>
      <c r="T18" s="34">
        <v>15000000</v>
      </c>
      <c r="V18" s="34">
        <v>600000</v>
      </c>
      <c r="W18" s="5" t="s">
        <v>20</v>
      </c>
      <c r="X18" s="34">
        <f>+T18*2.5</f>
        <v>37500000</v>
      </c>
      <c r="Y18" s="35">
        <v>2.5</v>
      </c>
    </row>
    <row r="19" spans="1:25" x14ac:dyDescent="0.55000000000000004">
      <c r="A19" s="82" t="s">
        <v>150</v>
      </c>
      <c r="B19" s="7"/>
      <c r="C19" s="84">
        <f>+SIM1_忍者ナイン!D38</f>
        <v>0</v>
      </c>
      <c r="D19" s="84">
        <f>+SIM1_忍者ナイン!G38</f>
        <v>0</v>
      </c>
      <c r="E19" s="84">
        <f>+SIM1_忍者ナイン!J38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2" t="s">
        <v>151</v>
      </c>
      <c r="B20" s="7"/>
      <c r="C20" s="84">
        <f>+SIM1_忍者ナイン!D39</f>
        <v>0</v>
      </c>
      <c r="D20" s="84">
        <f>+SIM1_忍者ナイン!G39</f>
        <v>0</v>
      </c>
      <c r="E20" s="84">
        <f>+SIM1_忍者ナイン!J39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2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2" t="s">
        <v>152</v>
      </c>
      <c r="B22" s="7"/>
      <c r="C22" s="87" t="str">
        <f>+IFERROR(C4/C16,"--")</f>
        <v>--</v>
      </c>
      <c r="D22" s="87">
        <f>+IFERROR(D4/D16,"--")</f>
        <v>5333.333333333333</v>
      </c>
      <c r="E22" s="87">
        <f>+IFERROR(E4/E16,"--")</f>
        <v>5076.9230769230771</v>
      </c>
      <c r="F22" s="87"/>
      <c r="R22" s="34"/>
      <c r="T22" s="34"/>
      <c r="V22" s="34"/>
      <c r="X22" s="34"/>
      <c r="Y22" s="35"/>
    </row>
    <row r="23" spans="1:25" x14ac:dyDescent="0.55000000000000004">
      <c r="A23" s="82" t="s">
        <v>153</v>
      </c>
      <c r="B23" s="7"/>
      <c r="C23" s="87" t="str">
        <f>+IFERROR(C5/C16,"--")</f>
        <v>--</v>
      </c>
      <c r="D23" s="87">
        <f>+IFERROR(D5/D16,"--")</f>
        <v>3333.3333333333335</v>
      </c>
      <c r="E23" s="87">
        <f>+IFERROR(E5/E16,"--")</f>
        <v>3076.9230769230771</v>
      </c>
      <c r="F23" s="87"/>
      <c r="R23" s="34"/>
      <c r="T23" s="34"/>
      <c r="V23" s="34"/>
      <c r="X23" s="34"/>
      <c r="Y23" s="35"/>
    </row>
    <row r="24" spans="1:25" x14ac:dyDescent="0.55000000000000004">
      <c r="A24" s="82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2" t="s">
        <v>154</v>
      </c>
      <c r="B25" s="7"/>
      <c r="C25" s="10">
        <f>15000+C29*C30</f>
        <v>15000</v>
      </c>
      <c r="D25" s="10">
        <f>15000+D29*D30</f>
        <v>15000</v>
      </c>
      <c r="E25" s="10">
        <f>15000+E29*E30</f>
        <v>15000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155</v>
      </c>
      <c r="C29" s="5">
        <f>+IF(C10&lt;=30000,0,C10-30000)</f>
        <v>0</v>
      </c>
      <c r="D29" s="88">
        <f>+IF(D10&lt;=30000,0,D10-30000)</f>
        <v>0</v>
      </c>
      <c r="E29" s="88">
        <f>+IF(E10&lt;=30000,0,E10-30000)</f>
        <v>0</v>
      </c>
      <c r="F29" s="88"/>
      <c r="R29" s="34"/>
      <c r="T29" s="34"/>
      <c r="V29" s="34"/>
      <c r="X29" s="34"/>
      <c r="Y29" s="35"/>
    </row>
    <row r="30" spans="1:25" x14ac:dyDescent="0.55000000000000004">
      <c r="A30" s="29" t="s">
        <v>156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89" t="s">
        <v>157</v>
      </c>
      <c r="B35" s="89"/>
      <c r="C35" s="90" t="s">
        <v>158</v>
      </c>
      <c r="D35" s="91" t="s">
        <v>159</v>
      </c>
      <c r="E35" s="91" t="s">
        <v>160</v>
      </c>
      <c r="F35" s="91" t="s">
        <v>160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style="132" customWidth="1"/>
    <col min="5" max="5" width="14.25" style="132" customWidth="1"/>
  </cols>
  <sheetData>
    <row r="2" spans="1:7" x14ac:dyDescent="0.55000000000000004">
      <c r="A2" s="57" t="s">
        <v>161</v>
      </c>
      <c r="B2" s="57"/>
      <c r="C2" s="57"/>
      <c r="D2" s="57"/>
      <c r="E2" s="57"/>
      <c r="F2" s="57"/>
      <c r="G2" s="57"/>
    </row>
    <row r="3" spans="1:7" x14ac:dyDescent="0.55000000000000004">
      <c r="A3" s="54" t="s">
        <v>162</v>
      </c>
    </row>
    <row r="4" spans="1:7" x14ac:dyDescent="0.55000000000000004">
      <c r="A4" t="s">
        <v>163</v>
      </c>
      <c r="B4" t="s">
        <v>164</v>
      </c>
      <c r="E4">
        <v>1000</v>
      </c>
    </row>
    <row r="5" spans="1:7" x14ac:dyDescent="0.55000000000000004">
      <c r="A5" t="s">
        <v>67</v>
      </c>
      <c r="B5" s="58">
        <v>8.5000000000000006E-2</v>
      </c>
    </row>
    <row r="6" spans="1:7" x14ac:dyDescent="0.55000000000000004">
      <c r="A6" t="s">
        <v>165</v>
      </c>
      <c r="B6" s="58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166</v>
      </c>
    </row>
    <row r="9" spans="1:7" x14ac:dyDescent="0.55000000000000004">
      <c r="A9" t="s">
        <v>163</v>
      </c>
      <c r="B9" t="s">
        <v>164</v>
      </c>
      <c r="E9">
        <v>1000</v>
      </c>
    </row>
    <row r="10" spans="1:7" x14ac:dyDescent="0.55000000000000004">
      <c r="A10" t="s">
        <v>67</v>
      </c>
      <c r="B10" s="58">
        <v>5.0000000000000001E-3</v>
      </c>
    </row>
    <row r="11" spans="1:7" x14ac:dyDescent="0.55000000000000004">
      <c r="A11" t="s">
        <v>165</v>
      </c>
      <c r="B11" s="58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167</v>
      </c>
      <c r="D13" t="s">
        <v>168</v>
      </c>
    </row>
    <row r="14" spans="1:7" x14ac:dyDescent="0.55000000000000004">
      <c r="A14" t="s">
        <v>169</v>
      </c>
      <c r="B14" t="s">
        <v>164</v>
      </c>
      <c r="E14">
        <v>1000</v>
      </c>
    </row>
    <row r="15" spans="1:7" x14ac:dyDescent="0.55000000000000004">
      <c r="A15" t="s">
        <v>67</v>
      </c>
      <c r="B15" s="58">
        <v>0.9</v>
      </c>
      <c r="C15" t="s">
        <v>170</v>
      </c>
    </row>
    <row r="16" spans="1:7" x14ac:dyDescent="0.55000000000000004">
      <c r="A16" t="s">
        <v>165</v>
      </c>
      <c r="B16" s="58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171</v>
      </c>
      <c r="D18" t="s">
        <v>168</v>
      </c>
    </row>
    <row r="19" spans="1:10" x14ac:dyDescent="0.55000000000000004">
      <c r="A19" t="s">
        <v>163</v>
      </c>
      <c r="B19" s="58">
        <v>0.7</v>
      </c>
      <c r="C19" t="s">
        <v>164</v>
      </c>
      <c r="E19">
        <v>1000</v>
      </c>
    </row>
    <row r="20" spans="1:10" x14ac:dyDescent="0.55000000000000004">
      <c r="A20" t="s">
        <v>67</v>
      </c>
      <c r="B20" s="58">
        <v>1</v>
      </c>
    </row>
    <row r="21" spans="1:10" x14ac:dyDescent="0.55000000000000004">
      <c r="A21" t="s">
        <v>165</v>
      </c>
      <c r="B21" s="58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7" t="s">
        <v>172</v>
      </c>
      <c r="B23" s="57"/>
      <c r="C23" s="57" t="s">
        <v>173</v>
      </c>
      <c r="D23" s="57"/>
      <c r="E23" s="57"/>
      <c r="F23" s="57"/>
      <c r="G23" s="57"/>
      <c r="I23" s="65" t="s">
        <v>174</v>
      </c>
      <c r="J23" s="66"/>
    </row>
    <row r="24" spans="1:10" x14ac:dyDescent="0.55000000000000004">
      <c r="A24" s="54" t="s">
        <v>175</v>
      </c>
      <c r="I24" s="64">
        <v>1</v>
      </c>
      <c r="J24" t="s">
        <v>176</v>
      </c>
    </row>
    <row r="25" spans="1:10" x14ac:dyDescent="0.55000000000000004">
      <c r="A25" t="s">
        <v>65</v>
      </c>
      <c r="B25" s="59">
        <v>0.8</v>
      </c>
      <c r="I25" s="64">
        <v>2</v>
      </c>
      <c r="J25" t="s">
        <v>177</v>
      </c>
    </row>
    <row r="26" spans="1:10" x14ac:dyDescent="0.55000000000000004">
      <c r="A26" t="s">
        <v>67</v>
      </c>
      <c r="B26" s="59">
        <v>0.06</v>
      </c>
      <c r="I26" s="64">
        <v>3</v>
      </c>
      <c r="J26" t="s">
        <v>178</v>
      </c>
    </row>
    <row r="27" spans="1:10" x14ac:dyDescent="0.55000000000000004">
      <c r="A27" t="s">
        <v>179</v>
      </c>
      <c r="B27" s="59">
        <v>3.0000000000000001E-3</v>
      </c>
      <c r="I27" s="64">
        <v>4</v>
      </c>
      <c r="J27" t="s">
        <v>180</v>
      </c>
    </row>
    <row r="29" spans="1:10" x14ac:dyDescent="0.55000000000000004">
      <c r="A29" s="54" t="s">
        <v>181</v>
      </c>
      <c r="I29" s="65" t="s">
        <v>182</v>
      </c>
      <c r="J29" s="66"/>
    </row>
    <row r="30" spans="1:10" x14ac:dyDescent="0.55000000000000004">
      <c r="A30" t="s">
        <v>65</v>
      </c>
      <c r="B30" s="59">
        <v>0.75</v>
      </c>
      <c r="I30" s="64">
        <v>1</v>
      </c>
      <c r="J30" t="s">
        <v>183</v>
      </c>
    </row>
    <row r="31" spans="1:10" x14ac:dyDescent="0.55000000000000004">
      <c r="A31" t="s">
        <v>67</v>
      </c>
      <c r="B31" s="59">
        <v>0.08</v>
      </c>
      <c r="I31" s="64">
        <v>2</v>
      </c>
      <c r="J31" t="s">
        <v>184</v>
      </c>
    </row>
    <row r="32" spans="1:10" x14ac:dyDescent="0.55000000000000004">
      <c r="A32" t="s">
        <v>179</v>
      </c>
      <c r="B32" s="59">
        <v>6.0000000000000001E-3</v>
      </c>
      <c r="I32" s="64">
        <v>3</v>
      </c>
      <c r="J32" t="s">
        <v>185</v>
      </c>
    </row>
    <row r="33" spans="1:10" x14ac:dyDescent="0.55000000000000004">
      <c r="I33" s="64">
        <v>4</v>
      </c>
      <c r="J33" t="s">
        <v>186</v>
      </c>
    </row>
    <row r="34" spans="1:10" x14ac:dyDescent="0.55000000000000004">
      <c r="A34" s="54" t="s">
        <v>187</v>
      </c>
    </row>
    <row r="35" spans="1:10" x14ac:dyDescent="0.55000000000000004">
      <c r="A35" t="s">
        <v>65</v>
      </c>
      <c r="B35" s="60" t="s">
        <v>51</v>
      </c>
    </row>
    <row r="36" spans="1:10" x14ac:dyDescent="0.55000000000000004">
      <c r="A36" t="s">
        <v>67</v>
      </c>
      <c r="B36" s="59">
        <v>0.02</v>
      </c>
    </row>
    <row r="37" spans="1:10" x14ac:dyDescent="0.55000000000000004">
      <c r="A37" t="s">
        <v>179</v>
      </c>
      <c r="B37" s="59">
        <v>4.0000000000000001E-3</v>
      </c>
    </row>
    <row r="39" spans="1:10" x14ac:dyDescent="0.55000000000000004">
      <c r="A39" s="54" t="s">
        <v>188</v>
      </c>
      <c r="E39" s="54" t="s">
        <v>189</v>
      </c>
    </row>
    <row r="40" spans="1:10" x14ac:dyDescent="0.55000000000000004">
      <c r="A40" t="s">
        <v>65</v>
      </c>
      <c r="B40" s="60">
        <v>1</v>
      </c>
      <c r="E40" t="s">
        <v>65</v>
      </c>
      <c r="F40" s="60" t="s">
        <v>51</v>
      </c>
    </row>
    <row r="41" spans="1:10" x14ac:dyDescent="0.55000000000000004">
      <c r="A41" t="s">
        <v>67</v>
      </c>
      <c r="B41" s="59">
        <v>3.5000000000000003E-2</v>
      </c>
      <c r="E41" t="s">
        <v>190</v>
      </c>
      <c r="F41" s="59">
        <v>0.25</v>
      </c>
    </row>
    <row r="42" spans="1:10" x14ac:dyDescent="0.55000000000000004">
      <c r="A42" t="s">
        <v>179</v>
      </c>
      <c r="B42" s="59">
        <v>6.0000000000000001E-3</v>
      </c>
      <c r="F42" s="5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SIM2_チャイルドアイズ</vt:lpstr>
      <vt:lpstr>SIM1_忍者ナイン</vt:lpstr>
      <vt:lpstr>SIM1_比較</vt:lpstr>
      <vt:lpstr>SIM考え方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2026-09-18T09:23:44Z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
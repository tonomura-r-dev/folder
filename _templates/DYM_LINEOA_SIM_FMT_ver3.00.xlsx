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1_" sheetId="2" r:id="rId1"/>
    <sheet name="SIM1_比較" sheetId="6" r:id="rId2"/>
    <sheet name="SIM考え方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" i="2" l="1"/>
  <c r="E25" i="2"/>
  <c r="E22" i="2"/>
  <c r="E24" i="2"/>
  <c r="F24" i="2" s="1"/>
  <c r="G24" i="2" s="1"/>
  <c r="H24" i="2" s="1"/>
  <c r="I24" i="2" s="1"/>
  <c r="J24" i="2" s="1"/>
  <c r="X18" i="6"/>
  <c r="J25" i="2"/>
  <c r="I25" i="2"/>
  <c r="H25" i="2"/>
  <c r="G25" i="2"/>
  <c r="F25" i="2"/>
  <c r="D16" i="2"/>
  <c r="C15" i="6" s="1"/>
  <c r="E20" i="6"/>
  <c r="D20" i="6"/>
  <c r="C20" i="6"/>
  <c r="E19" i="6"/>
  <c r="D19" i="6"/>
  <c r="C19" i="6"/>
  <c r="E18" i="6"/>
  <c r="D18" i="6"/>
  <c r="C18" i="6"/>
  <c r="E17" i="6"/>
  <c r="D17" i="6"/>
  <c r="C17" i="6"/>
  <c r="C8" i="6"/>
  <c r="C7" i="6"/>
  <c r="C6" i="6"/>
  <c r="C5" i="6"/>
  <c r="C4" i="6"/>
  <c r="K39" i="2"/>
  <c r="K38" i="2"/>
  <c r="K37" i="2"/>
  <c r="K36" i="2"/>
  <c r="D73" i="2"/>
  <c r="E50" i="2"/>
  <c r="D34" i="2"/>
  <c r="C10" i="6" s="1"/>
  <c r="D31" i="2"/>
  <c r="D35" i="2" s="1"/>
  <c r="C11" i="6" s="1"/>
  <c r="C45" i="2"/>
  <c r="C51" i="2" s="1"/>
  <c r="E40" i="2"/>
  <c r="F27" i="2"/>
  <c r="D15" i="2"/>
  <c r="D14" i="2"/>
  <c r="Q35" i="2"/>
  <c r="Q34" i="2"/>
  <c r="Q33" i="2"/>
  <c r="Q32" i="2"/>
  <c r="D45" i="2"/>
  <c r="D55" i="2"/>
  <c r="E12" i="7"/>
  <c r="E7" i="7"/>
  <c r="E22" i="7"/>
  <c r="E17" i="7"/>
  <c r="B39" i="2"/>
  <c r="B38" i="2"/>
  <c r="B37" i="2"/>
  <c r="B36" i="2"/>
  <c r="J50" i="2"/>
  <c r="H50" i="2"/>
  <c r="F50" i="2"/>
  <c r="D40" i="2"/>
  <c r="F40" i="2" l="1"/>
  <c r="G40" i="2"/>
  <c r="C29" i="6"/>
  <c r="C30" i="6" s="1"/>
  <c r="C25" i="6" s="1"/>
  <c r="D75" i="2"/>
  <c r="D76" i="2" s="1"/>
  <c r="D41" i="2"/>
  <c r="C12" i="6"/>
  <c r="C16" i="6"/>
  <c r="D61" i="2"/>
  <c r="D51" i="2"/>
  <c r="E16" i="2"/>
  <c r="D15" i="6" s="1"/>
  <c r="E15" i="2"/>
  <c r="E23" i="2" s="1"/>
  <c r="E26" i="2" s="1"/>
  <c r="E14" i="2"/>
  <c r="G27" i="2"/>
  <c r="H27" i="2" s="1"/>
  <c r="I27" i="2" s="1"/>
  <c r="J27" i="2" s="1"/>
  <c r="F22" i="2"/>
  <c r="I50" i="2"/>
  <c r="G50" i="2"/>
  <c r="P36" i="2"/>
  <c r="H40" i="2" l="1"/>
  <c r="C13" i="6"/>
  <c r="F16" i="2"/>
  <c r="F15" i="2"/>
  <c r="F14" i="2"/>
  <c r="G14" i="2" s="1"/>
  <c r="H14" i="2" s="1"/>
  <c r="I14" i="2" s="1"/>
  <c r="J14" i="2" s="1"/>
  <c r="D54" i="2"/>
  <c r="C22" i="6"/>
  <c r="C23" i="6"/>
  <c r="G22" i="2"/>
  <c r="D16" i="6"/>
  <c r="G16" i="2" l="1"/>
  <c r="H16" i="2" s="1"/>
  <c r="I16" i="2" s="1"/>
  <c r="J16" i="2" s="1"/>
  <c r="E15" i="6"/>
  <c r="G15" i="2"/>
  <c r="H15" i="2" s="1"/>
  <c r="I15" i="2" s="1"/>
  <c r="J15" i="2" s="1"/>
  <c r="F23" i="2"/>
  <c r="E28" i="2"/>
  <c r="I40" i="2"/>
  <c r="H22" i="2"/>
  <c r="G23" i="2" l="1"/>
  <c r="F26" i="2"/>
  <c r="F28" i="2" s="1"/>
  <c r="J40" i="2"/>
  <c r="K40" i="2" s="1"/>
  <c r="E29" i="2"/>
  <c r="I22" i="2"/>
  <c r="G26" i="2" l="1"/>
  <c r="G28" i="2" s="1"/>
  <c r="D6" i="6" s="1"/>
  <c r="H23" i="2"/>
  <c r="E16" i="6"/>
  <c r="E31" i="2"/>
  <c r="E33" i="2"/>
  <c r="E34" i="2"/>
  <c r="F29" i="2"/>
  <c r="J22" i="2"/>
  <c r="I23" i="2" l="1"/>
  <c r="H26" i="2"/>
  <c r="H28" i="2" s="1"/>
  <c r="E65" i="2"/>
  <c r="E68" i="2"/>
  <c r="E75" i="2"/>
  <c r="G29" i="2"/>
  <c r="D8" i="6" s="1"/>
  <c r="E35" i="2"/>
  <c r="E41" i="2" s="1"/>
  <c r="F31" i="2"/>
  <c r="F33" i="2"/>
  <c r="F34" i="2"/>
  <c r="I26" i="2" l="1"/>
  <c r="I28" i="2" s="1"/>
  <c r="J23" i="2"/>
  <c r="J26" i="2" s="1"/>
  <c r="E45" i="2"/>
  <c r="F65" i="2"/>
  <c r="F56" i="2" s="1"/>
  <c r="F68" i="2"/>
  <c r="E56" i="2"/>
  <c r="E73" i="2"/>
  <c r="F75" i="2"/>
  <c r="F76" i="2" s="1"/>
  <c r="F54" i="2" s="1"/>
  <c r="G31" i="2"/>
  <c r="G33" i="2"/>
  <c r="G34" i="2"/>
  <c r="D10" i="6" s="1"/>
  <c r="E58" i="2"/>
  <c r="E76" i="2"/>
  <c r="E48" i="2"/>
  <c r="F35" i="2"/>
  <c r="F41" i="2" s="1"/>
  <c r="H29" i="2"/>
  <c r="F46" i="2" l="1"/>
  <c r="F45" i="2"/>
  <c r="G65" i="2"/>
  <c r="G56" i="2" s="1"/>
  <c r="G68" i="2"/>
  <c r="F73" i="2"/>
  <c r="F55" i="2"/>
  <c r="F59" i="2" s="1"/>
  <c r="F44" i="2"/>
  <c r="F61" i="2"/>
  <c r="G35" i="2"/>
  <c r="E44" i="2"/>
  <c r="E51" i="2" s="1"/>
  <c r="E54" i="2"/>
  <c r="E61" i="2" s="1"/>
  <c r="E57" i="2" s="1"/>
  <c r="F58" i="2"/>
  <c r="J28" i="2"/>
  <c r="I29" i="2"/>
  <c r="I34" i="2" s="1"/>
  <c r="H31" i="2"/>
  <c r="H33" i="2"/>
  <c r="H34" i="2"/>
  <c r="F48" i="2"/>
  <c r="D7" i="6"/>
  <c r="G41" i="2" l="1"/>
  <c r="D11" i="6"/>
  <c r="J29" i="2"/>
  <c r="E6" i="6"/>
  <c r="F51" i="2"/>
  <c r="F49" i="2" s="1"/>
  <c r="G46" i="2"/>
  <c r="G45" i="2"/>
  <c r="G73" i="2"/>
  <c r="H65" i="2"/>
  <c r="H56" i="2" s="1"/>
  <c r="H68" i="2"/>
  <c r="I65" i="2"/>
  <c r="I46" i="2" s="1"/>
  <c r="I68" i="2"/>
  <c r="I31" i="2"/>
  <c r="I33" i="2"/>
  <c r="H35" i="2"/>
  <c r="H41" i="2" s="1"/>
  <c r="F57" i="2"/>
  <c r="E47" i="2"/>
  <c r="E49" i="2"/>
  <c r="H75" i="2"/>
  <c r="D29" i="6"/>
  <c r="D30" i="6" s="1"/>
  <c r="D25" i="6" s="1"/>
  <c r="G75" i="2"/>
  <c r="G48" i="2"/>
  <c r="G58" i="2"/>
  <c r="J31" i="2" l="1"/>
  <c r="J33" i="2"/>
  <c r="E8" i="6"/>
  <c r="J34" i="2"/>
  <c r="F47" i="2"/>
  <c r="I56" i="2"/>
  <c r="H46" i="2"/>
  <c r="H73" i="2"/>
  <c r="H45" i="2"/>
  <c r="I73" i="2"/>
  <c r="I45" i="2"/>
  <c r="I35" i="2"/>
  <c r="I41" i="2" s="1"/>
  <c r="H76" i="2"/>
  <c r="H58" i="2"/>
  <c r="H48" i="2"/>
  <c r="I75" i="2"/>
  <c r="G76" i="2"/>
  <c r="E55" i="2"/>
  <c r="E46" i="2"/>
  <c r="J35" i="2" l="1"/>
  <c r="E10" i="6"/>
  <c r="J65" i="2"/>
  <c r="J68" i="2"/>
  <c r="H44" i="2"/>
  <c r="H51" i="2" s="1"/>
  <c r="H54" i="2"/>
  <c r="I58" i="2"/>
  <c r="I48" i="2"/>
  <c r="I76" i="2"/>
  <c r="G54" i="2"/>
  <c r="G44" i="2"/>
  <c r="G51" i="2" s="1"/>
  <c r="D4" i="6" s="1"/>
  <c r="E59" i="2"/>
  <c r="J41" i="2" l="1"/>
  <c r="E11" i="6"/>
  <c r="J46" i="2"/>
  <c r="J45" i="2"/>
  <c r="J56" i="2"/>
  <c r="J73" i="2"/>
  <c r="H47" i="2"/>
  <c r="H49" i="2"/>
  <c r="H61" i="2"/>
  <c r="H57" i="2" s="1"/>
  <c r="H55" i="2"/>
  <c r="H59" i="2" s="1"/>
  <c r="J75" i="2"/>
  <c r="J48" i="2"/>
  <c r="J58" i="2"/>
  <c r="E7" i="6"/>
  <c r="G61" i="2"/>
  <c r="D5" i="6" s="1"/>
  <c r="G55" i="2"/>
  <c r="G59" i="2" s="1"/>
  <c r="G47" i="2"/>
  <c r="G49" i="2"/>
  <c r="I44" i="2"/>
  <c r="I51" i="2" s="1"/>
  <c r="I54" i="2"/>
  <c r="J76" i="2" l="1"/>
  <c r="E29" i="6"/>
  <c r="E30" i="6" s="1"/>
  <c r="E25" i="6" s="1"/>
  <c r="G57" i="2"/>
  <c r="D22" i="6"/>
  <c r="D12" i="6"/>
  <c r="I49" i="2"/>
  <c r="I47" i="2"/>
  <c r="I55" i="2"/>
  <c r="I59" i="2" s="1"/>
  <c r="I61" i="2"/>
  <c r="I57" i="2" s="1"/>
  <c r="D13" i="6" l="1"/>
  <c r="D23" i="6"/>
  <c r="J44" i="2"/>
  <c r="J51" i="2" s="1"/>
  <c r="E4" i="6" s="1"/>
  <c r="J54" i="2"/>
  <c r="J49" i="2" l="1"/>
  <c r="J47" i="2"/>
  <c r="J55" i="2"/>
  <c r="J59" i="2" s="1"/>
  <c r="J61" i="2"/>
  <c r="E5" i="6" s="1"/>
  <c r="E22" i="6" l="1"/>
  <c r="E12" i="6"/>
  <c r="J57" i="2"/>
  <c r="E13" i="6" l="1"/>
  <c r="E23" i="6"/>
</calcChain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<sst xmlns="http://schemas.openxmlformats.org/spreadsheetml/2006/main" count="278" uniqueCount="195">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</sst>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s">
        <v>190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s">
        <v>182</v>
      </c>
      <c r="D8" s="33">
        <v>7000</v>
      </c>
      <c r="G8" s="143" t="s">
        <v>67</v>
      </c>
      <c r="H8" s="144">
        <v>24000</v>
      </c>
      <c r="I8" s="145"/>
      <c r="J8" s="145" t="s">
        <v>78</v>
      </c>
      <c r="K8" s="152">
        <v>500</v>
      </c>
      <c r="N8" s="69" t="s">
        <v>126</v>
      </c>
      <c r="O8" s="35" t="s">
        <v>188</v>
      </c>
    </row>
    <row r="9" spans="1:25" ht="19.5" thickBot="1" x14ac:dyDescent="0.45">
      <c r="A9" s="131"/>
      <c r="B9" s="19" t="s">
        <v>9</v>
      </c>
      <c r="C9" s="38" t="s">
        <v>173</v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1</v>
      </c>
    </row>
    <row r="10" spans="1:25" x14ac:dyDescent="0.4">
      <c r="A10" s="130" t="s">
        <v>10</v>
      </c>
      <c r="B10" s="19" t="s">
        <v>11</v>
      </c>
      <c r="C10" s="19" t="s">
        <v>183</v>
      </c>
      <c r="D10" s="33">
        <v>7000</v>
      </c>
      <c r="G10" s="146" t="s">
        <v>144</v>
      </c>
      <c r="H10" s="147">
        <v>100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s">
        <v>173</v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  <v>24000</v>
      </c>
      <c r="E14" s="43">
        <f>+D14</f>
        <v>24000</v>
      </c>
      <c r="F14" s="43">
        <f t="shared" ref="F14:J14" si="0">+E14</f>
        <v>24000</v>
      </c>
      <c r="G14" s="43">
        <f t="shared" si="0"/>
        <v>24000</v>
      </c>
      <c r="H14" s="43">
        <f t="shared" si="0"/>
        <v>24000</v>
      </c>
      <c r="I14" s="43">
        <f t="shared" si="0"/>
        <v>24000</v>
      </c>
      <c r="J14" s="43">
        <f t="shared" si="0"/>
        <v>24000</v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  <v>100</v>
      </c>
      <c r="E16" s="43">
        <f t="shared" si="2"/>
        <v>100</v>
      </c>
      <c r="F16" s="43">
        <f t="shared" si="2"/>
        <v>100</v>
      </c>
      <c r="G16" s="43">
        <f t="shared" si="2"/>
        <v>100</v>
      </c>
      <c r="H16" s="43">
        <f t="shared" si="2"/>
        <v>100</v>
      </c>
      <c r="I16" s="43">
        <f t="shared" si="2"/>
        <v>100</v>
      </c>
      <c r="J16" s="43">
        <f t="shared" si="2"/>
        <v>100</v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  <v>37500000</v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f>IF(E17=FALSE,0,IF(E65=0,0,IFERROR(E65/P30,"D63を記入してください")))</f>
        <v>0</v>
      </c>
      <c r="F22" s="63">
        <f>E22*1.01</f>
        <v>0</v>
      </c>
      <c r="G22" s="63">
        <f t="shared" ref="G22:J22" si="3">F22*1.01</f>
        <v>0</v>
      </c>
      <c r="H22" s="63">
        <f t="shared" si="3"/>
        <v>0</v>
      </c>
      <c r="I22" s="63">
        <f t="shared" si="3"/>
        <v>0</v>
      </c>
      <c r="J22" s="63">
        <f t="shared" si="3"/>
        <v>0</v>
      </c>
      <c r="K22" s="11"/>
      <c r="L22" s="7"/>
      <c r="N22" s="69" t="s">
        <v>138</v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  <v>190.08</v>
      </c>
      <c r="F23" s="46">
        <f>IF(F18=FALSE,0,F15*$P$18*0.08*0.08+(F14-F15)*$P$19*0.12*0.12)</f>
        <v>190.08</v>
      </c>
      <c r="G23" s="63">
        <f t="shared" ref="G23:J24" si="4">F23*1.01</f>
        <v>191.98080000000002</v>
      </c>
      <c r="H23" s="63">
        <f t="shared" si="4"/>
        <v>193.90060800000001</v>
      </c>
      <c r="I23" s="63">
        <f t="shared" si="4"/>
        <v>195.83961408000002</v>
      </c>
      <c r="J23" s="63">
        <f t="shared" si="4"/>
        <v>197.79801022080002</v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  <v>0</v>
      </c>
      <c r="F24" s="63">
        <f>E24*1.01</f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  <v>316.08000000000004</v>
      </c>
      <c r="F26" s="46">
        <f t="shared" ref="F26:J26" si="6">+SUM(F22:F25)+$H$9*$P$16+($H$8-$H$9)*$P$15</f>
        <v>310.08000000000004</v>
      </c>
      <c r="G26" s="46">
        <f>+SUM(G22:G25)+$H$9*$P$16+($H$8-$H$9)*$P$15</f>
        <v>311.98080000000004</v>
      </c>
      <c r="H26" s="46">
        <f t="shared" si="6"/>
        <v>313.90060800000003</v>
      </c>
      <c r="I26" s="46">
        <f t="shared" si="6"/>
        <v>315.83961408000005</v>
      </c>
      <c r="J26" s="46">
        <f t="shared" si="6"/>
        <v>317.79801022080005</v>
      </c>
      <c r="K26" s="11"/>
      <c r="L26" s="7"/>
      <c r="N26" s="72" t="s">
        <v>143</v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0.316</v>
      </c>
      <c r="F27" s="47">
        <f>+E27*1.025</f>
        <v>0.32389999999999997</v>
      </c>
      <c r="G27" s="47">
        <f t="shared" ref="G27:J27" si="7">+F27*1.025</f>
        <v>0.33199749999999995</v>
      </c>
      <c r="H27" s="47">
        <f t="shared" si="7"/>
        <v>0.34029743749999991</v>
      </c>
      <c r="I27" s="47">
        <f t="shared" si="7"/>
        <v>0.34880487343749988</v>
      </c>
      <c r="J27" s="47">
        <f t="shared" si="7"/>
        <v>0.35752499527343734</v>
      </c>
      <c r="K27" s="11"/>
      <c r="L27" s="7"/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0</v>
      </c>
      <c r="E28" s="49">
        <f>+D28+E26</f>
        <v>316.08000000000004</v>
      </c>
      <c r="F28" s="49">
        <f t="shared" ref="F28:J28" si="8">+E28+F26</f>
        <v>626.16000000000008</v>
      </c>
      <c r="G28" s="49">
        <f t="shared" si="8"/>
        <v>938.14080000000013</v>
      </c>
      <c r="H28" s="49">
        <f t="shared" si="8"/>
        <v>1252.041408</v>
      </c>
      <c r="I28" s="49">
        <f t="shared" si="8"/>
        <v>1567.8810220800001</v>
      </c>
      <c r="J28" s="49">
        <f t="shared" si="8"/>
        <v>1885.6790323008001</v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v>0</v>
      </c>
      <c r="E29" s="50">
        <f>+E28*(1-E27)</f>
        <v>216.19872000000001</v>
      </c>
      <c r="F29" s="50">
        <f t="shared" ref="F29:J29" si="9">+F28*(1-F27)</f>
        <v>423.34677600000009</v>
      </c>
      <c r="G29" s="50">
        <f t="shared" si="9"/>
        <v>626.68039975200008</v>
      </c>
      <c r="H29" s="50">
        <f t="shared" si="9"/>
        <v>825.97492521370816</v>
      </c>
      <c r="I29" s="50">
        <f t="shared" si="9"/>
        <v>1020.9964806083277</v>
      </c>
      <c r="J29" s="50">
        <f t="shared" si="9"/>
        <v>1211.5016451902366</v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158</v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  <v>0</v>
      </c>
      <c r="E31" s="63">
        <f>+E29*E30*$P$24*$P$22*$P$23*$P$36</f>
        <v>59.25564140221443</v>
      </c>
      <c r="F31" s="63">
        <f>+F29*F30*$P$24*$P$22*$P$23*$P$36</f>
        <v>116.0306811596276</v>
      </c>
      <c r="G31" s="63">
        <f>+G29*G30*$P$24*$P$22*$P$23*$P$36</f>
        <v>171.76026315743641</v>
      </c>
      <c r="H31" s="63">
        <f>+H29*H30*$P$24*$P$22*$P$23*$P$36*$Q$24</f>
        <v>181.10624882768732</v>
      </c>
      <c r="I31" s="63">
        <f>+I29*I30*$P$24*$P$22*$P$23*$P$36*$Q$24</f>
        <v>223.86738026145596</v>
      </c>
      <c r="J31" s="63">
        <f>+J29*J30*$P$24*$P$22*$P$23*$P$36*$Q$24</f>
        <v>265.63823151436048</v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  <v>55.077358995648027</v>
      </c>
      <c r="F33" s="63">
        <f t="shared" ref="F33:G33" si="10">+F29*F32*$P$26*$P$27*$P$28*$P$36</f>
        <v>107.84903056503848</v>
      </c>
      <c r="G33" s="63">
        <f t="shared" si="10"/>
        <v>159.64896255018124</v>
      </c>
      <c r="H33" s="63">
        <f>+H29*H32*$P$26*$P$27*$P$28*$P$36*$Q$28</f>
        <v>168.3359364103504</v>
      </c>
      <c r="I33" s="63">
        <f t="shared" ref="I33:J33" si="11">+I29*I32*$P$26*$P$27*$P$28*$P$36*$Q$28</f>
        <v>208.08185985840453</v>
      </c>
      <c r="J33" s="63">
        <f t="shared" si="11"/>
        <v>246.90733057424524</v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  <v>1.1000000000000001</v>
      </c>
    </row>
    <row r="34" spans="1:17" ht="19.5" x14ac:dyDescent="0.4">
      <c r="A34" s="126" t="s">
        <v>27</v>
      </c>
      <c r="B34" s="127"/>
      <c r="C34" s="102"/>
      <c r="D34" s="108">
        <f>+D29*D30</f>
        <v>0</v>
      </c>
      <c r="E34" s="46">
        <f>+E29*E30*$P$24+E29*E32*$P$28</f>
        <v>951.27436800000009</v>
      </c>
      <c r="F34" s="46">
        <f>+F29*F30*$P$24+F29*F32*$P$28</f>
        <v>1862.7258144000007</v>
      </c>
      <c r="G34" s="46">
        <f>+G29*G30*$P$24+G29*G32*$P$28</f>
        <v>2757.3937589088005</v>
      </c>
      <c r="H34" s="46">
        <f>+H29*H30*$P$24*$Q$24+H29*H32*$P$28*$Q$28</f>
        <v>2907.4317367522535</v>
      </c>
      <c r="I34" s="46">
        <f>+I29*I30*$P$24*$Q$24+I29*I32*$P$28*$Q$28</f>
        <v>3593.9076117413142</v>
      </c>
      <c r="J34" s="46">
        <f>+J29*J30*$P$24*$Q$24+J29*J32*$P$28*$Q$28</f>
        <v>4264.4857910696337</v>
      </c>
      <c r="K34" s="11"/>
      <c r="L34" s="7"/>
      <c r="O34" s="17" t="s">
        <v>161</v>
      </c>
      <c r="P34" s="75" t="b">
        <v>1</v>
      </c>
      <c r="Q34" s="73">
        <f t="shared" si="12"/>
        <v>1.1000000000000001</v>
      </c>
    </row>
    <row r="35" spans="1:17" ht="19.5" x14ac:dyDescent="0.4">
      <c r="A35" s="126" t="s">
        <v>26</v>
      </c>
      <c r="B35" s="127"/>
      <c r="C35" s="102"/>
      <c r="D35" s="109">
        <f>+D31*1.02</f>
        <v>0</v>
      </c>
      <c r="E35" s="50">
        <f>+E31+E33+1.05*(E31+E33)</f>
        <v>234.38265081561804</v>
      </c>
      <c r="F35" s="50">
        <f t="shared" ref="F35:J35" si="13">+F31+F33+1.05*(F31+F33)</f>
        <v>458.95340903556553</v>
      </c>
      <c r="G35" s="50">
        <f t="shared" si="13"/>
        <v>679.38891270061617</v>
      </c>
      <c r="H35" s="50">
        <f t="shared" si="13"/>
        <v>716.35647973797734</v>
      </c>
      <c r="I35" s="50">
        <f t="shared" si="13"/>
        <v>885.4959422457141</v>
      </c>
      <c r="J35" s="50">
        <f t="shared" si="13"/>
        <v>1050.7184022816418</v>
      </c>
      <c r="K35" s="11"/>
      <c r="L35" s="7"/>
      <c r="O35" s="17" t="s">
        <v>162</v>
      </c>
      <c r="P35" s="75" t="b">
        <v>1</v>
      </c>
      <c r="Q35" s="73">
        <f t="shared" si="12"/>
        <v>1.1000000000000001</v>
      </c>
    </row>
    <row r="36" spans="1:17" x14ac:dyDescent="0.4">
      <c r="A36" s="128" t="s">
        <v>7</v>
      </c>
      <c r="B36" s="6" t="str">
        <f>+C8</f>
        <v>購入（新規）</v>
      </c>
      <c r="C36" s="6"/>
      <c r="D36" s="11">
        <v>0</v>
      </c>
      <c r="E36" s="111">
        <v>7</v>
      </c>
      <c r="F36" s="111">
        <v>11</v>
      </c>
      <c r="G36" s="111">
        <v>16</v>
      </c>
      <c r="H36" s="111">
        <v>20</v>
      </c>
      <c r="I36" s="111">
        <v>25</v>
      </c>
      <c r="J36" s="111">
        <v>32</v>
      </c>
      <c r="K36" s="115">
        <f>SUM(E36:J36)</f>
        <v>111</v>
      </c>
      <c r="L36" s="7"/>
      <c r="N36" s="69" t="s">
        <v>134</v>
      </c>
      <c r="O36" s="17" t="s">
        <v>147</v>
      </c>
      <c r="P36" s="74">
        <f>1*(Q32*Q33*Q34*Q35)</f>
        <v>1.4641000000000006</v>
      </c>
      <c r="Q36" s="73"/>
    </row>
    <row r="37" spans="1:17" x14ac:dyDescent="0.4">
      <c r="A37" s="129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134</v>
      </c>
    </row>
    <row r="38" spans="1:17" x14ac:dyDescent="0.4">
      <c r="A38" s="128" t="s">
        <v>10</v>
      </c>
      <c r="B38" s="6" t="str">
        <f>+C10</f>
        <v>購入（リピート）</v>
      </c>
      <c r="C38" s="6"/>
      <c r="D38" s="11">
        <v>0</v>
      </c>
      <c r="E38" s="111">
        <v>3</v>
      </c>
      <c r="F38" s="111">
        <v>8</v>
      </c>
      <c r="G38" s="111">
        <v>13</v>
      </c>
      <c r="H38" s="111">
        <v>16</v>
      </c>
      <c r="I38" s="111">
        <v>19</v>
      </c>
      <c r="J38" s="111">
        <v>26</v>
      </c>
      <c r="K38" s="115">
        <f>SUM(E38:J38)</f>
        <v>85</v>
      </c>
      <c r="L38" s="7"/>
      <c r="N38" s="69" t="s">
        <v>135</v>
      </c>
      <c r="O38" s="21" t="s">
        <v>38</v>
      </c>
    </row>
    <row r="39" spans="1:17" x14ac:dyDescent="0.4">
      <c r="A39" s="129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  <v>0</v>
      </c>
      <c r="E40" s="10">
        <f t="shared" si="14"/>
        <v>10</v>
      </c>
      <c r="F40" s="10">
        <f t="shared" si="14"/>
        <v>19</v>
      </c>
      <c r="G40" s="10">
        <f t="shared" si="14"/>
        <v>29</v>
      </c>
      <c r="H40" s="10">
        <f t="shared" si="14"/>
        <v>36</v>
      </c>
      <c r="I40" s="10">
        <f t="shared" si="14"/>
        <v>44</v>
      </c>
      <c r="J40" s="10">
        <f t="shared" si="14"/>
        <v>58</v>
      </c>
      <c r="K40" s="115">
        <f>SUM(E40:J40)</f>
        <v>196</v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  <v>0</v>
      </c>
      <c r="E41" s="18">
        <f>+IFERROR(E40/E35,0)</f>
        <v>4.2665273923651915E-2</v>
      </c>
      <c r="F41" s="18">
        <f t="shared" ref="F41:J41" si="16">+IFERROR(F40/F35,0)</f>
        <v>4.1398537685832154E-2</v>
      </c>
      <c r="G41" s="18">
        <f t="shared" si="16"/>
        <v>4.2685418407437753E-2</v>
      </c>
      <c r="H41" s="18">
        <f t="shared" si="16"/>
        <v>5.0254309157875932E-2</v>
      </c>
      <c r="I41" s="18">
        <f t="shared" si="16"/>
        <v>4.9689668693919942E-2</v>
      </c>
      <c r="J41" s="18">
        <f t="shared" si="16"/>
        <v>5.5200327579732707E-2</v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  <v>0</v>
      </c>
      <c r="F44" s="31">
        <f t="shared" ref="F44:J44" si="17">+F75*F76</f>
        <v>0</v>
      </c>
      <c r="G44" s="31">
        <f t="shared" si="17"/>
        <v>0</v>
      </c>
      <c r="H44" s="31">
        <f t="shared" si="17"/>
        <v>0</v>
      </c>
      <c r="I44" s="31">
        <f t="shared" si="17"/>
        <v>0</v>
      </c>
      <c r="J44" s="31">
        <f t="shared" si="17"/>
        <v>0</v>
      </c>
      <c r="K44" s="11"/>
      <c r="L44" s="7"/>
    </row>
    <row r="45" spans="1:17" x14ac:dyDescent="0.4">
      <c r="A45" s="120" t="s">
        <v>156</v>
      </c>
      <c r="B45" s="121"/>
      <c r="C45" s="104">
        <f>+SUM(C65:C72)</f>
        <v>0</v>
      </c>
      <c r="D45" s="80">
        <f>+SUM(D65:D72)</f>
        <v>245000</v>
      </c>
      <c r="E45" s="27">
        <f>SUM(E65:E69)+SUM(E71:E72)</f>
        <v>35000</v>
      </c>
      <c r="F45" s="27">
        <f t="shared" ref="F45:J45" si="18">SUM(F65:F69)+SUM(F71:F72)</f>
        <v>35000</v>
      </c>
      <c r="G45" s="27">
        <f t="shared" si="18"/>
        <v>35000</v>
      </c>
      <c r="H45" s="27">
        <f t="shared" si="18"/>
        <v>35000</v>
      </c>
      <c r="I45" s="27">
        <f t="shared" si="18"/>
        <v>35000</v>
      </c>
      <c r="J45" s="27">
        <f t="shared" si="18"/>
        <v>35000</v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 t="shared" ref="E46:J46" si="19">+SUM(E65:E67)/(E28-D28)</f>
        <v>94.912680334092627</v>
      </c>
      <c r="F46" s="28">
        <f t="shared" si="19"/>
        <v>96.749226006191932</v>
      </c>
      <c r="G46" s="28">
        <f t="shared" si="19"/>
        <v>96.159763677764772</v>
      </c>
      <c r="H46" s="28">
        <f t="shared" si="19"/>
        <v>95.571653050127281</v>
      </c>
      <c r="I46" s="28">
        <f t="shared" si="19"/>
        <v>94.984918492210426</v>
      </c>
      <c r="J46" s="28">
        <f t="shared" si="19"/>
        <v>94.399584123124512</v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  <v>447.98537619834508</v>
      </c>
      <c r="F47" s="28">
        <f t="shared" si="20"/>
        <v>366.05022795893694</v>
      </c>
      <c r="G47" s="28">
        <f t="shared" si="20"/>
        <v>350.3148131369029</v>
      </c>
      <c r="H47" s="28">
        <f t="shared" si="20"/>
        <v>400.63852023084422</v>
      </c>
      <c r="I47" s="28">
        <f t="shared" si="20"/>
        <v>387.35355368214863</v>
      </c>
      <c r="J47" s="28">
        <f>+J51/J35</f>
        <v>419.71283556314006</v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  <v>4.2665273923651915E-2</v>
      </c>
      <c r="F48" s="32">
        <f t="shared" si="21"/>
        <v>4.1398537685832154E-2</v>
      </c>
      <c r="G48" s="32">
        <f t="shared" si="21"/>
        <v>4.2685418407437753E-2</v>
      </c>
      <c r="H48" s="32">
        <f t="shared" si="21"/>
        <v>5.0254309157875932E-2</v>
      </c>
      <c r="I48" s="32">
        <f t="shared" si="21"/>
        <v>4.9689668693919942E-2</v>
      </c>
      <c r="J48" s="32">
        <f t="shared" si="21"/>
        <v>5.5200327579732707E-2</v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  <v>10500</v>
      </c>
      <c r="F49" s="28">
        <f t="shared" ref="F49:J49" si="22">+IFERROR(F51/SUM(F36:F39),0)</f>
        <v>8842.105263157895</v>
      </c>
      <c r="G49" s="28">
        <f t="shared" si="22"/>
        <v>8206.8965517241377</v>
      </c>
      <c r="H49" s="28">
        <f t="shared" si="22"/>
        <v>7972.2222222222226</v>
      </c>
      <c r="I49" s="28">
        <f t="shared" si="22"/>
        <v>7795.454545454545</v>
      </c>
      <c r="J49" s="28">
        <f t="shared" si="22"/>
        <v>7603.4482758620688</v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  <v>70000</v>
      </c>
      <c r="F50" s="65">
        <f t="shared" ref="F50:J50" si="23">+F36*$D$8+F38*$D$10</f>
        <v>133000</v>
      </c>
      <c r="G50" s="65">
        <f t="shared" si="23"/>
        <v>203000</v>
      </c>
      <c r="H50" s="65">
        <f t="shared" si="23"/>
        <v>252000</v>
      </c>
      <c r="I50" s="65">
        <f t="shared" si="23"/>
        <v>308000</v>
      </c>
      <c r="J50" s="65">
        <f t="shared" si="23"/>
        <v>406000</v>
      </c>
      <c r="K50" s="11"/>
      <c r="L50" s="7"/>
    </row>
    <row r="51" spans="1:12" x14ac:dyDescent="0.4">
      <c r="A51" s="118" t="s">
        <v>71</v>
      </c>
      <c r="B51" s="119"/>
      <c r="C51" s="110">
        <f>+C45</f>
        <v>0</v>
      </c>
      <c r="D51" s="40">
        <f>+D45</f>
        <v>245000</v>
      </c>
      <c r="E51" s="40">
        <f>SUM(E45,E50)+E44</f>
        <v>105000</v>
      </c>
      <c r="F51" s="40">
        <f t="shared" ref="F51:I51" si="24">SUM(F45,F50)+F44</f>
        <v>168000</v>
      </c>
      <c r="G51" s="40">
        <f t="shared" si="24"/>
        <v>238000</v>
      </c>
      <c r="H51" s="40">
        <f t="shared" si="24"/>
        <v>287000</v>
      </c>
      <c r="I51" s="40">
        <f t="shared" si="24"/>
        <v>343000</v>
      </c>
      <c r="J51" s="40">
        <f>SUM(J45,J50)+J44</f>
        <v>441000</v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  <v>0</v>
      </c>
      <c r="E54" s="28">
        <f t="shared" ref="E54:J54" si="25">+E75*E76</f>
        <v>0</v>
      </c>
      <c r="F54" s="28">
        <f t="shared" si="25"/>
        <v>0</v>
      </c>
      <c r="G54" s="28">
        <f t="shared" si="25"/>
        <v>0</v>
      </c>
      <c r="H54" s="28">
        <f t="shared" si="25"/>
        <v>0</v>
      </c>
      <c r="I54" s="28">
        <f t="shared" si="25"/>
        <v>0</v>
      </c>
      <c r="J54" s="28">
        <f t="shared" si="25"/>
        <v>0</v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  <v>245000</v>
      </c>
      <c r="E55" s="27">
        <f>SUM(E65:E72)+E54</f>
        <v>35000</v>
      </c>
      <c r="F55" s="27">
        <f t="shared" ref="F55:J55" si="26">SUM(F65:F72)+F54</f>
        <v>35000</v>
      </c>
      <c r="G55" s="27">
        <f t="shared" si="26"/>
        <v>35000</v>
      </c>
      <c r="H55" s="27">
        <f t="shared" si="26"/>
        <v>35000</v>
      </c>
      <c r="I55" s="27">
        <f t="shared" si="26"/>
        <v>35000</v>
      </c>
      <c r="J55" s="27">
        <f t="shared" si="26"/>
        <v>35000</v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+SUM(E65:E67)/(E28-D28)</f>
        <v>94.912680334092627</v>
      </c>
      <c r="F56" s="28">
        <f t="shared" ref="F56:J56" si="27">+SUM(F65:F67)/(F28-E28)</f>
        <v>96.749226006191932</v>
      </c>
      <c r="G56" s="28">
        <f t="shared" si="27"/>
        <v>96.159763677764772</v>
      </c>
      <c r="H56" s="28">
        <f t="shared" si="27"/>
        <v>95.571653050127281</v>
      </c>
      <c r="I56" s="28">
        <f t="shared" si="27"/>
        <v>94.984918492210426</v>
      </c>
      <c r="J56" s="28">
        <f t="shared" si="27"/>
        <v>94.399584123124512</v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  <v>149.32845873278168</v>
      </c>
      <c r="F57" s="28">
        <f t="shared" ref="F57:J57" si="28">+F61/F35</f>
        <v>76.260464158111873</v>
      </c>
      <c r="G57" s="28">
        <f t="shared" si="28"/>
        <v>51.51688428483866</v>
      </c>
      <c r="H57" s="28">
        <f t="shared" si="28"/>
        <v>48.85835612571271</v>
      </c>
      <c r="I57" s="28">
        <f t="shared" si="28"/>
        <v>39.52587282470904</v>
      </c>
      <c r="J57" s="28">
        <f t="shared" si="28"/>
        <v>33.310542505011114</v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  <v>4.2665273923651915E-2</v>
      </c>
      <c r="F58" s="32">
        <f t="shared" si="29"/>
        <v>4.1398537685832154E-2</v>
      </c>
      <c r="G58" s="32">
        <f t="shared" si="29"/>
        <v>4.2685418407437753E-2</v>
      </c>
      <c r="H58" s="32">
        <f t="shared" si="29"/>
        <v>5.0254309157875932E-2</v>
      </c>
      <c r="I58" s="32">
        <f t="shared" si="29"/>
        <v>4.9689668693919942E-2</v>
      </c>
      <c r="J58" s="32">
        <f t="shared" si="29"/>
        <v>5.5200327579732707E-2</v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  <v>3500</v>
      </c>
      <c r="F59" s="28">
        <f t="shared" ref="F59:J59" si="30">+IFERROR(F55/F40,0)</f>
        <v>1842.1052631578948</v>
      </c>
      <c r="G59" s="28">
        <f t="shared" si="30"/>
        <v>1206.8965517241379</v>
      </c>
      <c r="H59" s="28">
        <f t="shared" si="30"/>
        <v>972.22222222222217</v>
      </c>
      <c r="I59" s="28">
        <f t="shared" si="30"/>
        <v>795.4545454545455</v>
      </c>
      <c r="J59" s="28">
        <f t="shared" si="30"/>
        <v>603.44827586206895</v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  <v>245000</v>
      </c>
      <c r="E61" s="40">
        <f>+SUM(E65:E72)+E54</f>
        <v>35000</v>
      </c>
      <c r="F61" s="40">
        <f t="shared" ref="F61:J61" si="31">+SUM(F65:F72)+F54</f>
        <v>35000</v>
      </c>
      <c r="G61" s="40">
        <f t="shared" si="31"/>
        <v>35000</v>
      </c>
      <c r="H61" s="40">
        <f t="shared" si="31"/>
        <v>35000</v>
      </c>
      <c r="I61" s="40">
        <f t="shared" si="31"/>
        <v>35000</v>
      </c>
      <c r="J61" s="40">
        <f t="shared" si="31"/>
        <v>35000</v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f t="shared" ref="E65:J65" si="32">MAX(0,15000+(E34-30000)*2.75)</f>
        <v>0</v>
      </c>
      <c r="F65" s="28">
        <f t="shared" si="32"/>
        <v>0</v>
      </c>
      <c r="G65" s="28">
        <f t="shared" si="32"/>
        <v>0</v>
      </c>
      <c r="H65" s="28">
        <f t="shared" si="32"/>
        <v>0</v>
      </c>
      <c r="I65" s="28">
        <f t="shared" si="32"/>
        <v>0</v>
      </c>
      <c r="J65" s="28">
        <f t="shared" si="32"/>
        <v>0</v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149</v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  <v>5000</v>
      </c>
      <c r="F68" s="28">
        <f t="shared" si="33"/>
        <v>5000</v>
      </c>
      <c r="G68" s="28">
        <f t="shared" si="33"/>
        <v>5000</v>
      </c>
      <c r="H68" s="28">
        <f t="shared" si="33"/>
        <v>5000</v>
      </c>
      <c r="I68" s="28">
        <f t="shared" si="33"/>
        <v>5000</v>
      </c>
      <c r="J68" s="28">
        <f t="shared" si="33"/>
        <v>5000</v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s">
        <v>184</v>
      </c>
      <c r="C69" s="90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9" t="s">
        <v>152</v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  <v>245000</v>
      </c>
      <c r="E73" s="114">
        <f t="shared" ref="E73" si="34">SUM(E65:E72)</f>
        <v>35000</v>
      </c>
      <c r="F73" s="114">
        <f t="shared" ref="F73" si="35">SUM(F65:F72)</f>
        <v>35000</v>
      </c>
      <c r="G73" s="114">
        <f t="shared" ref="G73" si="36">SUM(G65:G72)</f>
        <v>35000</v>
      </c>
      <c r="H73" s="114">
        <f t="shared" ref="H73" si="37">SUM(H65:H72)</f>
        <v>35000</v>
      </c>
      <c r="I73" s="114">
        <f t="shared" ref="I73" si="38">SUM(I65:I72)</f>
        <v>35000</v>
      </c>
      <c r="J73" s="114">
        <f t="shared" ref="J73" si="39">SUM(J65:J72)</f>
        <v>35000</v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  <v>0</v>
      </c>
      <c r="E75" s="41">
        <f t="shared" si="40"/>
        <v>0</v>
      </c>
      <c r="F75" s="41">
        <f t="shared" si="40"/>
        <v>0</v>
      </c>
      <c r="G75" s="41">
        <f t="shared" si="40"/>
        <v>0</v>
      </c>
      <c r="H75" s="41">
        <f t="shared" si="40"/>
        <v>0</v>
      </c>
      <c r="I75" s="41">
        <f t="shared" si="40"/>
        <v>0</v>
      </c>
      <c r="J75" s="41">
        <f t="shared" si="40"/>
        <v>0</v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>3</v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>3</v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>3</v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>3</v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>3</v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 t="str">
        <f>+SIM1_!D24</f>
        <v>--</v>
      </c>
      <c r="D4" s="28">
        <f>+SIM1_!G51</f>
        <v>238000</v>
      </c>
      <c r="E4" s="28">
        <f>+SIM1_!J51</f>
        <v>441000</v>
      </c>
      <c r="F4" s="28"/>
    </row>
    <row r="5" spans="1:25" x14ac:dyDescent="0.4">
      <c r="A5" s="85" t="s">
        <v>167</v>
      </c>
      <c r="B5" s="7"/>
      <c r="C5" s="86" t="str">
        <f>+SIM1_!D25</f>
        <v>--</v>
      </c>
      <c r="D5" s="28">
        <f>+SIM1_!G61</f>
        <v>35000</v>
      </c>
      <c r="E5" s="28">
        <f>+SIM1_!J61</f>
        <v>35000</v>
      </c>
      <c r="F5" s="27"/>
    </row>
    <row r="6" spans="1:25" x14ac:dyDescent="0.4">
      <c r="A6" s="85" t="s">
        <v>83</v>
      </c>
      <c r="B6" s="7"/>
      <c r="C6" s="117">
        <f>+SIM1_!D28</f>
        <v>0</v>
      </c>
      <c r="D6" s="87">
        <f>+SIM1_!G28</f>
        <v>938.14080000000013</v>
      </c>
      <c r="E6" s="87">
        <f>+SIM1_!J28</f>
        <v>1885.6790323008001</v>
      </c>
      <c r="F6" s="10"/>
    </row>
    <row r="7" spans="1:25" x14ac:dyDescent="0.4">
      <c r="A7" s="85" t="s">
        <v>84</v>
      </c>
      <c r="B7" s="7"/>
      <c r="C7" s="88">
        <f>+SIM1_!D27</f>
        <v>0</v>
      </c>
      <c r="D7" s="89">
        <f>+D8/D6</f>
        <v>0.66800250000000005</v>
      </c>
      <c r="E7" s="89">
        <f>+E8/E6</f>
        <v>0.6424750047265626</v>
      </c>
      <c r="F7" s="89"/>
    </row>
    <row r="8" spans="1:25" x14ac:dyDescent="0.4">
      <c r="A8" s="85" t="s">
        <v>85</v>
      </c>
      <c r="B8" s="7"/>
      <c r="C8" s="117">
        <f>+SIM1_!D29</f>
        <v>0</v>
      </c>
      <c r="D8" s="10">
        <f>+SIM1_!G29</f>
        <v>626.68039975200008</v>
      </c>
      <c r="E8" s="10">
        <f>+SIM1_!J29</f>
        <v>1211.5016451902366</v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+SIM1_!D34</f>
        <v>0</v>
      </c>
      <c r="D10" s="10">
        <f>+SIM1_!G34</f>
        <v>2757.3937589088005</v>
      </c>
      <c r="E10" s="10">
        <f>+SIM1_!J34</f>
        <v>4264.4857910696337</v>
      </c>
      <c r="F10" s="10"/>
    </row>
    <row r="11" spans="1:25" x14ac:dyDescent="0.4">
      <c r="A11" s="85" t="s">
        <v>90</v>
      </c>
      <c r="B11" s="7"/>
      <c r="C11" s="117">
        <f>+SIM1_!D35</f>
        <v>0</v>
      </c>
      <c r="D11" s="10">
        <f>+SIM1_!G35</f>
        <v>679.38891270061617</v>
      </c>
      <c r="E11" s="10">
        <f>+SIM1_!J35</f>
        <v>1050.7184022816418</v>
      </c>
      <c r="F11" s="10"/>
    </row>
    <row r="12" spans="1:25" x14ac:dyDescent="0.4">
      <c r="A12" s="85" t="s">
        <v>174</v>
      </c>
      <c r="B12" s="7"/>
      <c r="C12" s="28">
        <f>+IFERROR(C5/C11,0)</f>
        <v>0</v>
      </c>
      <c r="D12" s="28">
        <f>+D4/D11</f>
        <v>350.3148131369029</v>
      </c>
      <c r="E12" s="28">
        <f t="shared" ref="E12" si="0">+E4/E11</f>
        <v>419.71283556314006</v>
      </c>
      <c r="F12" s="28"/>
    </row>
    <row r="13" spans="1:25" x14ac:dyDescent="0.4">
      <c r="A13" s="85" t="s">
        <v>175</v>
      </c>
      <c r="B13" s="7"/>
      <c r="C13" s="28">
        <f>+IFERROR(C6/C12,0)</f>
        <v>0</v>
      </c>
      <c r="D13" s="28">
        <f>+D5/D11</f>
        <v>51.51688428483866</v>
      </c>
      <c r="E13" s="28">
        <f t="shared" ref="E13" si="1">+E5/E11</f>
        <v>33.310542505011114</v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+SIM1_!D16</f>
        <v>100</v>
      </c>
      <c r="D15" s="87">
        <f>+SIM1_!E16</f>
        <v>100</v>
      </c>
      <c r="E15" s="87">
        <f>+SIM1_!F16</f>
        <v>100</v>
      </c>
      <c r="F15" s="87"/>
      <c r="R15" s="5" t="s">
        <v>59</v>
      </c>
    </row>
    <row r="16" spans="1:25" x14ac:dyDescent="0.4">
      <c r="A16" s="85" t="s">
        <v>88</v>
      </c>
      <c r="B16" s="7"/>
      <c r="C16" s="87">
        <f>SUM(C17:C20)</f>
        <v>0</v>
      </c>
      <c r="D16" s="87">
        <f>SUM(D17:D20)</f>
        <v>29</v>
      </c>
      <c r="E16" s="87">
        <f>SUM(E17:E20)</f>
        <v>58</v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s">
        <v>91</v>
      </c>
      <c r="B17" s="7"/>
      <c r="C17" s="87">
        <f>+SIM1_!D36</f>
        <v>0</v>
      </c>
      <c r="D17" s="87">
        <f>+SIM1_!G36</f>
        <v>16</v>
      </c>
      <c r="E17" s="87">
        <f>+SIM1_!J36</f>
        <v>32</v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s">
        <v>92</v>
      </c>
      <c r="B18" s="7"/>
      <c r="C18" s="87">
        <f>+SIM1_!D37</f>
        <v>0</v>
      </c>
      <c r="D18" s="87">
        <f>+SIM1_!G37</f>
        <v>0</v>
      </c>
      <c r="E18" s="87">
        <f>+SIM1_!J37</f>
        <v>0</v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  <v>37500000</v>
      </c>
      <c r="Y18" s="35">
        <v>2.5</v>
      </c>
    </row>
    <row r="19" spans="1:25" x14ac:dyDescent="0.4">
      <c r="A19" s="85" t="s">
        <v>94</v>
      </c>
      <c r="B19" s="7"/>
      <c r="C19" s="87">
        <f>+SIM1_!D38</f>
        <v>0</v>
      </c>
      <c r="D19" s="87">
        <f>+SIM1_!G38</f>
        <v>13</v>
      </c>
      <c r="E19" s="87">
        <f>+SIM1_!J38</f>
        <v>26</v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+SIM1_!D39</f>
        <v>0</v>
      </c>
      <c r="D20" s="87">
        <f>+SIM1_!G39</f>
        <v>0</v>
      </c>
      <c r="E20" s="87">
        <f>+SIM1_!J39</f>
        <v>0</v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 t="str">
        <f>+IFERROR(C4/C16,"--")</f>
        <v>--</v>
      </c>
      <c r="D22" s="90">
        <f t="shared" ref="D22:E22" si="2">+IFERROR(D4/D16,"--")</f>
        <v>8206.8965517241377</v>
      </c>
      <c r="E22" s="90">
        <f t="shared" si="2"/>
        <v>7603.4482758620688</v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 t="str">
        <f>+IFERROR(C5/C16,"--")</f>
        <v>--</v>
      </c>
      <c r="D23" s="90">
        <f t="shared" ref="D23" si="3">+IFERROR(D5/D16,"--")</f>
        <v>1206.8965517241379</v>
      </c>
      <c r="E23" s="90">
        <f t="shared" ref="E23" si="4">+IFERROR(E5/E16,"--")</f>
        <v>603.44827586206895</v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  <v>6.8</v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  <v>0.4</v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  <v>315</v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  <v>200</v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SIM1_</vt:lpstr>
      <vt:lpstr>SIM1_比較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
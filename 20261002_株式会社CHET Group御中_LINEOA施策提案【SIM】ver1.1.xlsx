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1_LINE月25万" sheetId="1" r:id="rId1"/>
    <sheet name="SIM1_比較" sheetId="2" r:id="rId2"/>
    <sheet name="SIM考え方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<sst xmlns="http://schemas.openxmlformats.org/spreadsheetml/2006/main" count="278" uniqueCount="195">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</sst>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46269</v>
      </c>
    </row>
    <row r="4" spans="1:25" ht="45.75" customHeight="1" x14ac:dyDescent="0.4">
      <c r="A4" s="56" t="inlineStr">
        <is>
          <t xml:space="preserve">株式会社CHET Group御中_LINEOA施策提案【SIM】（LINE運用 月25万前後・LINEの月額込み）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LINE追加（新しい友だち）</t>
        </is>
      </c>
      <c r="D8" s="33">
        <v>0</v>
      </c>
      <c r="G8" s="143" t="s">
        <v>67</v>
      </c>
      <c r="H8" s="144">
        <v>15661</v>
      </c>
      <c r="I8" s="145"/>
      <c r="J8" s="145" t="s">
        <v>78</v>
      </c>
      <c r="K8" s="152">
        <v>0</v>
      </c>
      <c r="N8" s="69" t="s">
        <v>126</v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申込（LINE上の申込フォーム）</t>
        </is>
      </c>
      <c r="D9" s="33">
        <v>0</v>
      </c>
      <c r="G9" s="146" t="s">
        <v>177</v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inlineStr">
        <is>
          <t xml:space="preserve">CV（別施策）</t>
        </is>
      </c>
      <c r="H10" s="147">
        <v>0</v>
      </c>
      <c r="I10" s="148" t="s">
        <v>186</v>
      </c>
      <c r="J10" s="139"/>
      <c r="K10" s="140"/>
      <c r="N10" s="155" t="s">
        <v>128</v>
      </c>
    </row>
    <row r="11" spans="1:25" ht="19.5" thickBot="1" x14ac:dyDescent="0.45">
      <c r="A11" s="131"/>
      <c r="B11" s="19" t="s">
        <v>12</v>
      </c>
      <c r="C11" s="38" t="s">
        <v>173</v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s">
        <v>72</v>
      </c>
      <c r="F13" s="36" t="s">
        <v>73</v>
      </c>
      <c r="G13" s="36" t="s">
        <v>74</v>
      </c>
      <c r="H13" s="36" t="s">
        <v>75</v>
      </c>
      <c r="I13" s="36" t="s">
        <v>76</v>
      </c>
      <c r="J13" s="36" t="s">
        <v>77</v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.5" x14ac:dyDescent="0.4">
      <c r="A15" s="134"/>
      <c r="B15" s="20" t="s">
        <v>36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s">
        <v>5</v>
      </c>
      <c r="C18" s="100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f>IF(E17=FALSE,0,IF(E65=0,0,IFERROR(E65/P30,"D63を記入してください")))</f>
      </c>
      <c r="F22" s="63">
        <f>E22*1.01</f>
      </c>
      <c r="G22" s="63">
        <f t="shared" ref="G22:J22" si="3">F22*1.01</f>
      </c>
      <c r="H22" s="63">
        <f t="shared" si="3"/>
      </c>
      <c r="I22" s="63">
        <f t="shared" si="3"/>
      </c>
      <c r="J22" s="63">
        <f t="shared" si="3"/>
      </c>
      <c r="K22" s="11"/>
      <c r="L22" s="7"/>
      <c r="N22" s="69" t="inlineStr">
        <is>
          <t xml:space="preserve">AD提案（50万・100万・200万）は別資料。ADからLINEへの友だちはLPから月にわずかなので、ここには入れない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s">
        <v>5</v>
      </c>
      <c r="C23" s="17"/>
      <c r="D23" s="44" t="s">
        <v>22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4">F23*1.01</f>
      </c>
      <c r="H23" s="63">
        <f t="shared" si="4"/>
      </c>
      <c r="I23" s="63">
        <f t="shared" si="4"/>
      </c>
      <c r="J23" s="63">
        <f t="shared" si="4"/>
      </c>
      <c r="K23" s="11"/>
      <c r="L23" s="7"/>
      <c r="N23" s="69" t="s">
        <v>139</v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+IF(E19=FALSE,0,SUM(H10:H11)*0.15)</f>
      </c>
      <c r="F24" s="63">
        <f>E24*1.01</f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140</v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inlineStr">
        <is>
          <t xml:space="preserve">新しい友だち＝サイト（LP含む）からの自然な追加：UU×0.5%（FMT標準のP15）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0.406</v>
      </c>
      <c r="F27" s="47">
        <f>+E27*0.98</f>
      </c>
      <c r="G27" s="47">
        <f>+F27*0.98</f>
      </c>
      <c r="H27" s="47">
        <f>+G27*0.98</f>
      </c>
      <c r="I27" s="47">
        <f>+H27*0.98</f>
      </c>
      <c r="J27" s="47">
        <f>+I27*0.98</f>
      </c>
      <c r="K27" s="11"/>
      <c r="L27" s="7"/>
      <c r="N27" t="inlineStr">
        <is>
          <t xml:space="preserve">ブロック率：40.6%から、出し分け配信で毎月2%ずつ低下（仮）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12566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N28" t="inlineStr">
        <is>
          <t xml:space="preserve">D28：wakaba projectのLINEの友だち12,566人（page.line.me・2026/10/1）。他のLINEは非公開で含めていない</t>
        </is>
      </c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158</v>
      </c>
      <c r="O30" s="17" t="s">
        <v>137</v>
      </c>
      <c r="P30" s="76"/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157</v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+E29*E32*$P$26*$P$27*$P$28*$P$36</f>
      </c>
      <c r="F33" s="63">
        <f t="shared" ref="F33:G33" si="10">+F29*F32*$P$26*$P$27*$P$28*$P$36</f>
      </c>
      <c r="G33" s="63">
        <f t="shared" si="10"/>
      </c>
      <c r="H33" s="63">
        <f>+H29*H32*$P$26*$P$27*$P$28*$P$36*$Q$28</f>
      </c>
      <c r="I33" s="63">
        <f t="shared" ref="I33:J33" si="11">+I29*I32*$P$26*$P$27*$P$28*$P$36*$Q$28</f>
      </c>
      <c r="J33" s="63">
        <f t="shared" si="11"/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+E31+E33+1.05*(E31+E33)+E29*0.3*2</f>
      </c>
      <c r="F35" s="50">
        <f>+F31+F33+1.05*(F31+F33)+F29*0.3*2</f>
      </c>
      <c r="G35" s="50">
        <f>+G31+G33+1.05*(G31+G33)+G29*0.3*2</f>
      </c>
      <c r="H35" s="50">
        <f>+H31+H33+1.05*(H31+H33)+H29*0.3*2</f>
      </c>
      <c r="I35" s="50">
        <f>+I31+I33+1.05*(I31+I33)+I29*0.3*2</f>
      </c>
      <c r="J35" s="50">
        <f>+J31+J33+1.05*(J31+J33)+J29*0.3*2</f>
      </c>
      <c r="K35" s="11"/>
      <c r="L35" s="7"/>
      <c r="N35" t="inlineStr">
        <is>
          <t xml:space="preserve">＋リッチメニューのタップ：有効な友だち×月に使う率30%×2回</t>
        </is>
      </c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f>ROUND(E26,0)</f>
      </c>
      <c r="F36" s="111">
        <f>ROUND(F26,0)</f>
      </c>
      <c r="G36" s="111">
        <f>ROUND(G26,0)</f>
      </c>
      <c r="H36" s="111">
        <f>ROUND(H26,0)</f>
      </c>
      <c r="I36" s="111">
        <f>ROUND(I26,0)</f>
      </c>
      <c r="J36" s="111">
        <f>ROUND(J26,0)</f>
      </c>
      <c r="K36" s="115">
        <f>SUM(E36:J36)</f>
      </c>
      <c r="L36" s="7"/>
      <c r="N36" s="69" t="inlineStr">
        <is>
          <t xml:space="preserve">CV①LINE追加＝その月の新しい友だち（広告＋サイト）。CPA・CVRには含めない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f>ROUND(E35*0.005,0)</f>
      </c>
      <c r="F37" s="111">
        <f>ROUND(F35*0.006,0)</f>
      </c>
      <c r="G37" s="111">
        <f>ROUND(G35*0.007,0)</f>
      </c>
      <c r="H37" s="111">
        <f>ROUND(H35*0.008,0)</f>
      </c>
      <c r="I37" s="111">
        <f>ROUND(I35*0.009,0)</f>
      </c>
      <c r="J37" s="111">
        <f>ROUND(J35*0.01,0)</f>
      </c>
      <c r="K37" s="115">
        <f>SUM(E37:J37)</f>
      </c>
      <c r="L37" s="7"/>
      <c r="N37" s="69" t="inlineStr">
        <is>
          <t xml:space="preserve">CV②申込：想定Click×0.5%→1.0%（運用が育つ想定で月ごとに上げる）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3</v>
      </c>
      <c r="F38" s="111">
        <v>8</v>
      </c>
      <c r="G38" s="111">
        <v>13</v>
      </c>
      <c r="H38" s="111">
        <v>16</v>
      </c>
      <c r="I38" s="111">
        <v>19</v>
      </c>
      <c r="J38" s="111">
        <v>26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>+D37</f>
      </c>
      <c r="E40" s="10">
        <f>+E37</f>
      </c>
      <c r="F40" s="10">
        <f>+F37</f>
      </c>
      <c r="G40" s="10">
        <f>+G37</f>
      </c>
      <c r="H40" s="10">
        <f>+H37</f>
      </c>
      <c r="I40" s="10">
        <f>+I37</f>
      </c>
      <c r="J40" s="10">
        <f>+J37</f>
      </c>
      <c r="K40" s="115">
        <f>SUM(E40:J40)</f>
      </c>
      <c r="L40" s="7"/>
      <c r="N40" t="inlineStr">
        <is>
          <t xml:space="preserve">合計CVはCV②（申込）のみ。CPA・CVRは申込で計算</t>
        </is>
      </c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+IFERROR(E40/E35,0)</f>
      </c>
      <c r="F41" s="18">
        <f t="shared" ref="F41:J41" si="16">+IFERROR(F40/F35,0)</f>
      </c>
      <c r="G41" s="18">
        <f t="shared" si="16"/>
      </c>
      <c r="H41" s="18">
        <f t="shared" si="16"/>
      </c>
      <c r="I41" s="18">
        <f t="shared" si="16"/>
      </c>
      <c r="J41" s="18">
        <f t="shared" si="16"/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 t="shared" ref="E46:J46" si="19">+SUM(E65:E67)/(E28-D28)</f>
      </c>
      <c r="F46" s="28">
        <f t="shared" si="19"/>
      </c>
      <c r="G46" s="28">
        <f t="shared" si="19"/>
      </c>
      <c r="H46" s="28">
        <f t="shared" si="19"/>
      </c>
      <c r="I46" s="28">
        <f t="shared" si="19"/>
      </c>
      <c r="J46" s="28">
        <f t="shared" si="19"/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</c>
      <c r="F48" s="32">
        <f t="shared" si="21"/>
      </c>
      <c r="G48" s="32">
        <f t="shared" si="21"/>
      </c>
      <c r="H48" s="32">
        <f t="shared" si="21"/>
      </c>
      <c r="I48" s="32">
        <f t="shared" si="21"/>
      </c>
      <c r="J48" s="32">
        <f t="shared" si="21"/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+SUM(E65:E67)/(E28-D28)</f>
      </c>
      <c r="F56" s="28">
        <f t="shared" ref="F56:J56" si="27">+SUM(F65:F67)/(F28-E28)</f>
      </c>
      <c r="G56" s="28">
        <f t="shared" si="27"/>
      </c>
      <c r="H56" s="28">
        <f t="shared" si="27"/>
      </c>
      <c r="I56" s="28">
        <f t="shared" si="27"/>
      </c>
      <c r="J56" s="28">
        <f t="shared" si="27"/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</c>
      <c r="F58" s="32">
        <f t="shared" si="29"/>
      </c>
      <c r="G58" s="32">
        <f t="shared" si="29"/>
      </c>
      <c r="H58" s="32">
        <f t="shared" si="29"/>
      </c>
      <c r="I58" s="32">
        <f t="shared" si="29"/>
      </c>
      <c r="J58" s="32">
        <f t="shared" si="29"/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従量課金は54行（新料金テーブル）で計算。65行の旧式（2.75円）は二重計上になるため0</t>
        </is>
      </c>
    </row>
    <row r="66" spans="1:16" x14ac:dyDescent="0.4">
      <c r="A66" s="53" t="s">
        <v>51</v>
      </c>
      <c r="B66" s="6" t="s">
        <v>5</v>
      </c>
      <c r="C66" s="90">
        <v>0</v>
      </c>
      <c r="D66" s="51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N66" s="69" t="inlineStr">
        <is>
          <t xml:space="preserve">離脱防止：今回のSIMには入れない</t>
        </is>
      </c>
    </row>
    <row r="67" spans="1:16" x14ac:dyDescent="0.4">
      <c r="B67" s="6" t="s">
        <v>6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148</v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s">
        <v>155</v>
      </c>
      <c r="O68" s="17" t="s">
        <v>154</v>
      </c>
      <c r="P68" s="75">
        <v>5000</v>
      </c>
    </row>
    <row r="69" spans="1:16" x14ac:dyDescent="0.4">
      <c r="A69" s="15"/>
      <c r="B69" s="6" t="inlineStr">
        <is>
          <t xml:space="preserve">LINE運用（コンサル）</t>
        </is>
      </c>
      <c r="C69" s="90">
        <v>0</v>
      </c>
      <c r="D69" s="51">
        <v>200000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inlineStr">
        <is>
          <t xml:space="preserve">予算型コンサル：月20万＋LINEの月額（アカウント費・従量課金）で約25万。初期構築20万は仮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s">
        <v>150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151</v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 t="shared" ref="E73" si="34">SUM(E65:E72)</f>
      </c>
      <c r="F73" s="114">
        <f t="shared" ref="F73" si="35">SUM(F65:F72)</f>
      </c>
      <c r="G73" s="114">
        <f t="shared" ref="G73" si="36">SUM(G65:G72)</f>
      </c>
      <c r="H73" s="114">
        <f t="shared" ref="H73" si="37">SUM(H65:H72)</f>
      </c>
      <c r="I73" s="114">
        <f t="shared" ref="I73" si="38">SUM(I65:I72)</f>
      </c>
      <c r="J73" s="114">
        <f t="shared" ref="J73" si="39">SUM(J65:J72)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+'SIM1_LINE月25万'!D24</f>
      </c>
      <c r="D4" s="28">
        <f>+'SIM1_LINE月25万'!G51</f>
      </c>
      <c r="E4" s="28">
        <f>+'SIM1_LINE月25万'!J51</f>
      </c>
      <c r="F4" s="28"/>
    </row>
    <row r="5" spans="1:25" x14ac:dyDescent="0.4">
      <c r="A5" s="85" t="s">
        <v>167</v>
      </c>
      <c r="B5" s="7"/>
      <c r="C5" s="86">
        <f>+'SIM1_LINE月25万'!D25</f>
      </c>
      <c r="D5" s="28">
        <f>+'SIM1_LINE月25万'!G61</f>
      </c>
      <c r="E5" s="28">
        <f>+'SIM1_LINE月25万'!J61</f>
      </c>
      <c r="F5" s="27"/>
    </row>
    <row r="6" spans="1:25" x14ac:dyDescent="0.4">
      <c r="A6" s="85" t="s">
        <v>83</v>
      </c>
      <c r="B6" s="7"/>
      <c r="C6" s="117">
        <f>+'SIM1_LINE月25万'!D28</f>
      </c>
      <c r="D6" s="87">
        <f>+'SIM1_LINE月25万'!G28</f>
      </c>
      <c r="E6" s="87">
        <f>+'SIM1_LINE月25万'!J28</f>
      </c>
      <c r="F6" s="10"/>
    </row>
    <row r="7" spans="1:25" x14ac:dyDescent="0.4">
      <c r="A7" s="85" t="s">
        <v>84</v>
      </c>
      <c r="B7" s="7"/>
      <c r="C7" s="88">
        <f>+'SIM1_LINE月25万'!D27</f>
      </c>
      <c r="D7" s="89">
        <f>+D8/D6</f>
      </c>
      <c r="E7" s="89">
        <f>+E8/E6</f>
      </c>
      <c r="F7" s="89"/>
    </row>
    <row r="8" spans="1:25" x14ac:dyDescent="0.4">
      <c r="A8" s="85" t="s">
        <v>85</v>
      </c>
      <c r="B8" s="7"/>
      <c r="C8" s="117">
        <f>+'SIM1_LINE月25万'!D29</f>
      </c>
      <c r="D8" s="10">
        <f>+'SIM1_LINE月25万'!G29</f>
      </c>
      <c r="E8" s="10">
        <f>+'SIM1_LINE月25万'!J29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+'SIM1_LINE月25万'!D34</f>
      </c>
      <c r="D10" s="10">
        <f>+'SIM1_LINE月25万'!G34</f>
      </c>
      <c r="E10" s="10">
        <f>+'SIM1_LINE月25万'!J34</f>
      </c>
      <c r="F10" s="10"/>
    </row>
    <row r="11" spans="1:25" x14ac:dyDescent="0.4">
      <c r="A11" s="85" t="s">
        <v>90</v>
      </c>
      <c r="B11" s="7"/>
      <c r="C11" s="117">
        <f>+'SIM1_LINE月25万'!D35</f>
      </c>
      <c r="D11" s="10">
        <f>+'SIM1_LINE月25万'!G35</f>
      </c>
      <c r="E11" s="10">
        <f>+'SIM1_LINE月25万'!J35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s">
        <v>87</v>
      </c>
      <c r="B15" s="7"/>
      <c r="C15" s="87">
        <f>+'SIM1_LINE月25万'!D16</f>
      </c>
      <c r="D15" s="87">
        <f>+'SIM1_LINE月25万'!E16</f>
      </c>
      <c r="E15" s="87">
        <f>+'SIM1_LINE月25万'!F16</f>
      </c>
      <c r="F15" s="87"/>
      <c r="R15" s="5" t="s">
        <v>59</v>
      </c>
    </row>
    <row r="16" spans="1:25" x14ac:dyDescent="0.4">
      <c r="A16" s="85" t="inlineStr">
        <is>
          <t xml:space="preserve">CV数（+LINEOA施策）※申込のみ</t>
        </is>
      </c>
      <c r="B16" s="7"/>
      <c r="C16" s="87">
        <f>+C18</f>
      </c>
      <c r="D16" s="87">
        <f>+D18</f>
      </c>
      <c r="E16" s="87">
        <f>+E18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CV①_LINE追加（参考・CPAに含めない）</t>
        </is>
      </c>
      <c r="B17" s="7"/>
      <c r="C17" s="87">
        <f>+'SIM1_LINE月25万'!D36</f>
      </c>
      <c r="D17" s="87">
        <f>+'SIM1_LINE月25万'!G36</f>
      </c>
      <c r="E17" s="87">
        <f>+'SIM1_LINE月25万'!J36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CV②_申込（LINE上の申込フォーム）</t>
        </is>
      </c>
      <c r="B18" s="7"/>
      <c r="C18" s="87">
        <f>+'SIM1_LINE月25万'!D37</f>
      </c>
      <c r="D18" s="87">
        <f>+'SIM1_LINE月25万'!G37</f>
      </c>
      <c r="E18" s="87">
        <f>+'SIM1_LINE月25万'!J37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s">
        <v>94</v>
      </c>
      <c r="B19" s="7"/>
      <c r="C19" s="87">
        <f>+'SIM1_LINE月25万'!D38</f>
      </c>
      <c r="D19" s="87">
        <f>+'SIM1_LINE月25万'!G38</f>
      </c>
      <c r="E19" s="87">
        <f>+'SIM1_LINE月25万'!J38</f>
      </c>
      <c r="F19" s="10"/>
      <c r="R19" s="34"/>
      <c r="T19" s="34"/>
      <c r="V19" s="34"/>
      <c r="X19" s="34"/>
      <c r="Y19" s="35"/>
    </row>
    <row r="20" spans="1:25" x14ac:dyDescent="0.4">
      <c r="A20" s="85" t="s">
        <v>93</v>
      </c>
      <c r="B20" s="7"/>
      <c r="C20" s="87">
        <f>+'SIM1_LINE月25万'!D39</f>
      </c>
      <c r="D20" s="87">
        <f>+'SIM1_LINE月25万'!G39</f>
      </c>
      <c r="E20" s="87">
        <f>+'SIM1_LINE月25万'!J39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15000+C29*C30</f>
      </c>
      <c r="D25" s="10">
        <f>15000+D29*D30</f>
      </c>
      <c r="E25" s="10">
        <f>15000+E29*E30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SIM1_LINE月25万</vt:lpstr>
      <vt:lpstr>SIM1_比較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
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①_月3投稿" sheetId="1" r:id="rId1"/>
    <sheet name="SIM①_比較" sheetId="2" r:id="rId2"/>
    <sheet name="SIM②_月5投稿" sheetId="3" r:id="rId100"/>
    <sheet name="SIM②_比較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<sst xmlns="http://schemas.openxmlformats.org/spreadsheetml/2006/main" count="278" uniqueCount="195">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</sst>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46321</v>
      </c>
    </row>
    <row r="4" spans="1:25" ht="45.75" customHeight="1" x14ac:dyDescent="0.4">
      <c r="A4" s="56" t="inlineStr">
        <is>
          <t xml:space="preserve">株式会社ワクトリ御中_LINEOA施策提案【SIM】プラン①（月3投稿）：ポップアップ＋サンクスLINE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応募</t>
        </is>
      </c>
      <c r="D8" s="33">
        <v>4000</v>
      </c>
      <c r="G8" s="143" t="s">
        <v>67</v>
      </c>
      <c r="H8" s="144">
        <v>85887</v>
      </c>
      <c r="I8" s="145"/>
      <c r="J8" s="145" t="s">
        <v>78</v>
      </c>
      <c r="K8" s="152">
        <v>0</v>
      </c>
      <c r="N8" s="69" t="inlineStr">
        <is>
          <t xml:space="preserve">CV＝応募（サイトの「ENTRY」と求人ページの「応募」は同じ登録フォーム）。LINE経由は計測用のフォームで数える。成果報酬型の単価 4,000円（仮）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-</t>
        </is>
      </c>
      <c r="D9" s="33">
        <v>0</v>
      </c>
      <c r="G9" s="146" t="s">
        <v>177</v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応募（月）</t>
        </is>
      </c>
      <c r="H10" s="147">
        <v>400</v>
      </c>
      <c r="I10" s="148" t="s">
        <v>186</v>
      </c>
      <c r="J10" s="139"/>
      <c r="K10" s="140"/>
      <c r="N10" s="155" t="inlineStr">
        <is>
          <t xml:space="preserve">サイトからの応募は与件に無いので、仮に月400件（広告費 月約250万円÷1件あたり約6,000円の目安）＝サンクスLINEの母数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inlineStr">
        <is>
          <t xml:space="preserve">-</t>
        </is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inlineStr">
        <is>
          <t xml:space="preserve">広告UUは不明なので0（UU全体をサイトのLINEボタン0.5%・ポップアップの式で計算）</t>
        </is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inlineStr">
        <is>
          <t xml:space="preserve">ポップアップ＝UU×表示55%×クリック12%×追加12%（FMTの式）</t>
        </is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inlineStr">
        <is>
          <t xml:space="preserve">友だち追加広告（CPF）は入れていない</t>
        </is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s">
        <v>5</v>
      </c>
      <c r="C23" s="17"/>
      <c r="D23" s="44" t="s">
        <v>22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4">F23*1.01</f>
      </c>
      <c r="H23" s="63">
        <f t="shared" si="4"/>
      </c>
      <c r="I23" s="63">
        <f t="shared" si="4"/>
      </c>
      <c r="J23" s="63">
        <f t="shared" si="4"/>
      </c>
      <c r="K23" s="11"/>
      <c r="L23" s="7"/>
      <c r="N23" s="69" t="s">
        <v>139</v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IF(E19=FALSE,0,$H$10*0.8*0.45)</f>
      </c>
      <c r="F24" s="63">
        <f>IF(F19=FALSE,0,$H$10*0.8*0.45)</f>
      </c>
      <c r="G24" s="63">
        <f>IF(G19=FALSE,0,$H$10*0.8*0.45)</f>
      </c>
      <c r="H24" s="63">
        <f>IF(H19=FALSE,0,$H$10*0.8*0.45)</f>
      </c>
      <c r="I24" s="63">
        <f>IF(I19=FALSE,0,$H$10*0.8*0.45)</f>
      </c>
      <c r="J24" s="63">
        <f>IF(J19=FALSE,0,$H$10*0.8*0.45)</f>
      </c>
      <c r="K24" s="11"/>
      <c r="L24" s="7"/>
      <c r="N24" s="69" t="inlineStr">
        <is>
          <t xml:space="preserve">サンクスLINE誘導＝応募×遷移80%×追加45%。マイページ登録（応募）の完了画面からLINEへ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サイトのLINEボタン（UU×0.5%・FMTのP15）＋ポップアップ＋サンクスLINE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0.4</v>
      </c>
      <c r="E27" s="47">
        <v>0.4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inlineStr">
        <is>
          <t xml:space="preserve">ブロック率：今は不明なので仮に40%。その後は前の月×1.02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79904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N28" t="inlineStr">
        <is>
          <t xml:space="preserve">今の友だち 79,904人（プロフィールの表示・2026年10月）</t>
        </is>
      </c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4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inlineStr">
        <is>
          <t xml:space="preserve">企画配信 月3本（開始時期・エリア別に出し分け。対象は有効な友だちの80%、4か月目から反応しない方を外してさらに8割）。今は週1回（月4本）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inlineStr">
        <is>
          <t xml:space="preserve">ステップ配信5通（友だち追加から15日以内）。対象＝その月の新しい友だち（サンクスLINEで追加した応募済みの方は除く）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+(E26-E24)*E32*$P$26*$P$27*$P$36</f>
      </c>
      <c r="F33" s="63">
        <f>+(F26-F24)*F32*$P$26*$P$27*$P$36</f>
      </c>
      <c r="G33" s="63">
        <f>+(G26-G24)*G32*$P$26*$P$27*$P$36</f>
      </c>
      <c r="H33" s="63">
        <f>+(H26-H24)*H32*$P$26*$P$27*$P$36</f>
      </c>
      <c r="I33" s="63">
        <f>+(I26-I24)*I32*$P$26*$P$27*$P$36</f>
      </c>
      <c r="J33" s="63">
        <f>+(J26-J24)*J32*$P$26*$P$27*$P$36</f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f>ROUND(E35*0.003,0)</f>
      </c>
      <c r="F36" s="111">
        <f>ROUND(F35*0.0035,0)</f>
      </c>
      <c r="G36" s="111">
        <f>ROUND(G35*0.004,0)</f>
      </c>
      <c r="H36" s="111">
        <f>ROUND(H35*0.005,0)</f>
      </c>
      <c r="I36" s="111">
        <f>ROUND(I35*0.0055,0)</f>
      </c>
      <c r="J36" s="111">
        <f>ROUND(J35*0.006,0)</f>
      </c>
      <c r="K36" s="115">
        <f>SUM(E36:J36)</f>
      </c>
      <c r="L36" s="7"/>
      <c r="N36" s="69" t="inlineStr">
        <is>
          <t xml:space="preserve">応募＝想定クリック×0.3〜0.6%（運用が育つ想定で月ごとに上げる）。サンクスLINEで追加した方は応募済みなので数えない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134</v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+IFERROR(E40/E35,0)</f>
      </c>
      <c r="F41" s="18">
        <f t="shared" ref="F41:J41" si="16">+IFERROR(F40/F35,0)</f>
      </c>
      <c r="G41" s="18">
        <f t="shared" si="16"/>
      </c>
      <c r="H41" s="18">
        <f t="shared" si="16"/>
      </c>
      <c r="I41" s="18">
        <f t="shared" si="16"/>
      </c>
      <c r="J41" s="18">
        <f t="shared" si="16"/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SUM(E65:E68)+SUM(E71:E72)</f>
      </c>
      <c r="F45" s="27">
        <f>SUM(F65:F68)+SUM(F71:F72)</f>
      </c>
      <c r="G45" s="27">
        <f>SUM(G65:G68)+SUM(G71:G72)</f>
      </c>
      <c r="H45" s="27">
        <f>SUM(H65:H68)+SUM(H71:H72)</f>
      </c>
      <c r="I45" s="27">
        <f>SUM(I65:I68)+SUM(I71:I72)</f>
      </c>
      <c r="J45" s="27">
        <f>SUM(J65:J68)+SUM(J71:J72)</f>
      </c>
      <c r="K45" s="11"/>
      <c r="L45" s="7"/>
      <c r="N45" t="inlineStr">
        <is>
          <t xml:space="preserve">成果報酬型の固定費＝ツール・アカウント費・通数費（コンサル費は入れない）。成果報酬＝応募×単価</t>
        </is>
      </c>
    </row>
    <row r="46" spans="1:17" x14ac:dyDescent="0.4">
      <c r="A46" s="120" t="s">
        <v>18</v>
      </c>
      <c r="B46" s="121"/>
      <c r="C46" s="103"/>
      <c r="D46" s="16" t="s">
        <v>23</v>
      </c>
      <c r="E46" s="28">
        <f t="shared" ref="E46:J46" si="19">+SUM(E65:E67)/(E28-D28)</f>
      </c>
      <c r="F46" s="28">
        <f t="shared" si="19"/>
      </c>
      <c r="G46" s="28">
        <f t="shared" si="19"/>
      </c>
      <c r="H46" s="28">
        <f t="shared" si="19"/>
      </c>
      <c r="I46" s="28">
        <f t="shared" si="19"/>
      </c>
      <c r="J46" s="28">
        <f t="shared" si="19"/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 t="shared" ref="E48:J48" si="21">+SUM(E36:E39)/E35</f>
      </c>
      <c r="F48" s="32">
        <f t="shared" si="21"/>
      </c>
      <c r="G48" s="32">
        <f t="shared" si="21"/>
      </c>
      <c r="H48" s="32">
        <f t="shared" si="21"/>
      </c>
      <c r="I48" s="32">
        <f t="shared" si="21"/>
      </c>
      <c r="J48" s="32">
        <f t="shared" si="21"/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  <c r="N54" t="inlineStr">
        <is>
          <t xml:space="preserve">通数費は54行（新料金テーブル）で計算</t>
        </is>
      </c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+SUM(E65:E67)/(E28-D28)</f>
      </c>
      <c r="F56" s="28">
        <f t="shared" ref="F56:J56" si="27">+SUM(F65:F67)/(F28-E28)</f>
      </c>
      <c r="G56" s="28">
        <f t="shared" si="27"/>
      </c>
      <c r="H56" s="28">
        <f t="shared" si="27"/>
      </c>
      <c r="I56" s="28">
        <f t="shared" si="27"/>
      </c>
      <c r="J56" s="28">
        <f t="shared" si="27"/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 t="shared" ref="E58:J58" si="29">+SUM(E36:E39)/E35</f>
      </c>
      <c r="F58" s="32">
        <f t="shared" si="29"/>
      </c>
      <c r="G58" s="32">
        <f t="shared" si="29"/>
      </c>
      <c r="H58" s="32">
        <f t="shared" si="29"/>
      </c>
      <c r="I58" s="32">
        <f t="shared" si="29"/>
      </c>
      <c r="J58" s="32">
        <f t="shared" si="29"/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4">
      <c r="A66" s="53" t="s">
        <v>51</v>
      </c>
      <c r="B66" s="6" t="inlineStr">
        <is>
          <t xml:space="preserve">ポップアップ</t>
        </is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ポップアップ：初期1.5万円・月3万円（プランの月額に込み）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サンクスLINE誘導：初期15万円・月3万円〜</t>
        </is>
      </c>
    </row>
    <row r="68" spans="1:16" x14ac:dyDescent="0.4">
      <c r="A68" s="15"/>
      <c r="B68" s="6" t="s">
        <v>49</v>
      </c>
      <c r="C68" s="90">
        <v>0</v>
      </c>
      <c r="D68" s="51">
        <v>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アカウント費：FMTの式。初期は0（アカウントは既にある）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</t>
        </is>
      </c>
      <c r="C69" s="90">
        <v>0</v>
      </c>
      <c r="D69" s="51">
        <v>100000</v>
      </c>
      <c r="E69" s="28">
        <v>170000</v>
      </c>
      <c r="F69" s="28">
        <v>170000</v>
      </c>
      <c r="G69" s="28">
        <v>170000</v>
      </c>
      <c r="H69" s="28">
        <v>170000</v>
      </c>
      <c r="I69" s="28">
        <v>170000</v>
      </c>
      <c r="J69" s="28">
        <v>170000</v>
      </c>
      <c r="N69" s="69" t="inlineStr">
        <is>
          <t xml:space="preserve">LINE運用コンサル：初期10万円〜（運用設計・構築）・月額17万円（ポップアップ3万円と合わせてプランの月額20万円）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+'SIM①_月3投稿'!D24</f>
      </c>
      <c r="D4" s="28">
        <f>+'SIM①_月3投稿'!G51</f>
      </c>
      <c r="E4" s="28">
        <f>+'SIM①_月3投稿'!J51</f>
      </c>
      <c r="F4" s="28"/>
    </row>
    <row r="5" spans="1:25" x14ac:dyDescent="0.4">
      <c r="A5" s="85" t="s">
        <v>167</v>
      </c>
      <c r="B5" s="7"/>
      <c r="C5" s="86">
        <f>+'SIM①_月3投稿'!D25</f>
      </c>
      <c r="D5" s="28">
        <f>+'SIM①_月3投稿'!G61</f>
      </c>
      <c r="E5" s="28">
        <f>+'SIM①_月3投稿'!J61</f>
      </c>
      <c r="F5" s="27"/>
    </row>
    <row r="6" spans="1:25" x14ac:dyDescent="0.4">
      <c r="A6" s="85" t="s">
        <v>83</v>
      </c>
      <c r="B6" s="7"/>
      <c r="C6" s="117">
        <f>+'SIM①_月3投稿'!D28</f>
      </c>
      <c r="D6" s="87">
        <f>+'SIM①_月3投稿'!G28</f>
      </c>
      <c r="E6" s="87">
        <f>+'SIM①_月3投稿'!J28</f>
      </c>
      <c r="F6" s="10"/>
    </row>
    <row r="7" spans="1:25" x14ac:dyDescent="0.4">
      <c r="A7" s="85" t="s">
        <v>84</v>
      </c>
      <c r="B7" s="7"/>
      <c r="C7" s="88">
        <f>+'SIM①_月3投稿'!D27</f>
      </c>
      <c r="D7" s="89">
        <f>+'SIM①_月3投稿'!G27</f>
      </c>
      <c r="E7" s="89">
        <f>+'SIM①_月3投稿'!J27</f>
      </c>
      <c r="F7" s="89"/>
    </row>
    <row r="8" spans="1:25" x14ac:dyDescent="0.4">
      <c r="A8" s="85" t="s">
        <v>85</v>
      </c>
      <c r="B8" s="7"/>
      <c r="C8" s="117">
        <f>+'SIM①_月3投稿'!D29</f>
      </c>
      <c r="D8" s="10">
        <f>+'SIM①_月3投稿'!G29</f>
      </c>
      <c r="E8" s="10">
        <f>+'SIM①_月3投稿'!J29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+'SIM①_月3投稿'!D34</f>
      </c>
      <c r="D10" s="10">
        <f>+'SIM①_月3投稿'!G34</f>
      </c>
      <c r="E10" s="10">
        <f>+'SIM①_月3投稿'!J34</f>
      </c>
      <c r="F10" s="10"/>
    </row>
    <row r="11" spans="1:25" x14ac:dyDescent="0.4">
      <c r="A11" s="85" t="s">
        <v>90</v>
      </c>
      <c r="B11" s="7"/>
      <c r="C11" s="117">
        <f>+'SIM①_月3投稿'!D35</f>
      </c>
      <c r="D11" s="10">
        <f>+'SIM①_月3投稿'!G35</f>
      </c>
      <c r="E11" s="10">
        <f>+'SIM①_月3投稿'!J35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応募（サイト全体・月）</t>
        </is>
      </c>
      <c r="B15" s="7"/>
      <c r="C15" s="87">
        <f>+'SIM①_月3投稿'!D16</f>
      </c>
      <c r="D15" s="87">
        <f>+'SIM①_月3投稿'!G16</f>
      </c>
      <c r="E15" s="87">
        <f>+'SIM①_月3投稿'!J16</f>
      </c>
      <c r="F15" s="87"/>
      <c r="R15" s="5" t="s">
        <v>59</v>
      </c>
    </row>
    <row r="16" spans="1:25" x14ac:dyDescent="0.4">
      <c r="A16" s="85" t="inlineStr">
        <is>
          <t xml:space="preserve">応募（+LINEOA施策）</t>
        </is>
      </c>
      <c r="B16" s="7"/>
      <c r="C16" s="87">
        <f>+C17</f>
      </c>
      <c r="D16" s="87">
        <f>+D17</f>
      </c>
      <c r="E16" s="87">
        <f>+E17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CV①_応募（LINE経由）</t>
        </is>
      </c>
      <c r="B17" s="7"/>
      <c r="C17" s="87">
        <f>+'SIM①_月3投稿'!D36</f>
      </c>
      <c r="D17" s="87">
        <f>+'SIM①_月3投稿'!G36</f>
      </c>
      <c r="E17" s="87">
        <f>+'SIM①_月3投稿'!J36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-</t>
        </is>
      </c>
      <c r="B18" s="7"/>
      <c r="C18" s="87">
        <f>+'SIM①_月3投稿'!D37</f>
      </c>
      <c r="D18" s="87">
        <f>+'SIM①_月3投稿'!G37</f>
      </c>
      <c r="E18" s="87">
        <f>+'SIM①_月3投稿'!J37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+'SIM①_月3投稿'!D38</f>
      </c>
      <c r="D19" s="87">
        <f>+'SIM①_月3投稿'!G38</f>
      </c>
      <c r="E19" s="87">
        <f>+'SIM①_月3投稿'!J38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+'SIM①_月3投稿'!D39</f>
      </c>
      <c r="D20" s="87">
        <f>+'SIM①_月3投稿'!G39</f>
      </c>
      <c r="E20" s="87">
        <f>+'SIM①_月3投稿'!J39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+'SIM①_月3投稿'!E68+C29*C30</f>
      </c>
      <c r="D25" s="10">
        <f>+'SIM①_月3投稿'!G68+D29*D30</f>
      </c>
      <c r="E25" s="10">
        <f>+'SIM①_月3投稿'!J68+E29*E30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E2E5-AEB8-5B0C-B7F8-B916B752B4D5}">
  <dimension ref="A2:Z76"/>
  <sheetViews>
    <sheetView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46321</v>
      </c>
    </row>
    <row r="4" spans="1:25" ht="45.75" customHeight="1" x14ac:dyDescent="0.4">
      <c r="A4" s="56" t="inlineStr">
        <is>
          <t xml:space="preserve">株式会社ワクトリ御中_LINEOA施策提案【SIM】プラン②（月5投稿）：ポップアップ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応募</t>
        </is>
      </c>
      <c r="D8" s="33">
        <v>4000</v>
      </c>
      <c r="G8" s="143" t="s">
        <v>67</v>
      </c>
      <c r="H8" s="144">
        <v>85887</v>
      </c>
      <c r="I8" s="145"/>
      <c r="J8" s="145" t="s">
        <v>78</v>
      </c>
      <c r="K8" s="152">
        <v>0</v>
      </c>
      <c r="N8" s="69" t="inlineStr">
        <is>
          <t xml:space="preserve">CV＝応募（サイトの「ENTRY」と求人ページの「応募」は同じ登録フォーム）。LINE経由は計測用のフォームで数える。成果報酬型の単価 4,000円（仮）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-</t>
        </is>
      </c>
      <c r="D9" s="33">
        <v>0</v>
      </c>
      <c r="G9" s="146" t="s">
        <v>177</v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応募（月）</t>
        </is>
      </c>
      <c r="H10" s="147">
        <v>400</v>
      </c>
      <c r="I10" s="148" t="s">
        <v>186</v>
      </c>
      <c r="J10" s="139"/>
      <c r="K10" s="140"/>
      <c r="N10" s="155" t="inlineStr">
        <is>
          <t xml:space="preserve">サイトからの応募は与件に無いので、仮に月400件（広告費 月約250万円÷1件あたり約6,000円の目安）＝サンクスLINEの母数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inlineStr">
        <is>
          <t xml:space="preserve">-</t>
        </is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inlineStr">
        <is>
          <t xml:space="preserve">広告UUは不明なので0（UU全体をサイトのLINEボタン0.5%・ポップアップの式で計算）</t>
        </is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inlineStr">
        <is>
          <t xml:space="preserve">ポップアップ＝UU×表示55%×クリック12%×追加12%（FMTの式）</t>
        </is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inlineStr">
        <is>
          <t xml:space="preserve">友だち追加広告（CPF）は入れていない</t>
        </is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s">
        <v>5</v>
      </c>
      <c r="C23" s="17"/>
      <c r="D23" s="44" t="s">
        <v>22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4">F23*1.01</f>
      </c>
      <c r="H23" s="63">
        <f t="shared" si="4"/>
      </c>
      <c r="I23" s="63">
        <f t="shared" si="4"/>
      </c>
      <c r="J23" s="63">
        <f t="shared" si="4"/>
      </c>
      <c r="K23" s="11"/>
      <c r="L23" s="7"/>
      <c r="N23" s="69" t="s">
        <v>139</v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IF(E19=FALSE,0,$H$10*0.8*0.45)</f>
      </c>
      <c r="F24" s="63">
        <f>IF(F19=FALSE,0,$H$10*0.8*0.45)</f>
      </c>
      <c r="G24" s="63">
        <f>IF(G19=FALSE,0,$H$10*0.8*0.45)</f>
      </c>
      <c r="H24" s="63">
        <f>IF(H19=FALSE,0,$H$10*0.8*0.45)</f>
      </c>
      <c r="I24" s="63">
        <f>IF(I19=FALSE,0,$H$10*0.8*0.45)</f>
      </c>
      <c r="J24" s="63">
        <f>IF(J19=FALSE,0,$H$10*0.8*0.45)</f>
      </c>
      <c r="K24" s="11"/>
      <c r="L24" s="7"/>
      <c r="N24" s="69" t="inlineStr">
        <is>
          <t xml:space="preserve">サンクスLINE誘導はオプション（このプランのSIMには入れていない）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サイトのLINEボタン（UU×0.5%・FMTのP15）＋ポップアップ＋サンクスLINE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0.4</v>
      </c>
      <c r="E27" s="47">
        <v>0.4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inlineStr">
        <is>
          <t xml:space="preserve">ブロック率：今は不明なので仮に40%。その後は前の月×1.02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79904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N28" t="inlineStr">
        <is>
          <t xml:space="preserve">今の友だち 79,904人（プロフィールの表示・2026年10月）</t>
        </is>
      </c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4</v>
      </c>
      <c r="E30" s="45">
        <v>5</v>
      </c>
      <c r="F30" s="45">
        <v>5</v>
      </c>
      <c r="G30" s="45">
        <v>5</v>
      </c>
      <c r="H30" s="45">
        <v>5</v>
      </c>
      <c r="I30" s="45">
        <v>5</v>
      </c>
      <c r="J30" s="45">
        <v>5</v>
      </c>
      <c r="K30" s="11"/>
      <c r="L30" s="7"/>
      <c r="N30" s="69" t="inlineStr">
        <is>
          <t xml:space="preserve">企画配信 月5本（開始時期・エリア別に出し分け。対象は有効な友だちの80%、4か月目から反応しない方を外してさらに8割）。今は週1回（月4本）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inlineStr">
        <is>
          <t xml:space="preserve">ステップ配信5通（友だち追加から15日以内）。対象＝その月の新しい友だち（サンクスLINEで追加した応募済みの方は除く）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+(E26-E24)*E32*$P$26*$P$27*$P$36</f>
      </c>
      <c r="F33" s="63">
        <f>+(F26-F24)*F32*$P$26*$P$27*$P$36</f>
      </c>
      <c r="G33" s="63">
        <f>+(G26-G24)*G32*$P$26*$P$27*$P$36</f>
      </c>
      <c r="H33" s="63">
        <f>+(H26-H24)*H32*$P$26*$P$27*$P$36</f>
      </c>
      <c r="I33" s="63">
        <f>+(I26-I24)*I32*$P$26*$P$27*$P$36</f>
      </c>
      <c r="J33" s="63">
        <f>+(J26-J24)*J32*$P$26*$P$27*$P$36</f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f>ROUND(E35*0.003,0)</f>
      </c>
      <c r="F36" s="111">
        <f>ROUND(F35*0.0035,0)</f>
      </c>
      <c r="G36" s="111">
        <f>ROUND(G35*0.004,0)</f>
      </c>
      <c r="H36" s="111">
        <f>ROUND(H35*0.005,0)</f>
      </c>
      <c r="I36" s="111">
        <f>ROUND(I35*0.0055,0)</f>
      </c>
      <c r="J36" s="111">
        <f>ROUND(J35*0.006,0)</f>
      </c>
      <c r="K36" s="115">
        <f>SUM(E36:J36)</f>
      </c>
      <c r="L36" s="7"/>
      <c r="N36" s="69" t="inlineStr">
        <is>
          <t xml:space="preserve">応募＝想定クリック×0.3〜0.6%（運用が育つ想定で月ごとに上げる）。サンクスLINEで追加した方は応募済みなので数えない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134</v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+IFERROR(E40/E35,0)</f>
      </c>
      <c r="F41" s="18">
        <f t="shared" ref="F41:J41" si="16">+IFERROR(F40/F35,0)</f>
      </c>
      <c r="G41" s="18">
        <f t="shared" si="16"/>
      </c>
      <c r="H41" s="18">
        <f t="shared" si="16"/>
      </c>
      <c r="I41" s="18">
        <f t="shared" si="16"/>
      </c>
      <c r="J41" s="18">
        <f t="shared" si="16"/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SUM(E65:E68)+SUM(E71:E72)</f>
      </c>
      <c r="F45" s="27">
        <f>SUM(F65:F68)+SUM(F71:F72)</f>
      </c>
      <c r="G45" s="27">
        <f>SUM(G65:G68)+SUM(G71:G72)</f>
      </c>
      <c r="H45" s="27">
        <f>SUM(H65:H68)+SUM(H71:H72)</f>
      </c>
      <c r="I45" s="27">
        <f>SUM(I65:I68)+SUM(I71:I72)</f>
      </c>
      <c r="J45" s="27">
        <f>SUM(J65:J68)+SUM(J71:J72)</f>
      </c>
      <c r="K45" s="11"/>
      <c r="L45" s="7"/>
      <c r="N45" t="inlineStr">
        <is>
          <t xml:space="preserve">成果報酬型の固定費＝ツール・アカウント費・通数費（コンサル費は入れない）。成果報酬＝応募×単価</t>
        </is>
      </c>
    </row>
    <row r="46" spans="1:17" x14ac:dyDescent="0.4">
      <c r="A46" s="120" t="s">
        <v>18</v>
      </c>
      <c r="B46" s="121"/>
      <c r="C46" s="103"/>
      <c r="D46" s="16" t="s">
        <v>23</v>
      </c>
      <c r="E46" s="28">
        <f t="shared" ref="E46:J46" si="19">+SUM(E65:E67)/(E28-D28)</f>
      </c>
      <c r="F46" s="28">
        <f t="shared" si="19"/>
      </c>
      <c r="G46" s="28">
        <f t="shared" si="19"/>
      </c>
      <c r="H46" s="28">
        <f t="shared" si="19"/>
      </c>
      <c r="I46" s="28">
        <f t="shared" si="19"/>
      </c>
      <c r="J46" s="28">
        <f t="shared" si="19"/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 t="shared" ref="E48:J48" si="21">+SUM(E36:E39)/E35</f>
      </c>
      <c r="F48" s="32">
        <f t="shared" si="21"/>
      </c>
      <c r="G48" s="32">
        <f t="shared" si="21"/>
      </c>
      <c r="H48" s="32">
        <f t="shared" si="21"/>
      </c>
      <c r="I48" s="32">
        <f t="shared" si="21"/>
      </c>
      <c r="J48" s="32">
        <f t="shared" si="21"/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  <c r="N54" t="inlineStr">
        <is>
          <t xml:space="preserve">通数費は54行（新料金テーブル）で計算</t>
        </is>
      </c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+SUM(E65:E67)/(E28-D28)</f>
      </c>
      <c r="F56" s="28">
        <f t="shared" ref="F56:J56" si="27">+SUM(F65:F67)/(F28-E28)</f>
      </c>
      <c r="G56" s="28">
        <f t="shared" si="27"/>
      </c>
      <c r="H56" s="28">
        <f t="shared" si="27"/>
      </c>
      <c r="I56" s="28">
        <f t="shared" si="27"/>
      </c>
      <c r="J56" s="28">
        <f t="shared" si="27"/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 t="shared" ref="E58:J58" si="29">+SUM(E36:E39)/E35</f>
      </c>
      <c r="F58" s="32">
        <f t="shared" si="29"/>
      </c>
      <c r="G58" s="32">
        <f t="shared" si="29"/>
      </c>
      <c r="H58" s="32">
        <f t="shared" si="29"/>
      </c>
      <c r="I58" s="32">
        <f t="shared" si="29"/>
      </c>
      <c r="J58" s="32">
        <f t="shared" si="29"/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4">
      <c r="A66" s="53" t="s">
        <v>51</v>
      </c>
      <c r="B66" s="6" t="inlineStr">
        <is>
          <t xml:space="preserve">ポップアップ</t>
        </is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ポップアップ：初期1.5万円・月3万円（プランの月額に込み）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inlineStr">
        <is>
          <t xml:space="preserve">サンクスLINE誘導：オプション（初期15万円・月3万円〜）</t>
        </is>
      </c>
    </row>
    <row r="68" spans="1:16" x14ac:dyDescent="0.4">
      <c r="A68" s="15"/>
      <c r="B68" s="6" t="s">
        <v>49</v>
      </c>
      <c r="C68" s="90">
        <v>0</v>
      </c>
      <c r="D68" s="51">
        <v>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アカウント費：FMTの式。初期は0（アカウントは既にある）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</t>
        </is>
      </c>
      <c r="C69" s="90">
        <v>0</v>
      </c>
      <c r="D69" s="51">
        <v>100000</v>
      </c>
      <c r="E69" s="28">
        <v>270000</v>
      </c>
      <c r="F69" s="28">
        <v>270000</v>
      </c>
      <c r="G69" s="28">
        <v>270000</v>
      </c>
      <c r="H69" s="28">
        <v>270000</v>
      </c>
      <c r="I69" s="28">
        <v>270000</v>
      </c>
      <c r="J69" s="28">
        <v>270000</v>
      </c>
      <c r="N69" s="69" t="inlineStr">
        <is>
          <t xml:space="preserve">LINE運用コンサル：初期10万円〜（運用設計・構築）・月額27万円（ポップアップ3万円と合わせてプランの月額30万円）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73FE-0AD0-594D-8A64-279123A555D2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+'SIM②_月5投稿'!D24</f>
      </c>
      <c r="D4" s="28">
        <f>+'SIM②_月5投稿'!G51</f>
      </c>
      <c r="E4" s="28">
        <f>+'SIM②_月5投稿'!J51</f>
      </c>
      <c r="F4" s="28"/>
    </row>
    <row r="5" spans="1:25" x14ac:dyDescent="0.4">
      <c r="A5" s="85" t="s">
        <v>167</v>
      </c>
      <c r="B5" s="7"/>
      <c r="C5" s="86">
        <f>+'SIM②_月5投稿'!D25</f>
      </c>
      <c r="D5" s="28">
        <f>+'SIM②_月5投稿'!G61</f>
      </c>
      <c r="E5" s="28">
        <f>+'SIM②_月5投稿'!J61</f>
      </c>
      <c r="F5" s="27"/>
    </row>
    <row r="6" spans="1:25" x14ac:dyDescent="0.4">
      <c r="A6" s="85" t="s">
        <v>83</v>
      </c>
      <c r="B6" s="7"/>
      <c r="C6" s="117">
        <f>+'SIM②_月5投稿'!D28</f>
      </c>
      <c r="D6" s="87">
        <f>+'SIM②_月5投稿'!G28</f>
      </c>
      <c r="E6" s="87">
        <f>+'SIM②_月5投稿'!J28</f>
      </c>
      <c r="F6" s="10"/>
    </row>
    <row r="7" spans="1:25" x14ac:dyDescent="0.4">
      <c r="A7" s="85" t="s">
        <v>84</v>
      </c>
      <c r="B7" s="7"/>
      <c r="C7" s="88">
        <f>+'SIM②_月5投稿'!D27</f>
      </c>
      <c r="D7" s="89">
        <f>+'SIM②_月5投稿'!G27</f>
      </c>
      <c r="E7" s="89">
        <f>+'SIM②_月5投稿'!J27</f>
      </c>
      <c r="F7" s="89"/>
    </row>
    <row r="8" spans="1:25" x14ac:dyDescent="0.4">
      <c r="A8" s="85" t="s">
        <v>85</v>
      </c>
      <c r="B8" s="7"/>
      <c r="C8" s="117">
        <f>+'SIM②_月5投稿'!D29</f>
      </c>
      <c r="D8" s="10">
        <f>+'SIM②_月5投稿'!G29</f>
      </c>
      <c r="E8" s="10">
        <f>+'SIM②_月5投稿'!J29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+'SIM②_月5投稿'!D34</f>
      </c>
      <c r="D10" s="10">
        <f>+'SIM②_月5投稿'!G34</f>
      </c>
      <c r="E10" s="10">
        <f>+'SIM②_月5投稿'!J34</f>
      </c>
      <c r="F10" s="10"/>
    </row>
    <row r="11" spans="1:25" x14ac:dyDescent="0.4">
      <c r="A11" s="85" t="s">
        <v>90</v>
      </c>
      <c r="B11" s="7"/>
      <c r="C11" s="117">
        <f>+'SIM②_月5投稿'!D35</f>
      </c>
      <c r="D11" s="10">
        <f>+'SIM②_月5投稿'!G35</f>
      </c>
      <c r="E11" s="10">
        <f>+'SIM②_月5投稿'!J35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応募（サイト全体・月）</t>
        </is>
      </c>
      <c r="B15" s="7"/>
      <c r="C15" s="87">
        <f>+'SIM②_月5投稿'!D16</f>
      </c>
      <c r="D15" s="87">
        <f>+'SIM②_月5投稿'!G16</f>
      </c>
      <c r="E15" s="87">
        <f>+'SIM②_月5投稿'!J16</f>
      </c>
      <c r="F15" s="87"/>
      <c r="R15" s="5" t="s">
        <v>59</v>
      </c>
    </row>
    <row r="16" spans="1:25" x14ac:dyDescent="0.4">
      <c r="A16" s="85" t="inlineStr">
        <is>
          <t xml:space="preserve">応募（+LINEOA施策）</t>
        </is>
      </c>
      <c r="B16" s="7"/>
      <c r="C16" s="87">
        <f>+C17</f>
      </c>
      <c r="D16" s="87">
        <f>+D17</f>
      </c>
      <c r="E16" s="87">
        <f>+E17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CV①_応募（LINE経由）</t>
        </is>
      </c>
      <c r="B17" s="7"/>
      <c r="C17" s="87">
        <f>+'SIM②_月5投稿'!D36</f>
      </c>
      <c r="D17" s="87">
        <f>+'SIM②_月5投稿'!G36</f>
      </c>
      <c r="E17" s="87">
        <f>+'SIM②_月5投稿'!J36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-</t>
        </is>
      </c>
      <c r="B18" s="7"/>
      <c r="C18" s="87">
        <f>+'SIM②_月5投稿'!D37</f>
      </c>
      <c r="D18" s="87">
        <f>+'SIM②_月5投稿'!G37</f>
      </c>
      <c r="E18" s="87">
        <f>+'SIM②_月5投稿'!J37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+'SIM②_月5投稿'!D38</f>
      </c>
      <c r="D19" s="87">
        <f>+'SIM②_月5投稿'!G38</f>
      </c>
      <c r="E19" s="87">
        <f>+'SIM②_月5投稿'!J38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+'SIM②_月5投稿'!D39</f>
      </c>
      <c r="D20" s="87">
        <f>+'SIM②_月5投稿'!G39</f>
      </c>
      <c r="E20" s="87">
        <f>+'SIM②_月5投稿'!J39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+'SIM②_月5投稿'!E68+C29*C30</f>
      </c>
      <c r="D25" s="10">
        <f>+'SIM②_月5投稿'!G68+D29*D30</f>
      </c>
      <c r="E25" s="10">
        <f>+'SIM②_月5投稿'!J68+E29*E30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SIM①_月3投稿</vt:lpstr>
      <vt:lpstr>SIM①_比較</vt:lpstr>
      <vt:lpstr>SIM②_月5投稿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
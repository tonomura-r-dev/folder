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8B154F7D-5D78-4499-966A-91020CCACFA2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3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I36" i="1"/>
  <c r="H36" i="1"/>
  <c r="G36" i="1"/>
  <c r="F36" i="1"/>
  <c r="E36" i="1"/>
  <c r="E22" i="5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D34" i="3"/>
  <c r="Q33" i="3"/>
  <c r="P36" i="3" s="1"/>
  <c r="Q32" i="3"/>
  <c r="D29" i="3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P36" i="1" s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C23" i="4" l="1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E44" i="3"/>
  <c r="E51" i="3" s="1"/>
  <c r="E54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F40" i="3" l="1"/>
  <c r="F41" i="3" s="1"/>
  <c r="F50" i="3"/>
  <c r="F76" i="3"/>
  <c r="E41" i="3"/>
  <c r="E47" i="3"/>
  <c r="E49" i="3"/>
  <c r="E61" i="3"/>
  <c r="E57" i="3" s="1"/>
  <c r="E73" i="3"/>
  <c r="E55" i="3"/>
  <c r="E59" i="3" s="1"/>
  <c r="E41" i="1"/>
  <c r="F48" i="1"/>
  <c r="F58" i="1"/>
  <c r="F68" i="1"/>
  <c r="F45" i="1" s="1"/>
  <c r="F75" i="1"/>
  <c r="I28" i="1"/>
  <c r="H29" i="1"/>
  <c r="H46" i="1"/>
  <c r="H56" i="1"/>
  <c r="G31" i="1"/>
  <c r="G35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F50" i="1" l="1"/>
  <c r="F40" i="1"/>
  <c r="F76" i="1"/>
  <c r="J28" i="1"/>
  <c r="I29" i="1"/>
  <c r="I46" i="1"/>
  <c r="I56" i="1"/>
  <c r="H31" i="1"/>
  <c r="H35" i="1" s="1"/>
  <c r="H34" i="1"/>
  <c r="D11" i="2"/>
  <c r="G68" i="1"/>
  <c r="D10" i="2"/>
  <c r="D29" i="2" s="1"/>
  <c r="D30" i="2" s="1"/>
  <c r="G75" i="1"/>
  <c r="G36" i="3"/>
  <c r="G48" i="3"/>
  <c r="G5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7" i="1" s="1"/>
  <c r="F41" i="1"/>
  <c r="F49" i="1"/>
  <c r="F61" i="1"/>
  <c r="F57" i="1" s="1"/>
  <c r="F73" i="1"/>
  <c r="F55" i="1"/>
  <c r="F59" i="1" s="1"/>
  <c r="J29" i="1"/>
  <c r="J46" i="1"/>
  <c r="J56" i="1"/>
  <c r="E6" i="2"/>
  <c r="I31" i="1"/>
  <c r="I35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G44" i="3"/>
  <c r="G51" i="3" s="1"/>
  <c r="G54" i="3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G51" i="1" l="1"/>
  <c r="G49" i="1" s="1"/>
  <c r="J31" i="1"/>
  <c r="J35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D4" i="4"/>
  <c r="G47" i="3"/>
  <c r="G49" i="3"/>
  <c r="G61" i="3"/>
  <c r="G73" i="3"/>
  <c r="G55" i="3"/>
  <c r="G59" i="3" s="1"/>
  <c r="J31" i="3"/>
  <c r="J35" i="3" s="1"/>
  <c r="J34" i="3"/>
  <c r="E8" i="4"/>
  <c r="I36" i="3"/>
  <c r="I48" i="3"/>
  <c r="I58" i="3"/>
  <c r="I68" i="3"/>
  <c r="I45" i="3" s="1"/>
  <c r="I75" i="3"/>
  <c r="H40" i="3"/>
  <c r="H50" i="3"/>
  <c r="H76" i="3"/>
  <c r="G41" i="1"/>
  <c r="H58" i="3"/>
  <c r="H48" i="3"/>
  <c r="H54" i="1" l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I44" i="1" s="1"/>
  <c r="I51" i="1" s="1"/>
  <c r="I54" i="1"/>
  <c r="H61" i="1"/>
  <c r="H57" i="1" s="1"/>
  <c r="H73" i="1"/>
  <c r="H55" i="1"/>
  <c r="H59" i="1" s="1"/>
  <c r="D5" i="2"/>
  <c r="G57" i="1"/>
  <c r="D12" i="4"/>
  <c r="D22" i="4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H47" i="1" l="1"/>
  <c r="H49" i="1"/>
  <c r="D12" i="2"/>
  <c r="D22" i="2"/>
  <c r="J50" i="1"/>
  <c r="J40" i="1"/>
  <c r="E17" i="2"/>
  <c r="E16" i="2" s="1"/>
  <c r="E25" i="2"/>
  <c r="J45" i="1"/>
  <c r="J76" i="1"/>
  <c r="I41" i="1"/>
  <c r="I47" i="1"/>
  <c r="I49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J44" i="3"/>
  <c r="J51" i="3" s="1"/>
  <c r="J54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1" i="1" l="1"/>
  <c r="K40" i="1"/>
  <c r="J54" i="1"/>
  <c r="J44" i="1"/>
  <c r="J51" i="1" s="1"/>
  <c r="J61" i="1"/>
  <c r="J73" i="1"/>
  <c r="J55" i="1"/>
  <c r="J59" i="1" s="1"/>
  <c r="K40" i="3"/>
  <c r="J41" i="3"/>
  <c r="E4" i="4"/>
  <c r="J47" i="3"/>
  <c r="J49" i="3"/>
  <c r="J61" i="3"/>
  <c r="J73" i="3"/>
  <c r="J55" i="3"/>
  <c r="J59" i="3" s="1"/>
  <c r="E4" i="2" l="1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<sst xmlns="http://schemas.openxmlformats.org/spreadsheetml/2006/main" count="507" uniqueCount="201">
  <si>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</si>
  <si>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</si>
  <si>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</si>
  <si>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</si>
  <si>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</si>
  <si>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</si>
  <si>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</si>
  <si>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</si>
  <si>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</si>
  <si>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</si>
  <si>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</si>
  <si>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</si>
  <si>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</si>
  <si>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</si>
  <si>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</si>
  <si>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</si>
  <si>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</si>
  <si>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</si>
  <si>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</si>
  <si>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</si>
  <si>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</si>
  <si>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</si>
  <si>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</si>
  <si>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</si>
  <si>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</si>
  <si>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</si>
  <si>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</si>
  <si>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</si>
  <si>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</si>
  <si>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</si>
  <si>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</si>
  <si>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</si>
  <si>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</si>
  <si>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</si>
  <si>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</si>
  <si>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</si>
  <si>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</si>
  <si>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</si>
  <si>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</si>
  <si>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</si>
  <si>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</si>
  <si>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</si>
  <si>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</si>
  <si>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</si>
  <si>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</si>
  <si>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</si>
  <si>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</si>
  <si>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</si>
  <si>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</si>
  <si>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</si>
  <si>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</si>
  <si>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</si>
  <si>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</si>
  <si>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</si>
  <si>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</si>
  <si>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</si>
  <si>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</si>
  <si>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</si>
  <si>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</si>
  <si>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</si>
  <si>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</si>
  <si>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</si>
  <si>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</si>
  <si>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</si>
  <si>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</si>
  <si>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</si>
  <si>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</si>
  <si>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</si>
  <si>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</si>
  <si>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</si>
  <si>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</si>
  <si>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</si>
  <si>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</si>
  <si>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</si>
  <si>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</si>
  <si>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</si>
  <si>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</si>
  <si>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</si>
  <si>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</si>
  <si>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</si>
  <si>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</si>
  <si>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</si>
  <si>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</si>
  <si>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</si>
  <si>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</si>
  <si>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</si>
  <si>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</si>
  <si>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</si>
  <si>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</si>
  <si>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</si>
  <si>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</si>
  <si>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</si>
  <si>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</si>
  <si>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</si>
  <si>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</si>
  <si>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</si>
  <si>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</si>
  <si>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</si>
  <si>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</si>
  <si>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</si>
  <si>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</si>
  <si>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</si>
  <si>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</si>
  <si>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</si>
  <si>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</si>
  <si>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</si>
  <si>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</si>
  <si>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</si>
  <si>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</si>
  <si>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</si>
  <si>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</si>
  <si>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</si>
  <si>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</si>
  <si>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</si>
  <si>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</si>
  <si>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</si>
  <si>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</si>
  <si>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</si>
  <si>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</si>
  <si>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</si>
  <si>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</si>
  <si>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</si>
  <si>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</si>
  <si>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</si>
  <si>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</si>
  <si>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</si>
  <si>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</si>
  <si>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</si>
  <si>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</si>
  <si>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</si>
  <si>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</si>
  <si>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</si>
  <si>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</si>
  <si>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</si>
  <si>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</si>
  <si>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</si>
  <si>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</si>
  <si>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</si>
  <si>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</si>
  <si>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</si>
  <si>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</si>
  <si>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</si>
  <si>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</si>
  <si>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</si>
  <si>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</si>
  <si>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</si>
  <si>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</si>
  <si>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</si>
  <si>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</si>
  <si>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</si>
  <si>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</si>
  <si>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</si>
  <si>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</si>
  <si>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</si>
  <si>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</si>
  <si>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</si>
  <si>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</si>
  <si>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</si>
  <si>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</si>
  <si>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</si>
  <si>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</si>
  <si>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</si>
  <si>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</si>
  <si>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株式会社ワクトリ御中_LINEOA施策提案【SIM】プラン①（月3投稿）：ポップアップ＋サンクスLINE</t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</si>
  <si>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</si>
  <si>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</si>
  <si>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</si>
  <si>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</si>
  <si>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</si>
  <si>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</si>
  <si>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</si>
  <si>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</si>
  <si>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</si>
  <si>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</si>
  <si>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</si>
  <si>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</si>
  <si>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</si>
  <si>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</si>
  <si>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</si>
  <si>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</si>
  <si>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</si>
  <si>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月3本（開始時期・エリア別に出し分け。対象は有効な友だちの80%、4か月目から反応しない方を外してさらに8割）。今は週1回（月4本）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</si>
  <si>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</si>
  <si>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</si>
  <si>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</si>
  <si>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</si>
  <si>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</si>
  <si>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</si>
  <si>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</si>
  <si>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</si>
  <si>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</si>
  <si>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</si>
  <si>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LINE運用コンサル：初期10万円〜（運用設計・構築）・月額17万円（ポップアップ3万円と合わせてプランの月額20万円）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</si>
  <si>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</si>
  <si>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</si>
  <si>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</si>
  <si>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</si>
  <si>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</si>
  <si>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</si>
  <si>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</si>
  <si>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LINE運用コンサル：初期10万円〜（運用設計・構築）・月額27万円（ポップアップ3万円と合わせてプランの月額30万円）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</si>
</sst>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14" zoomScale="55" zoomScaleNormal="55" workbookViewId="0">
      <selection activeCell="K69" sqref="K69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163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164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165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166</v>
      </c>
      <c r="H10" s="125">
        <v>400</v>
      </c>
      <c r="I10" s="22" t="s">
        <v>156</v>
      </c>
      <c r="J10" s="29"/>
      <c r="K10" s="118"/>
      <c r="N10" s="132" t="s">
        <v>167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168</v>
      </c>
      <c r="F13" s="36" t="s">
        <v>169</v>
      </c>
      <c r="G13" s="36" t="s">
        <v>170</v>
      </c>
      <c r="H13" s="36" t="s">
        <v>171</v>
      </c>
      <c r="I13" s="36" t="s">
        <v>172</v>
      </c>
      <c r="J13" s="36" t="s">
        <v>173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175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176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144</v>
      </c>
      <c r="F24" s="63">
        <f t="shared" si="4"/>
        <v>144</v>
      </c>
      <c r="G24" s="63">
        <f t="shared" si="4"/>
        <v>144</v>
      </c>
      <c r="H24" s="63">
        <f t="shared" si="4"/>
        <v>144</v>
      </c>
      <c r="I24" s="63">
        <f t="shared" si="4"/>
        <v>144</v>
      </c>
      <c r="J24" s="63">
        <f t="shared" si="4"/>
        <v>144</v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1253.66004</v>
      </c>
      <c r="F26" s="46">
        <f t="shared" ref="F26:J26" si="6">+SUM(F22:F25)+$H$9*$P$16+($H$8-$H$9)*$P$15</f>
        <v>1253.66004</v>
      </c>
      <c r="G26" s="46">
        <f>+SUM(G22:G25)+$H$9*$P$16+($H$8-$H$9)*$P$15</f>
        <v>1260.4622904</v>
      </c>
      <c r="H26" s="46">
        <f t="shared" si="6"/>
        <v>1267.3325633040001</v>
      </c>
      <c r="I26" s="46">
        <f t="shared" si="6"/>
        <v>1274.2715389370401</v>
      </c>
      <c r="J26" s="46">
        <f t="shared" si="6"/>
        <v>1281.2799043264106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0.34100000000000003</v>
      </c>
      <c r="E27" s="107">
        <v>0.34100000000000003</v>
      </c>
      <c r="F27" s="47">
        <f>ROUND(E27*1.02,3)</f>
        <v>0.34799999999999998</v>
      </c>
      <c r="G27" s="47">
        <f>ROUND(F27*1.02,3)</f>
        <v>0.35499999999999998</v>
      </c>
      <c r="H27" s="47">
        <f>ROUND(G27*1.02,3)</f>
        <v>0.36199999999999999</v>
      </c>
      <c r="I27" s="47">
        <f>ROUND(H27*1.02,3)</f>
        <v>0.36899999999999999</v>
      </c>
      <c r="J27" s="47">
        <f>ROUND(I27*1.02,3)</f>
        <v>0.376</v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81157.660040000002</v>
      </c>
      <c r="F28" s="49">
        <f t="shared" ref="F28:J28" si="7">+E28+F26</f>
        <v>82411.320080000005</v>
      </c>
      <c r="G28" s="49">
        <f t="shared" si="7"/>
        <v>83671.782370400004</v>
      </c>
      <c r="H28" s="49">
        <f t="shared" si="7"/>
        <v>84939.114933703997</v>
      </c>
      <c r="I28" s="49">
        <f t="shared" si="7"/>
        <v>86213.386472641039</v>
      </c>
      <c r="J28" s="49">
        <f t="shared" si="7"/>
        <v>87494.666376967449</v>
      </c>
      <c r="K28" s="12"/>
      <c r="L28" s="7"/>
      <c r="N28" t="s">
        <v>180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52656.736000000004</v>
      </c>
      <c r="E29" s="50">
        <f>+E28*(1-E27)</f>
        <v>53482.897966360004</v>
      </c>
      <c r="F29" s="50">
        <f t="shared" ref="F29:J29" si="8">+F28*(1-F27)</f>
        <v>53732.180692160007</v>
      </c>
      <c r="G29" s="50">
        <f t="shared" si="8"/>
        <v>53968.299628908004</v>
      </c>
      <c r="H29" s="50">
        <f t="shared" si="8"/>
        <v>54191.155327703149</v>
      </c>
      <c r="I29" s="50">
        <f t="shared" si="8"/>
        <v>54400.6468642365</v>
      </c>
      <c r="J29" s="50">
        <f t="shared" si="8"/>
        <v>54596.671819227689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181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6044.9932928000007</v>
      </c>
      <c r="E31" s="63">
        <f>+E29*E30*$P$24*$P$22*$P$23*$P$36</f>
        <v>14658.567002828933</v>
      </c>
      <c r="F31" s="63">
        <f>+F29*F30*$P$24*$P$22*$P$23*$P$36</f>
        <v>14726.890292660493</v>
      </c>
      <c r="G31" s="63">
        <f>+G29*G30*$P$24*$P$22*$P$23*$P$36</f>
        <v>14791.605657507293</v>
      </c>
      <c r="H31" s="63">
        <f>+H29*H30*$P$24*$P$22*$P$23*$P$36*$Q$24</f>
        <v>11882.148672369864</v>
      </c>
      <c r="I31" s="63">
        <f>+I29*I30*$P$24*$P$22*$P$23*$P$36*$Q$24</f>
        <v>11928.082544191562</v>
      </c>
      <c r="J31" s="63">
        <f>+J29*J30*$P$24*$P$22*$P$23*$P$36*$Q$24</f>
        <v>11971.063684649169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182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210626.94400000002</v>
      </c>
      <c r="E34" s="46">
        <f>+E29*E30*$P$24+E26*E32</f>
        <v>134627.25531926402</v>
      </c>
      <c r="F34" s="46">
        <f>+F29*F30*$P$24+F26*F32</f>
        <v>135225.53386118403</v>
      </c>
      <c r="G34" s="46">
        <f>+G29*G30*$P$24+G26*G32</f>
        <v>135826.23056137923</v>
      </c>
      <c r="H34" s="46">
        <f>+H29*H30*$P$24*$Q$24+H26*H32</f>
        <v>110383.68104571004</v>
      </c>
      <c r="I34" s="46">
        <f>+I29*I30*$P$24*$Q$24+I26*I32</f>
        <v>110820.59967401929</v>
      </c>
      <c r="J34" s="46">
        <f>+J29*J30*$P$24*$Q$24+J26*J32</f>
        <v>111232.00941454922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6165.8931586560011</v>
      </c>
      <c r="E35" s="50">
        <f>+E31+E33+1.05*(E31+E33)</f>
        <v>31498.84690447426</v>
      </c>
      <c r="F35" s="50">
        <f t="shared" ref="F35:J35" si="11">+F31+F33+1.05*(F31+F33)</f>
        <v>31638.909648628964</v>
      </c>
      <c r="G35" s="50">
        <f t="shared" si="11"/>
        <v>31780.457240702286</v>
      </c>
      <c r="H35" s="50">
        <f t="shared" si="11"/>
        <v>25825.040326249316</v>
      </c>
      <c r="I35" s="50">
        <f t="shared" si="11"/>
        <v>25928.264367613352</v>
      </c>
      <c r="J35" s="50">
        <f t="shared" si="11"/>
        <v>26025.52590572229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126</v>
      </c>
      <c r="F36" s="111">
        <f>ROUND(F35*0.0045,0)</f>
        <v>142</v>
      </c>
      <c r="G36" s="111">
        <f>ROUND(G35*0.0055,0)</f>
        <v>175</v>
      </c>
      <c r="H36" s="111">
        <f>ROUND(H35*0.0065,0)</f>
        <v>168</v>
      </c>
      <c r="I36" s="111">
        <f>ROUND(I35*0.0075,0)</f>
        <v>194</v>
      </c>
      <c r="J36" s="111">
        <f>ROUND(J35*0.009,0)</f>
        <v>234</v>
      </c>
      <c r="K36" s="115">
        <f>SUM(E36:J36)</f>
        <v>1039</v>
      </c>
      <c r="L36" s="7"/>
      <c r="N36" s="69" t="s">
        <v>183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126</v>
      </c>
      <c r="F40" s="10">
        <f t="shared" si="12"/>
        <v>142</v>
      </c>
      <c r="G40" s="10">
        <f t="shared" si="12"/>
        <v>175</v>
      </c>
      <c r="H40" s="10">
        <f t="shared" si="12"/>
        <v>168</v>
      </c>
      <c r="I40" s="10">
        <f t="shared" si="12"/>
        <v>194</v>
      </c>
      <c r="J40" s="10">
        <f t="shared" si="12"/>
        <v>234</v>
      </c>
      <c r="K40" s="115">
        <f>SUM(E40:J40)</f>
        <v>1039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4.0001464301889196E-3</v>
      </c>
      <c r="F41" s="18">
        <f t="shared" ref="F41:J41" si="14">+IFERROR(F40/F35,0)</f>
        <v>4.4881445529256223E-3</v>
      </c>
      <c r="G41" s="18">
        <f t="shared" si="14"/>
        <v>5.5065287033023453E-3</v>
      </c>
      <c r="H41" s="18">
        <f t="shared" si="14"/>
        <v>6.5053141399837406E-3</v>
      </c>
      <c r="I41" s="18">
        <f t="shared" si="14"/>
        <v>7.4821822721895265E-3</v>
      </c>
      <c r="J41" s="18">
        <f t="shared" si="14"/>
        <v>8.9911727758227502E-3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313881.76595779206</v>
      </c>
      <c r="F44" s="31">
        <f t="shared" ref="F44:J44" si="15">+F75*F76</f>
        <v>315676.60158355208</v>
      </c>
      <c r="G44" s="31">
        <f t="shared" si="15"/>
        <v>317478.69168413768</v>
      </c>
      <c r="H44" s="31">
        <f t="shared" si="15"/>
        <v>241151.04313713009</v>
      </c>
      <c r="I44" s="31">
        <f t="shared" si="15"/>
        <v>242461.79902205788</v>
      </c>
      <c r="J44" s="31">
        <f t="shared" si="15"/>
        <v>243696.02824364766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365000</v>
      </c>
      <c r="E45" s="27">
        <f t="shared" ref="E45:J45" si="16">SUM(E65:E68)+SUM(E71:E72)</f>
        <v>75000</v>
      </c>
      <c r="F45" s="27">
        <f t="shared" si="16"/>
        <v>75000</v>
      </c>
      <c r="G45" s="27">
        <f t="shared" si="16"/>
        <v>75000</v>
      </c>
      <c r="H45" s="27">
        <f t="shared" si="16"/>
        <v>75000</v>
      </c>
      <c r="I45" s="27">
        <f t="shared" si="16"/>
        <v>75000</v>
      </c>
      <c r="J45" s="27">
        <f t="shared" si="16"/>
        <v>75000</v>
      </c>
      <c r="K45" s="11"/>
      <c r="L45" s="7"/>
      <c r="N45" t="s">
        <v>184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47.859864784395519</v>
      </c>
      <c r="F46" s="28">
        <f t="shared" si="17"/>
        <v>47.859864784395519</v>
      </c>
      <c r="G46" s="28">
        <f t="shared" si="17"/>
        <v>47.601582734346948</v>
      </c>
      <c r="H46" s="28">
        <f t="shared" si="17"/>
        <v>47.343532185093785</v>
      </c>
      <c r="I46" s="28">
        <f t="shared" si="17"/>
        <v>47.085725582516055</v>
      </c>
      <c r="J46" s="28">
        <f t="shared" si="17"/>
        <v>46.828175324846775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12.345904824298609</v>
      </c>
      <c r="F47" s="28">
        <f t="shared" si="18"/>
        <v>12.347979305300795</v>
      </c>
      <c r="G47" s="28">
        <f t="shared" si="18"/>
        <v>12.349686749675747</v>
      </c>
      <c r="H47" s="28">
        <f t="shared" si="18"/>
        <v>12.242034829110608</v>
      </c>
      <c r="I47" s="28">
        <f t="shared" si="18"/>
        <v>12.243850746083691</v>
      </c>
      <c r="J47" s="28">
        <f>+J51/J35</f>
        <v>12.245517320115912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4.0001464301889196E-3</v>
      </c>
      <c r="F48" s="32">
        <f t="shared" si="19"/>
        <v>4.4881445529256223E-3</v>
      </c>
      <c r="G48" s="32">
        <f t="shared" si="19"/>
        <v>5.5065287033023453E-3</v>
      </c>
      <c r="H48" s="32">
        <f t="shared" si="19"/>
        <v>6.5053141399837406E-3</v>
      </c>
      <c r="I48" s="32">
        <f t="shared" si="19"/>
        <v>7.4821822721895265E-3</v>
      </c>
      <c r="J48" s="32">
        <f t="shared" si="19"/>
        <v>8.9911727758227502E-3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3086.3632218872385</v>
      </c>
      <c r="F49" s="28">
        <f t="shared" ref="F49:J49" si="20">+IFERROR(F51/SUM(F36:F39),0)</f>
        <v>2751.2436731236062</v>
      </c>
      <c r="G49" s="28">
        <f t="shared" si="20"/>
        <v>2242.7353810522154</v>
      </c>
      <c r="H49" s="28">
        <f t="shared" si="20"/>
        <v>1881.8514472448219</v>
      </c>
      <c r="I49" s="28">
        <f t="shared" si="20"/>
        <v>1636.4010258868964</v>
      </c>
      <c r="J49" s="28">
        <f t="shared" si="20"/>
        <v>1361.9488386480668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365000</v>
      </c>
      <c r="E51" s="40">
        <f>SUM(E45,E50)+E44</f>
        <v>388881.76595779206</v>
      </c>
      <c r="F51" s="40">
        <f t="shared" ref="F51:I51" si="22">SUM(F45,F50)+F44</f>
        <v>390676.60158355208</v>
      </c>
      <c r="G51" s="40">
        <f t="shared" si="22"/>
        <v>392478.69168413768</v>
      </c>
      <c r="H51" s="40">
        <f t="shared" si="22"/>
        <v>316151.04313713009</v>
      </c>
      <c r="I51" s="40">
        <f t="shared" si="22"/>
        <v>317461.79902205791</v>
      </c>
      <c r="J51" s="40">
        <f>SUM(J45,J50)+J44</f>
        <v>318696.02824364766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541880.83200000005</v>
      </c>
      <c r="E54" s="28">
        <f t="shared" ref="E54:J54" si="23">+E75*E76</f>
        <v>313881.76595779206</v>
      </c>
      <c r="F54" s="28">
        <f t="shared" si="23"/>
        <v>315676.60158355208</v>
      </c>
      <c r="G54" s="28">
        <f t="shared" si="23"/>
        <v>317478.69168413768</v>
      </c>
      <c r="H54" s="28">
        <f t="shared" si="23"/>
        <v>241151.04313713009</v>
      </c>
      <c r="I54" s="28">
        <f t="shared" si="23"/>
        <v>242461.79902205788</v>
      </c>
      <c r="J54" s="28">
        <f t="shared" si="23"/>
        <v>243696.02824364766</v>
      </c>
      <c r="K54" s="11"/>
      <c r="L54" s="7"/>
      <c r="N54" t="s">
        <v>185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365000</v>
      </c>
      <c r="E55" s="27">
        <f>SUM(E65:E72)+E54</f>
        <v>688881.76595779206</v>
      </c>
      <c r="F55" s="27">
        <f t="shared" ref="F55:J55" si="24">SUM(F65:F72)+F54</f>
        <v>690676.60158355208</v>
      </c>
      <c r="G55" s="27">
        <f t="shared" si="24"/>
        <v>692478.69168413768</v>
      </c>
      <c r="H55" s="27">
        <f t="shared" si="24"/>
        <v>616151.04313713009</v>
      </c>
      <c r="I55" s="27">
        <f t="shared" si="24"/>
        <v>617461.79902205791</v>
      </c>
      <c r="J55" s="27">
        <f t="shared" si="24"/>
        <v>618696.02824364766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47.859864784395519</v>
      </c>
      <c r="F56" s="28">
        <f t="shared" ref="F56:J56" si="25">+SUM(F65:F67)/(F28-E28)</f>
        <v>47.859864784395519</v>
      </c>
      <c r="G56" s="28">
        <f t="shared" si="25"/>
        <v>47.601582734346948</v>
      </c>
      <c r="H56" s="28">
        <f t="shared" si="25"/>
        <v>47.343532185093785</v>
      </c>
      <c r="I56" s="28">
        <f t="shared" si="25"/>
        <v>47.085725582516055</v>
      </c>
      <c r="J56" s="28">
        <f t="shared" si="25"/>
        <v>46.828175324846775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21.870062991415082</v>
      </c>
      <c r="F57" s="28">
        <f t="shared" ref="F57:J57" si="26">+F61/F35</f>
        <v>21.829974839650703</v>
      </c>
      <c r="G57" s="28">
        <f t="shared" si="26"/>
        <v>21.789450241051195</v>
      </c>
      <c r="H57" s="28">
        <f t="shared" si="26"/>
        <v>23.858667221938717</v>
      </c>
      <c r="I57" s="28">
        <f t="shared" si="26"/>
        <v>23.814235703077802</v>
      </c>
      <c r="J57" s="28">
        <f t="shared" si="26"/>
        <v>23.772661904504055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4.0001464301889196E-3</v>
      </c>
      <c r="F58" s="32">
        <f t="shared" si="27"/>
        <v>4.4881445529256223E-3</v>
      </c>
      <c r="G58" s="32">
        <f t="shared" si="27"/>
        <v>5.5065287033023453E-3</v>
      </c>
      <c r="H58" s="32">
        <f t="shared" si="27"/>
        <v>6.5053141399837406E-3</v>
      </c>
      <c r="I58" s="32">
        <f t="shared" si="27"/>
        <v>7.4821822721895265E-3</v>
      </c>
      <c r="J58" s="32">
        <f t="shared" si="27"/>
        <v>8.9911727758227502E-3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5467.3156028396197</v>
      </c>
      <c r="F59" s="28">
        <f t="shared" ref="F59:J59" si="28">+IFERROR(F55/F40,0)</f>
        <v>4863.9197294616342</v>
      </c>
      <c r="G59" s="28">
        <f t="shared" si="28"/>
        <v>3957.0210953379296</v>
      </c>
      <c r="H59" s="28">
        <f t="shared" si="28"/>
        <v>3667.5657329591077</v>
      </c>
      <c r="I59" s="28">
        <f t="shared" si="28"/>
        <v>3182.7927784642161</v>
      </c>
      <c r="J59" s="28">
        <f t="shared" si="28"/>
        <v>2644.0001206993488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365000</v>
      </c>
      <c r="E61" s="40">
        <f>+SUM(E65:E72)+E54</f>
        <v>688881.76595779206</v>
      </c>
      <c r="F61" s="40">
        <f t="shared" ref="F61:J61" si="29">+SUM(F65:F72)+F54</f>
        <v>690676.60158355208</v>
      </c>
      <c r="G61" s="40">
        <f t="shared" si="29"/>
        <v>692478.69168413768</v>
      </c>
      <c r="H61" s="40">
        <f t="shared" si="29"/>
        <v>616151.04313713009</v>
      </c>
      <c r="I61" s="40">
        <f t="shared" si="29"/>
        <v>617461.79902205791</v>
      </c>
      <c r="J61" s="40">
        <f t="shared" si="29"/>
        <v>618696.02824364766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186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187</v>
      </c>
    </row>
    <row r="67" spans="1:16" x14ac:dyDescent="0.55000000000000004">
      <c r="B67" s="6" t="s">
        <v>188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189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190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192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365000</v>
      </c>
      <c r="E73" s="114">
        <f t="shared" ref="E73:J73" si="31">SUM(E65:E72)+E54</f>
        <v>688881.76595779206</v>
      </c>
      <c r="F73" s="114">
        <f t="shared" si="31"/>
        <v>690676.60158355208</v>
      </c>
      <c r="G73" s="114">
        <f t="shared" si="31"/>
        <v>692478.69168413768</v>
      </c>
      <c r="H73" s="114">
        <f t="shared" si="31"/>
        <v>616151.04313713009</v>
      </c>
      <c r="I73" s="114">
        <f t="shared" si="31"/>
        <v>617461.79902205791</v>
      </c>
      <c r="J73" s="114">
        <f t="shared" si="31"/>
        <v>618696.02824364766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180626.94400000002</v>
      </c>
      <c r="E75" s="41">
        <f t="shared" si="32"/>
        <v>104627.25531926402</v>
      </c>
      <c r="F75" s="41">
        <f t="shared" si="32"/>
        <v>105225.53386118403</v>
      </c>
      <c r="G75" s="41">
        <f t="shared" si="32"/>
        <v>105826.23056137923</v>
      </c>
      <c r="H75" s="41">
        <f t="shared" si="32"/>
        <v>80383.681045710036</v>
      </c>
      <c r="I75" s="41">
        <f t="shared" si="32"/>
        <v>80820.599674019293</v>
      </c>
      <c r="J75" s="41">
        <f t="shared" si="32"/>
        <v>81232.009414549218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+SIM①_月3投稿!D24</f>
        <v>--</v>
      </c>
      <c r="D4" s="28">
        <f>+SIM①_月3投稿!G51</f>
        <v>392478.69168413768</v>
      </c>
      <c r="E4" s="28">
        <f>+SIM①_月3投稿!J51</f>
        <v>318696.02824364766</v>
      </c>
      <c r="F4" s="28"/>
    </row>
    <row r="5" spans="1:25" x14ac:dyDescent="0.55000000000000004">
      <c r="A5" s="85" t="s">
        <v>141</v>
      </c>
      <c r="B5" s="7"/>
      <c r="C5" s="86" t="str">
        <f>+SIM①_月3投稿!D25</f>
        <v>--</v>
      </c>
      <c r="D5" s="28">
        <f>+SIM①_月3投稿!G61</f>
        <v>692478.69168413768</v>
      </c>
      <c r="E5" s="28">
        <f>+SIM①_月3投稿!J61</f>
        <v>618696.02824364766</v>
      </c>
      <c r="F5" s="27"/>
    </row>
    <row r="6" spans="1:25" x14ac:dyDescent="0.55000000000000004">
      <c r="A6" s="85" t="s">
        <v>76</v>
      </c>
      <c r="B6" s="7"/>
      <c r="C6" s="117">
        <f>+SIM①_月3投稿!D28</f>
        <v>79904</v>
      </c>
      <c r="D6" s="87">
        <f>+SIM①_月3投稿!G28</f>
        <v>83671.782370400004</v>
      </c>
      <c r="E6" s="87">
        <f>+SIM①_月3投稿!J28</f>
        <v>87494.666376967449</v>
      </c>
      <c r="F6" s="10"/>
    </row>
    <row r="7" spans="1:25" x14ac:dyDescent="0.55000000000000004">
      <c r="A7" s="85" t="s">
        <v>77</v>
      </c>
      <c r="B7" s="7"/>
      <c r="C7" s="88">
        <f>+SIM①_月3投稿!D27</f>
        <v>0.34100000000000003</v>
      </c>
      <c r="D7" s="89">
        <f>+SIM①_月3投稿!G27</f>
        <v>0.35499999999999998</v>
      </c>
      <c r="E7" s="89">
        <f>+SIM①_月3投稿!J27</f>
        <v>0.376</v>
      </c>
      <c r="F7" s="89"/>
    </row>
    <row r="8" spans="1:25" x14ac:dyDescent="0.55000000000000004">
      <c r="A8" s="85" t="s">
        <v>78</v>
      </c>
      <c r="B8" s="7"/>
      <c r="C8" s="117">
        <f>+SIM①_月3投稿!D29</f>
        <v>52656.736000000004</v>
      </c>
      <c r="D8" s="10">
        <f>+SIM①_月3投稿!G29</f>
        <v>53968.299628908004</v>
      </c>
      <c r="E8" s="10">
        <f>+SIM①_月3投稿!J29</f>
        <v>54596.671819227689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+SIM①_月3投稿!D34</f>
        <v>210626.94400000002</v>
      </c>
      <c r="D10" s="10">
        <f>+SIM①_月3投稿!G34</f>
        <v>135826.23056137923</v>
      </c>
      <c r="E10" s="10">
        <f>+SIM①_月3投稿!J34</f>
        <v>111232.00941454922</v>
      </c>
      <c r="F10" s="10"/>
    </row>
    <row r="11" spans="1:25" x14ac:dyDescent="0.55000000000000004">
      <c r="A11" s="85" t="s">
        <v>81</v>
      </c>
      <c r="B11" s="7"/>
      <c r="C11" s="117">
        <f>+SIM①_月3投稿!D35</f>
        <v>6165.8931586560011</v>
      </c>
      <c r="D11" s="10">
        <f>+SIM①_月3投稿!G35</f>
        <v>31780.457240702286</v>
      </c>
      <c r="E11" s="10">
        <f>+SIM①_月3投稿!J35</f>
        <v>26025.52590572229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12.349686749675747</v>
      </c>
      <c r="E12" s="28">
        <f t="shared" ref="E12" si="0">+E4/E11</f>
        <v>12.245517320115912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21.789450241051195</v>
      </c>
      <c r="E13" s="28">
        <f t="shared" ref="E13" si="1">+E5/E11</f>
        <v>23.772661904504055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193</v>
      </c>
      <c r="B15" s="7"/>
      <c r="C15" s="87">
        <f>+SIM①_月3投稿!D16</f>
        <v>400</v>
      </c>
      <c r="D15" s="87">
        <f>+SIM①_月3投稿!G16</f>
        <v>400</v>
      </c>
      <c r="E15" s="87">
        <f>+SIM①_月3投稿!J16</f>
        <v>400</v>
      </c>
      <c r="F15" s="87"/>
      <c r="R15" s="5" t="s">
        <v>58</v>
      </c>
    </row>
    <row r="16" spans="1:25" x14ac:dyDescent="0.55000000000000004">
      <c r="A16" s="85" t="s">
        <v>194</v>
      </c>
      <c r="B16" s="7"/>
      <c r="C16" s="87">
        <f>+C17</f>
        <v>0</v>
      </c>
      <c r="D16" s="87">
        <f>+D17</f>
        <v>175</v>
      </c>
      <c r="E16" s="87">
        <f>+E17</f>
        <v>234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195</v>
      </c>
      <c r="B17" s="7"/>
      <c r="C17" s="87">
        <f>+SIM①_月3投稿!D36</f>
        <v>0</v>
      </c>
      <c r="D17" s="87">
        <f>+SIM①_月3投稿!G36</f>
        <v>175</v>
      </c>
      <c r="E17" s="87">
        <f>+SIM①_月3投稿!J36</f>
        <v>234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+SIM①_月3投稿!D37</f>
        <v>0</v>
      </c>
      <c r="D18" s="87">
        <f>+SIM①_月3投稿!G37</f>
        <v>0</v>
      </c>
      <c r="E18" s="87">
        <f>+SIM①_月3投稿!J37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+SIM①_月3投稿!D38</f>
        <v>0</v>
      </c>
      <c r="D19" s="87">
        <f>+SIM①_月3投稿!G38</f>
        <v>0</v>
      </c>
      <c r="E19" s="87">
        <f>+SIM①_月3投稿!J38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+SIM①_月3投稿!D39</f>
        <v>0</v>
      </c>
      <c r="D20" s="87">
        <f>+SIM①_月3投稿!G39</f>
        <v>0</v>
      </c>
      <c r="E20" s="87">
        <f>+SIM①_月3投稿!J39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2242.7353810522154</v>
      </c>
      <c r="E22" s="90">
        <f t="shared" si="2"/>
        <v>1361.9488386480668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3957.0210953379296</v>
      </c>
      <c r="E23" s="90">
        <f t="shared" ref="E23" si="4">+IFERROR(E5/E16,"--")</f>
        <v>2644.0001206993488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+SIM①_月3投稿!E68+C29*C30</f>
        <v>556880.83200000005</v>
      </c>
      <c r="D25" s="10">
        <f>+SIM①_月3投稿!G68+D29*D30</f>
        <v>332478.69168413768</v>
      </c>
      <c r="E25" s="10">
        <f>+SIM①_月3投稿!J68+E29*E30</f>
        <v>258696.02824364766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180626.94400000002</v>
      </c>
      <c r="D29" s="91">
        <f>+IF(D10&lt;=30000,0,D10-30000)</f>
        <v>105826.23056137923</v>
      </c>
      <c r="E29" s="91">
        <f>+IF(E10&lt;=30000,0,E10-30000)</f>
        <v>81232.009414549218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zoomScale="55" zoomScaleNormal="55" workbookViewId="0"/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164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165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166</v>
      </c>
      <c r="H10" s="125">
        <v>400</v>
      </c>
      <c r="I10" s="22" t="s">
        <v>156</v>
      </c>
      <c r="J10" s="29"/>
      <c r="K10" s="118"/>
      <c r="N10" s="132" t="s">
        <v>167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168</v>
      </c>
      <c r="F13" s="36" t="s">
        <v>169</v>
      </c>
      <c r="G13" s="36" t="s">
        <v>170</v>
      </c>
      <c r="H13" s="36" t="s">
        <v>171</v>
      </c>
      <c r="I13" s="36" t="s">
        <v>172</v>
      </c>
      <c r="J13" s="36" t="s">
        <v>173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174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175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176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3" si="3">F23*1.01</f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</c>
      <c r="F24" s="63">
        <f t="shared" si="4"/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197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0.341</v>
      </c>
      <c r="E27" s="47">
        <v>0.341</v>
      </c>
      <c r="F27" s="47">
        <f>ROUND(E27*1.02,3)</f>
      </c>
      <c r="G27" s="47">
        <f>ROUND(F27*1.02,3)</f>
      </c>
      <c r="H27" s="47">
        <f>ROUND(G27*1.02,3)</f>
      </c>
      <c r="I27" s="47">
        <f>ROUND(H27*1.02,3)</f>
      </c>
      <c r="J27" s="47">
        <f>ROUND(I27*1.02,3)</f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</c>
      <c r="F28" s="49">
        <f t="shared" ref="F28:J28" si="7">+E28+F26</f>
      </c>
      <c r="G28" s="49">
        <f t="shared" si="7"/>
      </c>
      <c r="H28" s="49">
        <f t="shared" si="7"/>
      </c>
      <c r="I28" s="49">
        <f t="shared" si="7"/>
      </c>
      <c r="J28" s="49">
        <f t="shared" si="7"/>
      </c>
      <c r="K28" s="12"/>
      <c r="L28" s="7"/>
      <c r="N28" t="s">
        <v>180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</c>
      <c r="E29" s="50">
        <f>+E28*(1-E27)</f>
      </c>
      <c r="F29" s="50">
        <f t="shared" ref="F29:J29" si="8">+F28*(1-F27)</f>
      </c>
      <c r="G29" s="50">
        <f t="shared" si="8"/>
      </c>
      <c r="H29" s="50">
        <f t="shared" si="8"/>
      </c>
      <c r="I29" s="50">
        <f t="shared" si="8"/>
      </c>
      <c r="J29" s="50">
        <f t="shared" si="8"/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198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182</v>
      </c>
      <c r="O32" s="17" t="s">
        <v>126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</c>
      <c r="F33" s="63">
        <f t="shared" si="9"/>
      </c>
      <c r="G33" s="63">
        <f t="shared" si="9"/>
      </c>
      <c r="H33" s="63">
        <f t="shared" si="9"/>
      </c>
      <c r="I33" s="63">
        <f t="shared" si="9"/>
      </c>
      <c r="J33" s="63">
        <f t="shared" si="9"/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</c>
    </row>
    <row r="34" spans="1:17" ht="19" x14ac:dyDescent="0.55000000000000004">
      <c r="A34" s="148" t="s">
        <v>26</v>
      </c>
      <c r="B34" s="149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135</v>
      </c>
      <c r="P34" s="75" t="b">
        <v>1</v>
      </c>
      <c r="Q34" s="73">
        <f t="shared" si="10"/>
      </c>
    </row>
    <row r="35" spans="1:17" ht="19" x14ac:dyDescent="0.55000000000000004">
      <c r="A35" s="148" t="s">
        <v>25</v>
      </c>
      <c r="B35" s="149"/>
      <c r="C35" s="102"/>
      <c r="D35" s="109">
        <f>+D31*1.02</f>
      </c>
      <c r="E35" s="50">
        <f>+E31+E33+1.05*(E31+E33)</f>
      </c>
      <c r="F35" s="50">
        <f t="shared" ref="F35:J35" si="11">+F31+F33+1.05*(F31+F33)</f>
      </c>
      <c r="G35" s="50">
        <f t="shared" si="11"/>
      </c>
      <c r="H35" s="50">
        <f t="shared" si="11"/>
      </c>
      <c r="I35" s="50">
        <f t="shared" si="11"/>
      </c>
      <c r="J35" s="50">
        <f t="shared" si="11"/>
      </c>
      <c r="K35" s="11"/>
      <c r="L35" s="7"/>
      <c r="O35" s="17" t="s">
        <v>136</v>
      </c>
      <c r="P35" s="75" t="b">
        <v>1</v>
      </c>
      <c r="Q35" s="73">
        <f t="shared" si="10"/>
      </c>
    </row>
    <row r="36" spans="1:17" x14ac:dyDescent="0.55000000000000004">
      <c r="A36" s="150" t="s">
        <v>6</v>
      </c>
      <c r="B36" s="6">
        <f>+C8</f>
      </c>
      <c r="C36" s="6"/>
      <c r="D36" s="11">
        <v>0</v>
      </c>
      <c r="E36" s="111">
        <f>ROUND(E35*0.004,0)</f>
      </c>
      <c r="F36" s="111">
        <f>ROUND(F35*0.0045,0)</f>
      </c>
      <c r="G36" s="111">
        <f>ROUND(G35*0.0055,0)</f>
      </c>
      <c r="H36" s="111">
        <f>ROUND(H35*0.0065,0)</f>
      </c>
      <c r="I36" s="111">
        <f>ROUND(I35*0.0075,0)</f>
      </c>
      <c r="J36" s="111">
        <f>ROUND(J35*0.009,0)</f>
      </c>
      <c r="K36" s="115">
        <f>SUM(E36:J36)</f>
      </c>
      <c r="L36" s="7"/>
      <c r="N36" s="69" t="s">
        <v>183</v>
      </c>
      <c r="O36" s="17" t="s">
        <v>127</v>
      </c>
      <c r="P36" s="74">
        <f>1*(Q32*Q33*Q34*Q35)</f>
      </c>
      <c r="Q36" s="73"/>
    </row>
    <row r="37" spans="1:17" x14ac:dyDescent="0.55000000000000004">
      <c r="A37" s="151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s">
        <v>119</v>
      </c>
    </row>
    <row r="38" spans="1:17" x14ac:dyDescent="0.55000000000000004">
      <c r="A38" s="150" t="s">
        <v>9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</c>
      <c r="E40" s="10">
        <f t="shared" si="12"/>
      </c>
      <c r="F40" s="10">
        <f t="shared" si="12"/>
      </c>
      <c r="G40" s="10">
        <f t="shared" si="12"/>
      </c>
      <c r="H40" s="10">
        <f t="shared" si="12"/>
      </c>
      <c r="I40" s="10">
        <f t="shared" si="12"/>
      </c>
      <c r="J40" s="10">
        <f t="shared" si="12"/>
      </c>
      <c r="K40" s="115">
        <f>SUM(E40:J40)</f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</c>
      <c r="E41" s="18">
        <f>+IFERROR(E40/E35,0)</f>
      </c>
      <c r="F41" s="18">
        <f t="shared" ref="F41:J41" si="14">+IFERROR(F40/F35,0)</f>
      </c>
      <c r="G41" s="18">
        <f t="shared" si="14"/>
      </c>
      <c r="H41" s="18">
        <f t="shared" si="14"/>
      </c>
      <c r="I41" s="18">
        <f t="shared" si="14"/>
      </c>
      <c r="J41" s="18">
        <f t="shared" si="14"/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</c>
      <c r="F44" s="31">
        <f t="shared" ref="F44:J44" si="15">+F75*F76</f>
      </c>
      <c r="G44" s="31">
        <f t="shared" si="15"/>
      </c>
      <c r="H44" s="31">
        <f t="shared" si="15"/>
      </c>
      <c r="I44" s="31">
        <f t="shared" si="15"/>
      </c>
      <c r="J44" s="31">
        <f t="shared" si="15"/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</c>
      <c r="D45" s="80">
        <f>+SUM(D65:D72)</f>
      </c>
      <c r="E45" s="27">
        <f t="shared" ref="E45:J45" si="16">SUM(E65:E68)+SUM(E71:E72)</f>
      </c>
      <c r="F45" s="27">
        <f t="shared" si="16"/>
      </c>
      <c r="G45" s="27">
        <f t="shared" si="16"/>
      </c>
      <c r="H45" s="27">
        <f t="shared" si="16"/>
      </c>
      <c r="I45" s="27">
        <f t="shared" si="16"/>
      </c>
      <c r="J45" s="27">
        <f t="shared" si="16"/>
      </c>
      <c r="K45" s="11"/>
      <c r="L45" s="7"/>
      <c r="N45" t="s">
        <v>184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</c>
      <c r="F46" s="28">
        <f t="shared" si="17"/>
      </c>
      <c r="G46" s="28">
        <f t="shared" si="17"/>
      </c>
      <c r="H46" s="28">
        <f t="shared" si="17"/>
      </c>
      <c r="I46" s="28">
        <f t="shared" si="17"/>
      </c>
      <c r="J46" s="28">
        <f t="shared" si="17"/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</c>
      <c r="F47" s="28">
        <f t="shared" si="18"/>
      </c>
      <c r="G47" s="28">
        <f t="shared" si="18"/>
      </c>
      <c r="H47" s="28">
        <f t="shared" si="18"/>
      </c>
      <c r="I47" s="28">
        <f t="shared" si="18"/>
      </c>
      <c r="J47" s="28">
        <f>+J51/J35</f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</c>
      <c r="F48" s="32">
        <f t="shared" si="19"/>
      </c>
      <c r="G48" s="32">
        <f t="shared" si="19"/>
      </c>
      <c r="H48" s="32">
        <f t="shared" si="19"/>
      </c>
      <c r="I48" s="32">
        <f t="shared" si="19"/>
      </c>
      <c r="J48" s="32">
        <f t="shared" si="19"/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</c>
      <c r="F49" s="28">
        <f t="shared" ref="F49:J49" si="20">+IFERROR(F51/SUM(F36:F39),0)</f>
      </c>
      <c r="G49" s="28">
        <f t="shared" si="20"/>
      </c>
      <c r="H49" s="28">
        <f t="shared" si="20"/>
      </c>
      <c r="I49" s="28">
        <f t="shared" si="20"/>
      </c>
      <c r="J49" s="28">
        <f t="shared" si="20"/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</c>
      <c r="F50" s="65">
        <f t="shared" ref="F50:J50" si="21">+F36*$D$8+F38*$D$10</f>
      </c>
      <c r="G50" s="65">
        <f t="shared" si="21"/>
      </c>
      <c r="H50" s="65">
        <f t="shared" si="21"/>
      </c>
      <c r="I50" s="65">
        <f t="shared" si="21"/>
      </c>
      <c r="J50" s="65">
        <f t="shared" si="21"/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</c>
      <c r="D51" s="40">
        <f>+D45</f>
      </c>
      <c r="E51" s="40">
        <f>SUM(E45,E50)+E44</f>
      </c>
      <c r="F51" s="40">
        <f t="shared" ref="F51:I51" si="22">SUM(F45,F50)+F44</f>
      </c>
      <c r="G51" s="40">
        <f t="shared" si="22"/>
      </c>
      <c r="H51" s="40">
        <f t="shared" si="22"/>
      </c>
      <c r="I51" s="40">
        <f t="shared" si="22"/>
      </c>
      <c r="J51" s="40">
        <f>SUM(J45,J50)+J44</f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</c>
      <c r="E54" s="28">
        <f t="shared" ref="E54:J54" si="23">+E75*E76</f>
      </c>
      <c r="F54" s="28">
        <f t="shared" si="23"/>
      </c>
      <c r="G54" s="28">
        <f t="shared" si="23"/>
      </c>
      <c r="H54" s="28">
        <f t="shared" si="23"/>
      </c>
      <c r="I54" s="28">
        <f t="shared" si="23"/>
      </c>
      <c r="J54" s="28">
        <f t="shared" si="23"/>
      </c>
      <c r="K54" s="11"/>
      <c r="L54" s="7"/>
      <c r="N54" t="s">
        <v>185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</c>
      <c r="E55" s="27">
        <f>SUM(E65:E72)+E54</f>
      </c>
      <c r="F55" s="27">
        <f t="shared" ref="F55:J55" si="24">SUM(F65:F72)+F54</f>
      </c>
      <c r="G55" s="27">
        <f t="shared" si="24"/>
      </c>
      <c r="H55" s="27">
        <f t="shared" si="24"/>
      </c>
      <c r="I55" s="27">
        <f t="shared" si="24"/>
      </c>
      <c r="J55" s="27">
        <f t="shared" si="24"/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</c>
      <c r="F56" s="28">
        <f t="shared" ref="F56:J56" si="25">+SUM(F65:F67)/(F28-E28)</f>
      </c>
      <c r="G56" s="28">
        <f t="shared" si="25"/>
      </c>
      <c r="H56" s="28">
        <f t="shared" si="25"/>
      </c>
      <c r="I56" s="28">
        <f t="shared" si="25"/>
      </c>
      <c r="J56" s="28">
        <f t="shared" si="25"/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</c>
      <c r="F57" s="28">
        <f t="shared" ref="F57:J57" si="26">+F61/F35</f>
      </c>
      <c r="G57" s="28">
        <f t="shared" si="26"/>
      </c>
      <c r="H57" s="28">
        <f t="shared" si="26"/>
      </c>
      <c r="I57" s="28">
        <f t="shared" si="26"/>
      </c>
      <c r="J57" s="28">
        <f t="shared" si="26"/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</c>
      <c r="F58" s="32">
        <f t="shared" si="27"/>
      </c>
      <c r="G58" s="32">
        <f t="shared" si="27"/>
      </c>
      <c r="H58" s="32">
        <f t="shared" si="27"/>
      </c>
      <c r="I58" s="32">
        <f t="shared" si="27"/>
      </c>
      <c r="J58" s="32">
        <f t="shared" si="27"/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</c>
      <c r="F59" s="28">
        <f t="shared" ref="F59:J59" si="28">+IFERROR(F55/F40,0)</f>
      </c>
      <c r="G59" s="28">
        <f t="shared" si="28"/>
      </c>
      <c r="H59" s="28">
        <f t="shared" si="28"/>
      </c>
      <c r="I59" s="28">
        <f t="shared" si="28"/>
      </c>
      <c r="J59" s="28">
        <f t="shared" si="28"/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</c>
      <c r="E61" s="40">
        <f>+SUM(E65:E72)+E54</f>
      </c>
      <c r="F61" s="40">
        <f t="shared" ref="F61:J61" si="29">+SUM(F65:F72)+F54</f>
      </c>
      <c r="G61" s="40">
        <f t="shared" si="29"/>
      </c>
      <c r="H61" s="40">
        <f t="shared" si="29"/>
      </c>
      <c r="I61" s="40">
        <f t="shared" si="29"/>
      </c>
      <c r="J61" s="40">
        <f t="shared" si="29"/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186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187</v>
      </c>
    </row>
    <row r="67" spans="1:16" x14ac:dyDescent="0.55000000000000004">
      <c r="B67" s="6" t="s">
        <v>188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199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</c>
      <c r="F68" s="28">
        <f t="shared" si="30"/>
      </c>
      <c r="G68" s="28">
        <f t="shared" si="30"/>
      </c>
      <c r="H68" s="28">
        <f t="shared" si="30"/>
      </c>
      <c r="I68" s="28">
        <f t="shared" si="30"/>
      </c>
      <c r="J68" s="28">
        <f t="shared" si="30"/>
      </c>
      <c r="N68" s="69" t="s">
        <v>190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100000</v>
      </c>
      <c r="E69" s="28">
        <v>270000</v>
      </c>
      <c r="F69" s="28">
        <v>270000</v>
      </c>
      <c r="G69" s="28">
        <v>270000</v>
      </c>
      <c r="H69" s="28">
        <v>270000</v>
      </c>
      <c r="I69" s="28">
        <v>270000</v>
      </c>
      <c r="J69" s="28">
        <v>270000</v>
      </c>
      <c r="N69" s="69" t="s">
        <v>200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</c>
      <c r="E73" s="114">
        <f t="shared" ref="E73:J73" si="31">SUM(E65:E72)+E54</f>
      </c>
      <c r="F73" s="114">
        <f t="shared" si="31"/>
      </c>
      <c r="G73" s="114">
        <f t="shared" si="31"/>
      </c>
      <c r="H73" s="114">
        <f t="shared" si="31"/>
      </c>
      <c r="I73" s="114">
        <f t="shared" si="31"/>
      </c>
      <c r="J73" s="114">
        <f t="shared" si="31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</c>
      <c r="E75" s="41">
        <f t="shared" si="32"/>
      </c>
      <c r="F75" s="41">
        <f t="shared" si="32"/>
      </c>
      <c r="G75" s="41">
        <f t="shared" si="32"/>
      </c>
      <c r="H75" s="41">
        <f t="shared" si="32"/>
      </c>
      <c r="I75" s="41">
        <f t="shared" si="32"/>
      </c>
      <c r="J75" s="41">
        <f t="shared" si="32"/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3"/>
      </c>
      <c r="F76" s="5">
        <f t="shared" si="33"/>
      </c>
      <c r="G76" s="5">
        <f t="shared" si="33"/>
      </c>
      <c r="H76" s="5">
        <f t="shared" si="33"/>
      </c>
      <c r="I76" s="5">
        <f t="shared" si="33"/>
      </c>
      <c r="J76" s="5">
        <f t="shared" si="33"/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>
        <f>+SIM②_月5投稿!D24</f>
      </c>
      <c r="D4" s="28">
        <f>+SIM②_月5投稿!G51</f>
      </c>
      <c r="E4" s="28">
        <f>+SIM②_月5投稿!J51</f>
      </c>
      <c r="F4" s="28"/>
    </row>
    <row r="5" spans="1:25" x14ac:dyDescent="0.55000000000000004">
      <c r="A5" s="85" t="s">
        <v>141</v>
      </c>
      <c r="B5" s="7"/>
      <c r="C5" s="86">
        <f>+SIM②_月5投稿!D25</f>
      </c>
      <c r="D5" s="28">
        <f>+SIM②_月5投稿!G61</f>
      </c>
      <c r="E5" s="28">
        <f>+SIM②_月5投稿!J61</f>
      </c>
      <c r="F5" s="27"/>
    </row>
    <row r="6" spans="1:25" x14ac:dyDescent="0.55000000000000004">
      <c r="A6" s="85" t="s">
        <v>76</v>
      </c>
      <c r="B6" s="7"/>
      <c r="C6" s="117">
        <f>+SIM②_月5投稿!D28</f>
      </c>
      <c r="D6" s="87">
        <f>+SIM②_月5投稿!G28</f>
      </c>
      <c r="E6" s="87">
        <f>+SIM②_月5投稿!J28</f>
      </c>
      <c r="F6" s="10"/>
    </row>
    <row r="7" spans="1:25" x14ac:dyDescent="0.55000000000000004">
      <c r="A7" s="85" t="s">
        <v>77</v>
      </c>
      <c r="B7" s="7"/>
      <c r="C7" s="88">
        <f>+SIM②_月5投稿!D27</f>
      </c>
      <c r="D7" s="89">
        <f>+SIM②_月5投稿!G27</f>
      </c>
      <c r="E7" s="89">
        <f>+SIM②_月5投稿!J27</f>
      </c>
      <c r="F7" s="89"/>
    </row>
    <row r="8" spans="1:25" x14ac:dyDescent="0.55000000000000004">
      <c r="A8" s="85" t="s">
        <v>78</v>
      </c>
      <c r="B8" s="7"/>
      <c r="C8" s="117">
        <f>+SIM②_月5投稿!D29</f>
      </c>
      <c r="D8" s="10">
        <f>+SIM②_月5投稿!G29</f>
      </c>
      <c r="E8" s="10">
        <f>+SIM②_月5投稿!J29</f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</c>
      <c r="D10" s="10">
        <f>+SIM②_月5投稿!G34</f>
      </c>
      <c r="E10" s="10">
        <f>+SIM②_月5投稿!J34</f>
      </c>
      <c r="F10" s="10"/>
    </row>
    <row r="11" spans="1:25" x14ac:dyDescent="0.55000000000000004">
      <c r="A11" s="85" t="s">
        <v>81</v>
      </c>
      <c r="B11" s="7"/>
      <c r="C11" s="117">
        <f>+SIM②_月5投稿!D35</f>
      </c>
      <c r="D11" s="10">
        <f>+SIM②_月5投稿!G35</f>
      </c>
      <c r="E11" s="10">
        <f>+SIM②_月5投稿!J35</f>
      </c>
      <c r="F11" s="10"/>
    </row>
    <row r="12" spans="1:25" x14ac:dyDescent="0.55000000000000004">
      <c r="A12" s="85" t="s">
        <v>147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55000000000000004">
      <c r="A13" s="85" t="s">
        <v>148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193</v>
      </c>
      <c r="B15" s="7"/>
      <c r="C15" s="87">
        <f>+SIM②_月5投稿!D16</f>
      </c>
      <c r="D15" s="87">
        <f>+SIM②_月5投稿!G16</f>
      </c>
      <c r="E15" s="87">
        <f>+SIM②_月5投稿!J16</f>
      </c>
      <c r="F15" s="87"/>
      <c r="R15" s="5" t="s">
        <v>58</v>
      </c>
    </row>
    <row r="16" spans="1:25" x14ac:dyDescent="0.55000000000000004">
      <c r="A16" s="85" t="s">
        <v>194</v>
      </c>
      <c r="B16" s="7"/>
      <c r="C16" s="87">
        <f>+C17</f>
      </c>
      <c r="D16" s="87">
        <f>+D17</f>
      </c>
      <c r="E16" s="87">
        <f>+E17</f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195</v>
      </c>
      <c r="B17" s="7"/>
      <c r="C17" s="87">
        <f>+SIM②_月5投稿!D36</f>
      </c>
      <c r="D17" s="87">
        <f>+SIM②_月5投稿!G36</f>
      </c>
      <c r="E17" s="87">
        <f>+SIM②_月5投稿!J36</f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</c>
      <c r="D18" s="87">
        <f>+SIM②_月5投稿!G37</f>
      </c>
      <c r="E18" s="87">
        <f>+SIM②_月5投稿!J37</f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</c>
      <c r="D19" s="87">
        <f>+SIM②_月5投稿!G38</f>
      </c>
      <c r="E19" s="87">
        <f>+SIM②_月5投稿!J38</f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</c>
      <c r="D20" s="87">
        <f>+SIM②_月5投稿!G39</f>
      </c>
      <c r="E20" s="87">
        <f>+SIM②_月5投稿!J39</f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</c>
      <c r="D25" s="10">
        <f>+SIM②_月5投稿!G68+D29*D30</f>
      </c>
      <c r="E25" s="10">
        <f>+SIM②_月5投稿!J68+E29*E30</f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SIM①_月3投稿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2026-10-28T08:37:05Z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
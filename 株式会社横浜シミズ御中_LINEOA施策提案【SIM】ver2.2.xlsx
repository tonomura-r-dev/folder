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27509D86-E120-406C-A84B-FE7DD42E9BF6}" xr6:coauthVersionLast="47" xr6:coauthVersionMax="47" xr10:uidLastSave="{00000000-0000-0000-0000-000000000000}"/>
  <bookViews>
    <workbookView xWindow="-13380" yWindow="-16320" windowWidth="29040" windowHeight="15720" activeTab="2" xr2:uid="{02433765-3560-48F5-BC99-B30FC64129A4}"/>
  </bookViews>
  <sheets>
    <sheet name="SIM①_コンサル" sheetId="1" r:id="rId1"/>
    <sheet name="SIM①_比較" sheetId="2" r:id="rId2"/>
    <sheet name="SIM②_成果報酬" sheetId="3" r:id="rId3"/>
    <sheet name="SIM②_比較" sheetId="4" r:id="rId4"/>
    <sheet name="SIM考え方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E17" i="5"/>
  <c r="E12" i="5"/>
  <c r="E7" i="5"/>
  <c r="E20" i="4"/>
  <c r="D20" i="4"/>
  <c r="C20" i="4"/>
  <c r="E19" i="4"/>
  <c r="D19" i="4"/>
  <c r="C19" i="4"/>
  <c r="X18" i="4"/>
  <c r="E18" i="4"/>
  <c r="D18" i="4"/>
  <c r="C18" i="4"/>
  <c r="E17" i="4"/>
  <c r="D17" i="4"/>
  <c r="C17" i="4"/>
  <c r="E16" i="4"/>
  <c r="D16" i="4"/>
  <c r="C16" i="4"/>
  <c r="E15" i="4"/>
  <c r="D15" i="4"/>
  <c r="C15" i="4"/>
  <c r="C7" i="4"/>
  <c r="C6" i="4"/>
  <c r="C5" i="4"/>
  <c r="C4" i="4"/>
  <c r="D73" i="3"/>
  <c r="D61" i="3"/>
  <c r="D55" i="3"/>
  <c r="D51" i="3"/>
  <c r="C51" i="3"/>
  <c r="J50" i="3"/>
  <c r="I50" i="3"/>
  <c r="H50" i="3"/>
  <c r="G50" i="3"/>
  <c r="F50" i="3"/>
  <c r="E50" i="3"/>
  <c r="D45" i="3"/>
  <c r="C45" i="3"/>
  <c r="J40" i="3"/>
  <c r="I40" i="3"/>
  <c r="H40" i="3"/>
  <c r="G40" i="3"/>
  <c r="F40" i="3"/>
  <c r="E40" i="3"/>
  <c r="D40" i="3"/>
  <c r="K39" i="3"/>
  <c r="B39" i="3"/>
  <c r="K38" i="3"/>
  <c r="B38" i="3"/>
  <c r="K37" i="3"/>
  <c r="B37" i="3"/>
  <c r="K36" i="3"/>
  <c r="B36" i="3"/>
  <c r="Q35" i="3"/>
  <c r="Q34" i="3"/>
  <c r="Q33" i="3"/>
  <c r="Q32" i="3"/>
  <c r="P36" i="3" s="1"/>
  <c r="D29" i="3"/>
  <c r="F27" i="3"/>
  <c r="G27" i="3" s="1"/>
  <c r="J25" i="3"/>
  <c r="I25" i="3"/>
  <c r="H25" i="3"/>
  <c r="G25" i="3"/>
  <c r="F25" i="3"/>
  <c r="E25" i="3"/>
  <c r="Y19" i="3"/>
  <c r="D16" i="3"/>
  <c r="E16" i="3" s="1"/>
  <c r="D15" i="3"/>
  <c r="E15" i="3" s="1"/>
  <c r="F15" i="3" s="1"/>
  <c r="G15" i="3" s="1"/>
  <c r="H15" i="3" s="1"/>
  <c r="I15" i="3" s="1"/>
  <c r="J15" i="3" s="1"/>
  <c r="D14" i="3"/>
  <c r="E14" i="3" s="1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D51" i="1"/>
  <c r="C51" i="1"/>
  <c r="J50" i="1"/>
  <c r="I50" i="1"/>
  <c r="H50" i="1"/>
  <c r="G50" i="1"/>
  <c r="F50" i="1"/>
  <c r="E50" i="1"/>
  <c r="D45" i="1"/>
  <c r="C45" i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Q33" i="1"/>
  <c r="Q32" i="1"/>
  <c r="P36" i="1" s="1"/>
  <c r="D29" i="1"/>
  <c r="F27" i="1"/>
  <c r="G27" i="1" s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C23" i="4" l="1"/>
  <c r="C22" i="4"/>
  <c r="K40" i="3"/>
  <c r="C8" i="4"/>
  <c r="D34" i="3"/>
  <c r="D31" i="3"/>
  <c r="D35" i="3" s="1"/>
  <c r="H27" i="3"/>
  <c r="I27" i="3" s="1"/>
  <c r="J27" i="3" s="1"/>
  <c r="E7" i="4" s="1"/>
  <c r="D7" i="4"/>
  <c r="F16" i="3"/>
  <c r="E24" i="3"/>
  <c r="F14" i="3"/>
  <c r="E23" i="3"/>
  <c r="E26" i="3" s="1"/>
  <c r="E28" i="3" s="1"/>
  <c r="C23" i="2"/>
  <c r="C22" i="2"/>
  <c r="K40" i="1"/>
  <c r="C8" i="2"/>
  <c r="D34" i="1"/>
  <c r="D31" i="1"/>
  <c r="D35" i="1" s="1"/>
  <c r="H27" i="1"/>
  <c r="I27" i="1" s="1"/>
  <c r="J27" i="1" s="1"/>
  <c r="E7" i="2" s="1"/>
  <c r="D7" i="2"/>
  <c r="F16" i="1"/>
  <c r="E24" i="1"/>
  <c r="F14" i="1"/>
  <c r="E23" i="1"/>
  <c r="E26" i="1" s="1"/>
  <c r="E28" i="1" s="1"/>
  <c r="C10" i="4" l="1"/>
  <c r="C29" i="4" s="1"/>
  <c r="C30" i="4" s="1"/>
  <c r="D75" i="3"/>
  <c r="D41" i="3"/>
  <c r="C11" i="4"/>
  <c r="C12" i="4" s="1"/>
  <c r="C13" i="4" s="1"/>
  <c r="G16" i="3"/>
  <c r="F24" i="3"/>
  <c r="G14" i="3"/>
  <c r="F23" i="3"/>
  <c r="F26" i="3" s="1"/>
  <c r="F28" i="3" s="1"/>
  <c r="E29" i="3"/>
  <c r="E46" i="3"/>
  <c r="E56" i="3"/>
  <c r="C10" i="2"/>
  <c r="C29" i="2" s="1"/>
  <c r="C30" i="2" s="1"/>
  <c r="D75" i="1"/>
  <c r="D41" i="1"/>
  <c r="C11" i="2"/>
  <c r="C12" i="2" s="1"/>
  <c r="C13" i="2" s="1"/>
  <c r="G16" i="1"/>
  <c r="F24" i="1"/>
  <c r="G14" i="1"/>
  <c r="F23" i="1"/>
  <c r="E29" i="1"/>
  <c r="E46" i="1"/>
  <c r="E56" i="1"/>
  <c r="D76" i="3" l="1"/>
  <c r="D54" i="3"/>
  <c r="H16" i="3"/>
  <c r="G24" i="3"/>
  <c r="H14" i="3"/>
  <c r="G23" i="3"/>
  <c r="F29" i="3"/>
  <c r="F46" i="3"/>
  <c r="F56" i="3"/>
  <c r="E31" i="3"/>
  <c r="E33" i="3"/>
  <c r="E34" i="3"/>
  <c r="D76" i="1"/>
  <c r="D54" i="1" s="1"/>
  <c r="H16" i="1"/>
  <c r="G24" i="1"/>
  <c r="G23" i="1"/>
  <c r="G26" i="1" s="1"/>
  <c r="H14" i="1"/>
  <c r="E31" i="1"/>
  <c r="E33" i="1"/>
  <c r="E34" i="1"/>
  <c r="F26" i="1"/>
  <c r="F28" i="1" s="1"/>
  <c r="I16" i="3" l="1"/>
  <c r="H24" i="3"/>
  <c r="I14" i="3"/>
  <c r="H23" i="3"/>
  <c r="F31" i="3"/>
  <c r="F34" i="3"/>
  <c r="F33" i="3"/>
  <c r="E75" i="3"/>
  <c r="E68" i="3"/>
  <c r="H24" i="1"/>
  <c r="I16" i="1"/>
  <c r="H23" i="1"/>
  <c r="I14" i="1"/>
  <c r="E75" i="1"/>
  <c r="E68" i="1"/>
  <c r="F56" i="1"/>
  <c r="F46" i="1"/>
  <c r="F29" i="1"/>
  <c r="G28" i="1"/>
  <c r="E35" i="1"/>
  <c r="G26" i="3"/>
  <c r="G28" i="3" s="1"/>
  <c r="E35" i="3"/>
  <c r="H26" i="1" l="1"/>
  <c r="H28" i="1" s="1"/>
  <c r="J16" i="3"/>
  <c r="J24" i="3" s="1"/>
  <c r="I24" i="3"/>
  <c r="J14" i="3"/>
  <c r="J23" i="3" s="1"/>
  <c r="J26" i="3" s="1"/>
  <c r="I23" i="3"/>
  <c r="I26" i="3" s="1"/>
  <c r="F75" i="3"/>
  <c r="F68" i="3"/>
  <c r="F45" i="3" s="1"/>
  <c r="E76" i="3"/>
  <c r="E45" i="3"/>
  <c r="C25" i="4"/>
  <c r="J16" i="1"/>
  <c r="J24" i="1" s="1"/>
  <c r="I24" i="1"/>
  <c r="I23" i="1"/>
  <c r="I26" i="1" s="1"/>
  <c r="J14" i="1"/>
  <c r="J23" i="1" s="1"/>
  <c r="J26" i="1" s="1"/>
  <c r="E76" i="1"/>
  <c r="E45" i="1"/>
  <c r="C25" i="2"/>
  <c r="F31" i="1"/>
  <c r="F33" i="1"/>
  <c r="F34" i="1"/>
  <c r="G46" i="1"/>
  <c r="G56" i="1"/>
  <c r="D6" i="2"/>
  <c r="G29" i="1"/>
  <c r="E58" i="1"/>
  <c r="E48" i="1"/>
  <c r="E41" i="1"/>
  <c r="D6" i="4"/>
  <c r="G56" i="3"/>
  <c r="G46" i="3"/>
  <c r="G29" i="3"/>
  <c r="E58" i="3"/>
  <c r="E48" i="3"/>
  <c r="E41" i="3"/>
  <c r="H26" i="3"/>
  <c r="H28" i="3" s="1"/>
  <c r="F35" i="3"/>
  <c r="E44" i="3" l="1"/>
  <c r="E51" i="3" s="1"/>
  <c r="E54" i="3"/>
  <c r="F76" i="3"/>
  <c r="E55" i="3"/>
  <c r="E59" i="3" s="1"/>
  <c r="F68" i="1"/>
  <c r="F45" i="1" s="1"/>
  <c r="F75" i="1"/>
  <c r="H29" i="1"/>
  <c r="I28" i="1"/>
  <c r="H46" i="1"/>
  <c r="H56" i="1"/>
  <c r="G31" i="1"/>
  <c r="G33" i="1"/>
  <c r="G34" i="1"/>
  <c r="D8" i="2"/>
  <c r="G31" i="3"/>
  <c r="D8" i="4"/>
  <c r="G33" i="3"/>
  <c r="G34" i="3"/>
  <c r="I28" i="3"/>
  <c r="H29" i="3"/>
  <c r="H46" i="3"/>
  <c r="H56" i="3"/>
  <c r="F58" i="3"/>
  <c r="F48" i="3"/>
  <c r="F41" i="3"/>
  <c r="F35" i="1"/>
  <c r="E54" i="1"/>
  <c r="E44" i="1"/>
  <c r="E51" i="1" s="1"/>
  <c r="E73" i="3" l="1"/>
  <c r="E61" i="3"/>
  <c r="E57" i="3" s="1"/>
  <c r="F44" i="3"/>
  <c r="F51" i="3" s="1"/>
  <c r="F54" i="3"/>
  <c r="E47" i="3"/>
  <c r="E49" i="3"/>
  <c r="F55" i="3"/>
  <c r="F59" i="3" s="1"/>
  <c r="F73" i="3"/>
  <c r="F61" i="3"/>
  <c r="F57" i="3" s="1"/>
  <c r="F76" i="1"/>
  <c r="F54" i="1"/>
  <c r="F44" i="1"/>
  <c r="F51" i="1" s="1"/>
  <c r="H31" i="1"/>
  <c r="H33" i="1"/>
  <c r="H34" i="1"/>
  <c r="J28" i="1"/>
  <c r="I46" i="1"/>
  <c r="I56" i="1"/>
  <c r="I29" i="1"/>
  <c r="G68" i="1"/>
  <c r="D10" i="2"/>
  <c r="D29" i="2" s="1"/>
  <c r="D30" i="2" s="1"/>
  <c r="G75" i="1"/>
  <c r="G75" i="3"/>
  <c r="G68" i="3"/>
  <c r="D10" i="4"/>
  <c r="D29" i="4" s="1"/>
  <c r="D30" i="4" s="1"/>
  <c r="J28" i="3"/>
  <c r="I29" i="3"/>
  <c r="I46" i="3"/>
  <c r="I56" i="3"/>
  <c r="H31" i="3"/>
  <c r="H33" i="3"/>
  <c r="H34" i="3"/>
  <c r="F58" i="1"/>
  <c r="F48" i="1"/>
  <c r="F41" i="1"/>
  <c r="E73" i="1"/>
  <c r="E55" i="1"/>
  <c r="E59" i="1" s="1"/>
  <c r="E61" i="1"/>
  <c r="E57" i="1" s="1"/>
  <c r="E49" i="1"/>
  <c r="E47" i="1"/>
  <c r="G35" i="1"/>
  <c r="G35" i="3"/>
  <c r="F49" i="3" l="1"/>
  <c r="F47" i="3"/>
  <c r="F61" i="1"/>
  <c r="F57" i="1" s="1"/>
  <c r="F55" i="1"/>
  <c r="F59" i="1" s="1"/>
  <c r="F73" i="1"/>
  <c r="F47" i="1"/>
  <c r="F49" i="1"/>
  <c r="H68" i="1"/>
  <c r="H45" i="1" s="1"/>
  <c r="H75" i="1"/>
  <c r="J29" i="1"/>
  <c r="J46" i="1"/>
  <c r="J56" i="1"/>
  <c r="E6" i="2"/>
  <c r="I31" i="1"/>
  <c r="I33" i="1"/>
  <c r="I34" i="1"/>
  <c r="G45" i="1"/>
  <c r="D25" i="2"/>
  <c r="G76" i="1"/>
  <c r="G76" i="3"/>
  <c r="G45" i="3"/>
  <c r="D25" i="4"/>
  <c r="J29" i="3"/>
  <c r="J46" i="3"/>
  <c r="J56" i="3"/>
  <c r="E6" i="4"/>
  <c r="I34" i="3"/>
  <c r="I31" i="3"/>
  <c r="I33" i="3"/>
  <c r="H68" i="3"/>
  <c r="H45" i="3" s="1"/>
  <c r="H75" i="3"/>
  <c r="G58" i="1"/>
  <c r="G48" i="1"/>
  <c r="D11" i="2"/>
  <c r="G41" i="1"/>
  <c r="D11" i="4"/>
  <c r="G58" i="3"/>
  <c r="G48" i="3"/>
  <c r="G41" i="3"/>
  <c r="H35" i="1"/>
  <c r="H35" i="3"/>
  <c r="G44" i="3" l="1"/>
  <c r="G51" i="3" s="1"/>
  <c r="G54" i="3"/>
  <c r="G73" i="3" s="1"/>
  <c r="H76" i="1"/>
  <c r="J31" i="1"/>
  <c r="J33" i="1"/>
  <c r="J34" i="1"/>
  <c r="E8" i="2"/>
  <c r="I68" i="1"/>
  <c r="I45" i="1" s="1"/>
  <c r="I75" i="1"/>
  <c r="J33" i="3"/>
  <c r="J34" i="3"/>
  <c r="E8" i="4"/>
  <c r="J31" i="3"/>
  <c r="J35" i="3" s="1"/>
  <c r="I75" i="3"/>
  <c r="I68" i="3"/>
  <c r="I45" i="3" s="1"/>
  <c r="H76" i="3"/>
  <c r="H58" i="1"/>
  <c r="H48" i="1"/>
  <c r="H41" i="1"/>
  <c r="H58" i="3"/>
  <c r="H48" i="3"/>
  <c r="H41" i="3"/>
  <c r="I35" i="3"/>
  <c r="I35" i="1"/>
  <c r="G54" i="1"/>
  <c r="G44" i="1"/>
  <c r="G51" i="1" s="1"/>
  <c r="G55" i="3" l="1"/>
  <c r="G59" i="3" s="1"/>
  <c r="G61" i="3"/>
  <c r="H54" i="3"/>
  <c r="H44" i="3"/>
  <c r="H51" i="3" s="1"/>
  <c r="J68" i="1"/>
  <c r="E10" i="2"/>
  <c r="E29" i="2" s="1"/>
  <c r="E30" i="2" s="1"/>
  <c r="J75" i="1"/>
  <c r="I76" i="1"/>
  <c r="I54" i="1"/>
  <c r="I44" i="1"/>
  <c r="I51" i="1" s="1"/>
  <c r="J75" i="3"/>
  <c r="E10" i="4"/>
  <c r="E29" i="4" s="1"/>
  <c r="E30" i="4" s="1"/>
  <c r="J68" i="3"/>
  <c r="J41" i="3"/>
  <c r="J48" i="3"/>
  <c r="J58" i="3"/>
  <c r="E11" i="4"/>
  <c r="I76" i="3"/>
  <c r="G49" i="3"/>
  <c r="G47" i="3"/>
  <c r="D4" i="4"/>
  <c r="I58" i="3"/>
  <c r="I48" i="3"/>
  <c r="I41" i="3"/>
  <c r="I58" i="1"/>
  <c r="I48" i="1"/>
  <c r="I41" i="1"/>
  <c r="G73" i="1"/>
  <c r="G55" i="1"/>
  <c r="G59" i="1" s="1"/>
  <c r="G61" i="1"/>
  <c r="G49" i="1"/>
  <c r="D4" i="2"/>
  <c r="G47" i="1"/>
  <c r="J35" i="1"/>
  <c r="H54" i="1"/>
  <c r="H44" i="1"/>
  <c r="H51" i="1" s="1"/>
  <c r="G57" i="3" l="1"/>
  <c r="D5" i="4"/>
  <c r="H55" i="3"/>
  <c r="H59" i="3" s="1"/>
  <c r="H73" i="3"/>
  <c r="H61" i="3"/>
  <c r="H57" i="3" s="1"/>
  <c r="H47" i="3"/>
  <c r="H49" i="3"/>
  <c r="J45" i="1"/>
  <c r="E25" i="2"/>
  <c r="J76" i="1"/>
  <c r="J54" i="1" s="1"/>
  <c r="J44" i="1"/>
  <c r="I61" i="1"/>
  <c r="I57" i="1" s="1"/>
  <c r="I55" i="1"/>
  <c r="I59" i="1" s="1"/>
  <c r="I73" i="1"/>
  <c r="I47" i="1"/>
  <c r="I49" i="1"/>
  <c r="J76" i="3"/>
  <c r="J45" i="3"/>
  <c r="E25" i="4"/>
  <c r="D22" i="4"/>
  <c r="D12" i="4"/>
  <c r="G57" i="1"/>
  <c r="D5" i="2"/>
  <c r="D22" i="2"/>
  <c r="D12" i="2"/>
  <c r="J58" i="1"/>
  <c r="J48" i="1"/>
  <c r="E11" i="2"/>
  <c r="J41" i="1"/>
  <c r="H73" i="1"/>
  <c r="H55" i="1"/>
  <c r="H59" i="1" s="1"/>
  <c r="H61" i="1"/>
  <c r="H57" i="1" s="1"/>
  <c r="H49" i="1"/>
  <c r="H47" i="1"/>
  <c r="I44" i="3"/>
  <c r="I51" i="3" s="1"/>
  <c r="I54" i="3"/>
  <c r="J51" i="1" l="1"/>
  <c r="D23" i="4"/>
  <c r="D13" i="4"/>
  <c r="J54" i="3"/>
  <c r="J44" i="3"/>
  <c r="J51" i="3" s="1"/>
  <c r="J47" i="3" s="1"/>
  <c r="J61" i="1"/>
  <c r="J55" i="1"/>
  <c r="J59" i="1" s="1"/>
  <c r="J73" i="1"/>
  <c r="J55" i="3"/>
  <c r="J59" i="3" s="1"/>
  <c r="J73" i="3"/>
  <c r="J61" i="3"/>
  <c r="D23" i="2"/>
  <c r="D13" i="2"/>
  <c r="I49" i="3"/>
  <c r="I47" i="3"/>
  <c r="I61" i="3"/>
  <c r="I57" i="3" s="1"/>
  <c r="I73" i="3"/>
  <c r="I55" i="3"/>
  <c r="I59" i="3" s="1"/>
  <c r="J47" i="1" l="1"/>
  <c r="J49" i="1"/>
  <c r="E4" i="2"/>
  <c r="E4" i="4"/>
  <c r="J49" i="3"/>
  <c r="J57" i="1"/>
  <c r="E5" i="2"/>
  <c r="J57" i="3"/>
  <c r="E5" i="4"/>
  <c r="E22" i="2" l="1"/>
  <c r="E12" i="2"/>
  <c r="E22" i="4"/>
  <c r="E12" i="4"/>
  <c r="E23" i="2"/>
  <c r="E13" i="2"/>
  <c r="E23" i="4"/>
  <c r="E13" i="4"/>
</calcChain>
</file>

<file path=xl/sharedStrings.xml><?xml version="1.0" encoding="utf-8"?>
<sst xmlns="http://schemas.openxmlformats.org/spreadsheetml/2006/main" count="504" uniqueCount="198">
  <si>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</si>
  <si>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</si>
  <si>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</si>
  <si>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</si>
  <si>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</si>
  <si>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</si>
  <si>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</si>
  <si>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</si>
  <si>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</si>
  <si>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</si>
  <si>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</si>
  <si>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</si>
  <si>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</si>
  <si>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</si>
  <si>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</si>
  <si>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</si>
  <si>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</si>
  <si>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</si>
  <si>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</si>
  <si>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</si>
  <si>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</si>
  <si>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</si>
  <si>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</si>
  <si>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</si>
  <si>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</si>
  <si>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</si>
  <si>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</si>
  <si>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</si>
  <si>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</si>
  <si>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</si>
  <si>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</si>
  <si>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</si>
  <si>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</si>
  <si>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</si>
  <si>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</si>
  <si>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</si>
  <si>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</si>
  <si>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</si>
  <si>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</si>
  <si>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</si>
  <si>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</si>
  <si>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</si>
  <si>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</si>
  <si>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</si>
  <si>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</si>
  <si>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</si>
  <si>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</si>
  <si>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</si>
  <si>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</si>
  <si>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</si>
  <si>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</si>
  <si>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</si>
  <si>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</si>
  <si>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</si>
  <si>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</si>
  <si>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</si>
  <si>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</si>
  <si>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</si>
  <si>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</si>
  <si>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</si>
  <si>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</si>
  <si>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</si>
  <si>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</si>
  <si>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</si>
  <si>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</si>
  <si>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</si>
  <si>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</si>
  <si>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</si>
  <si>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</si>
  <si>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</si>
  <si>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</si>
  <si>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</si>
  <si>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</si>
  <si>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</si>
  <si>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</si>
  <si>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</si>
  <si>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</si>
  <si>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</si>
  <si>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</si>
  <si>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</si>
  <si>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</si>
  <si>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</si>
  <si>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</si>
  <si>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</si>
  <si>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</si>
  <si>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</si>
  <si>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</si>
  <si>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</si>
  <si>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</si>
  <si>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</si>
  <si>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</si>
  <si>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</si>
  <si>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</si>
  <si>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</si>
  <si>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</si>
  <si>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</si>
  <si>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</si>
  <si>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</si>
  <si>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</si>
  <si>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</si>
  <si>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</si>
  <si>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</si>
  <si>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</si>
  <si>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</si>
  <si>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</si>
  <si>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</si>
  <si>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</si>
  <si>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</si>
  <si>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</si>
  <si>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</si>
  <si>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</si>
  <si>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</si>
  <si>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</si>
  <si>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</si>
  <si>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</si>
  <si>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</si>
  <si>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</si>
  <si>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</si>
  <si>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</si>
  <si>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</si>
  <si>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</si>
  <si>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</si>
  <si>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</si>
  <si>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</si>
  <si>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</si>
  <si>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</si>
  <si>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</si>
  <si>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</si>
  <si>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</si>
  <si>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</si>
  <si>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</si>
  <si>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</si>
  <si>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</si>
  <si>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</si>
  <si>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</si>
  <si>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</si>
  <si>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</si>
  <si>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</si>
  <si>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</si>
  <si>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</si>
  <si>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</si>
  <si>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</si>
  <si>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</si>
  <si>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</si>
  <si>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</si>
  <si>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</si>
  <si>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</si>
  <si>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</si>
  <si>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</si>
  <si>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</si>
  <si>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</si>
  <si>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</si>
  <si>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</si>
  <si>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</si>
  <si>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</si>
  <si>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</si>
  <si>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</si>
  <si>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</si>
  <si>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</si>
  <si>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</si>
  <si>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</si>
  <si>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</si>
  <si>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</si>
  <si>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</si>
  <si>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</si>
  <si>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</si>
  <si>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</si>
  <si>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</si>
  <si>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</si>
  <si>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</si>
  <si>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</si>
  <si>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</si>
  <si>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</si>
  <si>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</si>
  <si>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</si>
  <si>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</si>
  <si>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</si>
  <si>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</si>
  <si>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</si>
  <si>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</si>
  <si>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</si>
  <si>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</si>
  <si>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</si>
  <si>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</si>
  <si>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</si>
  <si>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</si>
  <si>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</si>
  <si>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</si>
  <si>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</si>
  <si>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</si>
  <si>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</si>
  <si>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</si>
  <si>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</si>
  <si>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</si>
  <si>
    <t>株式会社横浜シミズ御中_LINEOA施策提案【SIM】コンサル（サイトのLINEボタン＋離脱防止＋サンクスLINE誘導）</t>
  </si>
  <si>
    <t>株式会社横浜シミズ御中_LINEOA施策提案【SIM】成果報酬（応募1件 8,000円）（サイトのLINEボタン＋離脱防止＋サンクスLINE誘導＋通知メッセージ）</t>
  </si>
  <si>
    <t>通知メッセージ（既存リスト）：登録済みのスタッフに配信して友だち追加。リストは仮に5,000人（マイナビの求人10件×1件30人×4週ごと＝年約3,900人の新規登録＋それ以前から続けている方）。毎月リスト×15%×15%が友だちに（FMTの式）</t>
    <phoneticPr fontId="2"/>
  </si>
  <si>
    <t>サンクスLINE誘導＝応募×遷移80%×追加40%（資料と同じ・定義テキストの係数）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</si>
</sst>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opLeftCell="B4" zoomScale="70" zoomScaleNormal="55" workbookViewId="0">
      <selection activeCell="K10" sqref="K10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s">
        <v>194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5000</v>
      </c>
      <c r="N8" s="69" t="s">
        <v>188</v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150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  <v>150</v>
      </c>
      <c r="E16" s="43">
        <f t="shared" si="2"/>
        <v>150</v>
      </c>
      <c r="F16" s="43">
        <f t="shared" si="2"/>
        <v>150</v>
      </c>
      <c r="G16" s="43">
        <f t="shared" si="2"/>
        <v>150</v>
      </c>
      <c r="H16" s="43">
        <f t="shared" si="2"/>
        <v>150</v>
      </c>
      <c r="I16" s="43">
        <f t="shared" si="2"/>
        <v>150</v>
      </c>
      <c r="J16" s="43">
        <f t="shared" si="2"/>
        <v>150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 t="shared" ref="E24:J24" si="4">IF(E19=FALSE,0,E16*0.8*0.4)</f>
        <v>48</v>
      </c>
      <c r="F24" s="63">
        <f t="shared" si="4"/>
        <v>48</v>
      </c>
      <c r="G24" s="63">
        <f t="shared" si="4"/>
        <v>48</v>
      </c>
      <c r="H24" s="63">
        <f t="shared" si="4"/>
        <v>48</v>
      </c>
      <c r="I24" s="63">
        <f t="shared" si="4"/>
        <v>48</v>
      </c>
      <c r="J24" s="63">
        <f t="shared" si="4"/>
        <v>48</v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  <v>183.60296875</v>
      </c>
      <c r="F26" s="46">
        <f t="shared" ref="F26:J26" si="6">+SUM(F22:F25)+$H$9*$P$16+($H$8-$H$9)*$P$15</f>
        <v>183.60296875</v>
      </c>
      <c r="G26" s="46">
        <f>+SUM(G22:G25)+$H$9*$P$16+($H$8-$H$9)*$P$15</f>
        <v>183.60296875</v>
      </c>
      <c r="H26" s="46">
        <f t="shared" si="6"/>
        <v>183.60296875</v>
      </c>
      <c r="I26" s="46">
        <f t="shared" si="6"/>
        <v>183.60296875</v>
      </c>
      <c r="J26" s="46">
        <f t="shared" si="6"/>
        <v>183.60296875</v>
      </c>
      <c r="K26" s="11"/>
      <c r="L26" s="7"/>
      <c r="N26" s="72" t="s">
        <v>189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  <v>183.60296875</v>
      </c>
      <c r="F28" s="49">
        <f t="shared" ref="F28:J28" si="7">+E28+F26</f>
        <v>367.2059375</v>
      </c>
      <c r="G28" s="49">
        <f t="shared" si="7"/>
        <v>550.80890625000006</v>
      </c>
      <c r="H28" s="49">
        <f t="shared" si="7"/>
        <v>734.41187500000001</v>
      </c>
      <c r="I28" s="49">
        <f t="shared" si="7"/>
        <v>918.01484374999995</v>
      </c>
      <c r="J28" s="49">
        <f t="shared" si="7"/>
        <v>1101.6178124999999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  <v>0</v>
      </c>
      <c r="E29" s="50">
        <f>+E28*(1-E27)</f>
        <v>124.85001874999999</v>
      </c>
      <c r="F29" s="50">
        <f t="shared" ref="F29:J29" si="8">+F28*(1-F27)</f>
        <v>246.76239000000001</v>
      </c>
      <c r="G29" s="50">
        <f t="shared" si="8"/>
        <v>365.62695196875006</v>
      </c>
      <c r="H29" s="50">
        <f t="shared" si="8"/>
        <v>481.32987081562504</v>
      </c>
      <c r="I29" s="50">
        <f t="shared" si="8"/>
        <v>593.75352588876956</v>
      </c>
      <c r="J29" s="50">
        <f t="shared" si="8"/>
        <v>702.77639153068674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  <v>0</v>
      </c>
      <c r="E31" s="63">
        <f>+E29*E30*$P$24*$P$22*$P$23*$P$36</f>
        <v>45.62511094798802</v>
      </c>
      <c r="F31" s="63">
        <f>+F29*F30*$P$24*$P$22*$P$23*$P$36</f>
        <v>90.176689873670455</v>
      </c>
      <c r="G31" s="63">
        <f>+G29*G30*$P$24*$P$22*$P$23*$P$36</f>
        <v>133.61447932621081</v>
      </c>
      <c r="H31" s="63">
        <f>+H29*H30*$P$24*$P$22*$P$23*$P$36*$Q$24</f>
        <v>140.71750395179583</v>
      </c>
      <c r="I31" s="63">
        <f>+I29*I30*$P$24*$P$22*$P$23*$P$36*$Q$24</f>
        <v>173.5847267988284</v>
      </c>
      <c r="J31" s="63">
        <f>+J29*J30*$P$24*$P$22*$P$23*$P$36*$Q$24</f>
        <v>205.45772379526699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190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  <v>12.722386706650502</v>
      </c>
      <c r="F33" s="63">
        <f t="shared" ref="F33:G33" si="9">+F29*F32*$P$26*$P$27*$P$28*$P$36</f>
        <v>25.145423137850411</v>
      </c>
      <c r="G33" s="63">
        <f t="shared" si="9"/>
        <v>37.257883658270323</v>
      </c>
      <c r="H33" s="63">
        <f>+H29*H32*$P$26*$P$27*$P$28*$P$36*$Q$28</f>
        <v>39.238534755789225</v>
      </c>
      <c r="I33" s="63">
        <f t="shared" ref="I33:J33" si="10">+I29*I32*$P$26*$P$27*$P$28*$P$36*$Q$28</f>
        <v>48.403433434288686</v>
      </c>
      <c r="J33" s="63">
        <f t="shared" si="10"/>
        <v>57.291096058295594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8" t="s">
        <v>25</v>
      </c>
      <c r="B34" s="149"/>
      <c r="C34" s="102"/>
      <c r="D34" s="108">
        <f>+D29*D30</f>
        <v>0</v>
      </c>
      <c r="E34" s="46">
        <f>+E29*E30*$P$24+E29*E32*$P$28</f>
        <v>499.40007500000002</v>
      </c>
      <c r="F34" s="46">
        <f>+F29*F30*$P$24+F29*F32*$P$28</f>
        <v>987.04956000000016</v>
      </c>
      <c r="G34" s="46">
        <f>+G29*G30*$P$24+G29*G32*$P$28</f>
        <v>1462.5078078750003</v>
      </c>
      <c r="H34" s="46">
        <f>+H29*H30*$P$24*$Q$24+H29*H32*$P$28*$Q$28</f>
        <v>1540.2555866100001</v>
      </c>
      <c r="I34" s="46">
        <f>+I29*I30*$P$24*$Q$24+I29*I32*$P$28*$Q$28</f>
        <v>1900.0112828440626</v>
      </c>
      <c r="J34" s="46">
        <f>+J29*J30*$P$24*$Q$24+J29*J32*$P$28*$Q$28</f>
        <v>2248.8844528981977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8" t="s">
        <v>24</v>
      </c>
      <c r="B35" s="149"/>
      <c r="C35" s="102"/>
      <c r="D35" s="109">
        <f>+D31*1.02</f>
        <v>0</v>
      </c>
      <c r="E35" s="50">
        <f>+E31+E33+1.05*(E31+E33)</f>
        <v>119.61237019200897</v>
      </c>
      <c r="F35" s="50">
        <f t="shared" ref="F35:J35" si="12">+F31+F33+1.05*(F31+F33)</f>
        <v>236.4103316736178</v>
      </c>
      <c r="G35" s="50">
        <f t="shared" si="12"/>
        <v>350.28834411818633</v>
      </c>
      <c r="H35" s="50">
        <f t="shared" si="12"/>
        <v>368.90987935054943</v>
      </c>
      <c r="I35" s="50">
        <f t="shared" si="12"/>
        <v>455.07572847789004</v>
      </c>
      <c r="J35" s="50">
        <f t="shared" si="12"/>
        <v>538.63508069980321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50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3</v>
      </c>
      <c r="G36" s="111">
        <v>4</v>
      </c>
      <c r="H36" s="111">
        <v>4</v>
      </c>
      <c r="I36" s="111">
        <v>5</v>
      </c>
      <c r="J36" s="111">
        <v>7</v>
      </c>
      <c r="K36" s="115">
        <f>SUM(E36:J36)</f>
        <v>25</v>
      </c>
      <c r="L36" s="7"/>
      <c r="N36" s="69" t="s">
        <v>191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117</v>
      </c>
    </row>
    <row r="38" spans="1:17" x14ac:dyDescent="0.55000000000000004">
      <c r="A38" s="150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1</v>
      </c>
      <c r="G38" s="111">
        <v>1</v>
      </c>
      <c r="H38" s="111">
        <v>2</v>
      </c>
      <c r="I38" s="111">
        <v>2</v>
      </c>
      <c r="J38" s="111">
        <v>3</v>
      </c>
      <c r="K38" s="115">
        <f>SUM(E38:J38)</f>
        <v>9</v>
      </c>
      <c r="L38" s="7"/>
      <c r="N38" s="69" t="s">
        <v>192</v>
      </c>
      <c r="O38" s="21" t="s">
        <v>36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  <v>0</v>
      </c>
      <c r="E40" s="10">
        <f t="shared" si="13"/>
        <v>2</v>
      </c>
      <c r="F40" s="10">
        <f t="shared" si="13"/>
        <v>4</v>
      </c>
      <c r="G40" s="10">
        <f t="shared" si="13"/>
        <v>5</v>
      </c>
      <c r="H40" s="10">
        <f t="shared" si="13"/>
        <v>6</v>
      </c>
      <c r="I40" s="10">
        <f t="shared" si="13"/>
        <v>7</v>
      </c>
      <c r="J40" s="10">
        <f t="shared" si="13"/>
        <v>10</v>
      </c>
      <c r="K40" s="115">
        <f>SUM(E40:J40)</f>
        <v>34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1.6720678611998739E-2</v>
      </c>
      <c r="F41" s="18">
        <f t="shared" ref="F41:J41" si="15">+IFERROR(F40/F35,0)</f>
        <v>1.6919734309760626E-2</v>
      </c>
      <c r="G41" s="18">
        <f t="shared" si="15"/>
        <v>1.4273954825950513E-2</v>
      </c>
      <c r="H41" s="18">
        <f t="shared" si="15"/>
        <v>1.6264134781542722E-2</v>
      </c>
      <c r="I41" s="18">
        <f t="shared" si="15"/>
        <v>1.5382055253557863E-2</v>
      </c>
      <c r="J41" s="18">
        <f t="shared" si="15"/>
        <v>1.85654450634887E-2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hidden="1" x14ac:dyDescent="0.55000000000000004">
      <c r="A43" s="29" t="s">
        <v>50</v>
      </c>
      <c r="C43" s="5" t="s">
        <v>149</v>
      </c>
      <c r="D43" s="5" t="s">
        <v>150</v>
      </c>
    </row>
    <row r="44" spans="1:17" hidden="1" x14ac:dyDescent="0.55000000000000004">
      <c r="A44" s="144" t="s">
        <v>26</v>
      </c>
      <c r="B44" s="145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hidden="1" x14ac:dyDescent="0.55000000000000004">
      <c r="A45" s="144" t="s">
        <v>131</v>
      </c>
      <c r="B45" s="145"/>
      <c r="C45" s="104">
        <f>+SUM(C65:C72)</f>
        <v>0</v>
      </c>
      <c r="D45" s="80">
        <f>+SUM(D65:D72)</f>
        <v>295000</v>
      </c>
      <c r="E45" s="27">
        <f>SUM(E65:E68)+SUM(E71:E72)</f>
        <v>65000</v>
      </c>
      <c r="F45" s="27">
        <f t="shared" ref="F45:J45" si="17">SUM(F65:F68)+SUM(F71:F72)</f>
        <v>65000</v>
      </c>
      <c r="G45" s="27">
        <f t="shared" si="17"/>
        <v>65000</v>
      </c>
      <c r="H45" s="27">
        <f t="shared" si="17"/>
        <v>65000</v>
      </c>
      <c r="I45" s="27">
        <f t="shared" si="17"/>
        <v>65000</v>
      </c>
      <c r="J45" s="27">
        <f t="shared" si="17"/>
        <v>65000</v>
      </c>
      <c r="K45" s="11"/>
      <c r="L45" s="7"/>
    </row>
    <row r="46" spans="1:17" hidden="1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  <v>326.79210150298837</v>
      </c>
      <c r="F46" s="28">
        <f t="shared" si="18"/>
        <v>326.79210150298837</v>
      </c>
      <c r="G46" s="28">
        <f t="shared" si="18"/>
        <v>326.79210150298826</v>
      </c>
      <c r="H46" s="28">
        <f t="shared" si="18"/>
        <v>326.79210150298843</v>
      </c>
      <c r="I46" s="28">
        <f t="shared" si="18"/>
        <v>326.79210150298843</v>
      </c>
      <c r="J46" s="28">
        <f t="shared" si="18"/>
        <v>326.79210150298843</v>
      </c>
      <c r="K46" s="11"/>
      <c r="L46" s="7"/>
    </row>
    <row r="47" spans="1:17" hidden="1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  <v>543.4220548899591</v>
      </c>
      <c r="F47" s="28">
        <f t="shared" si="19"/>
        <v>274.94568253361012</v>
      </c>
      <c r="G47" s="28">
        <f t="shared" si="19"/>
        <v>185.56141273735668</v>
      </c>
      <c r="H47" s="28">
        <f t="shared" si="19"/>
        <v>176.19479346671281</v>
      </c>
      <c r="I47" s="28">
        <f t="shared" si="19"/>
        <v>142.83337021160872</v>
      </c>
      <c r="J47" s="28">
        <f>+J51/J35</f>
        <v>120.67539291267656</v>
      </c>
      <c r="K47" s="11"/>
      <c r="L47" s="7"/>
    </row>
    <row r="48" spans="1:17" hidden="1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  <v>1.6720678611998739E-2</v>
      </c>
      <c r="F48" s="32">
        <f t="shared" si="20"/>
        <v>1.6919734309760626E-2</v>
      </c>
      <c r="G48" s="32">
        <f t="shared" si="20"/>
        <v>1.4273954825950513E-2</v>
      </c>
      <c r="H48" s="32">
        <f t="shared" si="20"/>
        <v>1.6264134781542722E-2</v>
      </c>
      <c r="I48" s="32">
        <f t="shared" si="20"/>
        <v>1.5382055253557863E-2</v>
      </c>
      <c r="J48" s="32">
        <f t="shared" si="20"/>
        <v>1.85654450634887E-2</v>
      </c>
      <c r="K48" s="11"/>
      <c r="L48" s="7"/>
    </row>
    <row r="49" spans="1:12" hidden="1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  <v>32500</v>
      </c>
      <c r="F49" s="28">
        <f t="shared" ref="F49:J49" si="21">+IFERROR(F51/SUM(F36:F39),0)</f>
        <v>16250</v>
      </c>
      <c r="G49" s="28">
        <f t="shared" si="21"/>
        <v>13000</v>
      </c>
      <c r="H49" s="28">
        <f t="shared" si="21"/>
        <v>10833.333333333334</v>
      </c>
      <c r="I49" s="28">
        <f t="shared" si="21"/>
        <v>9285.7142857142862</v>
      </c>
      <c r="J49" s="28">
        <f t="shared" si="21"/>
        <v>6500</v>
      </c>
      <c r="K49" s="11"/>
      <c r="L49" s="7"/>
    </row>
    <row r="50" spans="1:12" hidden="1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  <v>0</v>
      </c>
      <c r="F50" s="65">
        <f t="shared" ref="F50:J50" si="22">+F36*$D$8+F38*$D$10</f>
        <v>0</v>
      </c>
      <c r="G50" s="65">
        <f t="shared" si="22"/>
        <v>0</v>
      </c>
      <c r="H50" s="65">
        <f t="shared" si="22"/>
        <v>0</v>
      </c>
      <c r="I50" s="65">
        <f t="shared" si="22"/>
        <v>0</v>
      </c>
      <c r="J50" s="65">
        <f t="shared" si="22"/>
        <v>0</v>
      </c>
      <c r="K50" s="11"/>
      <c r="L50" s="7"/>
    </row>
    <row r="51" spans="1:12" hidden="1" x14ac:dyDescent="0.55000000000000004">
      <c r="A51" s="154" t="s">
        <v>68</v>
      </c>
      <c r="B51" s="155"/>
      <c r="C51" s="110">
        <f>+C45</f>
        <v>0</v>
      </c>
      <c r="D51" s="40">
        <f>+D45</f>
        <v>295000</v>
      </c>
      <c r="E51" s="40">
        <f>SUM(E45,E50)+E44</f>
        <v>65000</v>
      </c>
      <c r="F51" s="40">
        <f t="shared" ref="F51:I51" si="23">SUM(F45,F50)+F44</f>
        <v>65000</v>
      </c>
      <c r="G51" s="40">
        <f t="shared" si="23"/>
        <v>65000</v>
      </c>
      <c r="H51" s="40">
        <f t="shared" si="23"/>
        <v>65000</v>
      </c>
      <c r="I51" s="40">
        <f t="shared" si="23"/>
        <v>65000</v>
      </c>
      <c r="J51" s="40">
        <f>SUM(J45,J50)+J44</f>
        <v>65000</v>
      </c>
      <c r="K51" s="11"/>
      <c r="L51" s="7"/>
    </row>
    <row r="52" spans="1:12" hidden="1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  <v>295000</v>
      </c>
      <c r="E55" s="27">
        <f>SUM(E65:E72)+E54</f>
        <v>215000</v>
      </c>
      <c r="F55" s="27">
        <f t="shared" ref="F55:J55" si="25">SUM(F65:F72)+F54</f>
        <v>215000</v>
      </c>
      <c r="G55" s="27">
        <f t="shared" si="25"/>
        <v>215000</v>
      </c>
      <c r="H55" s="27">
        <f t="shared" si="25"/>
        <v>215000</v>
      </c>
      <c r="I55" s="27">
        <f t="shared" si="25"/>
        <v>215000</v>
      </c>
      <c r="J55" s="27">
        <f t="shared" si="25"/>
        <v>215000</v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  <v>326.79210150298837</v>
      </c>
      <c r="F56" s="28">
        <f t="shared" si="26"/>
        <v>326.79210150298837</v>
      </c>
      <c r="G56" s="28">
        <f t="shared" si="26"/>
        <v>326.79210150298826</v>
      </c>
      <c r="H56" s="28">
        <f t="shared" si="26"/>
        <v>326.79210150298843</v>
      </c>
      <c r="I56" s="28">
        <f t="shared" si="26"/>
        <v>326.79210150298843</v>
      </c>
      <c r="J56" s="28">
        <f t="shared" si="26"/>
        <v>326.79210150298843</v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  <v>1797.4729507898646</v>
      </c>
      <c r="F57" s="28">
        <f t="shared" ref="F57:J57" si="27">+F61/F35</f>
        <v>909.43571914963354</v>
      </c>
      <c r="G57" s="28">
        <f t="shared" si="27"/>
        <v>613.78005751587204</v>
      </c>
      <c r="H57" s="28">
        <f t="shared" si="27"/>
        <v>582.7981630052808</v>
      </c>
      <c r="I57" s="28">
        <f t="shared" si="27"/>
        <v>472.44883993070579</v>
      </c>
      <c r="J57" s="28">
        <f t="shared" si="27"/>
        <v>399.15706886500709</v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  <v>1.6720678611998739E-2</v>
      </c>
      <c r="F58" s="32">
        <f t="shared" si="28"/>
        <v>1.6919734309760626E-2</v>
      </c>
      <c r="G58" s="32">
        <f t="shared" si="28"/>
        <v>1.4273954825950513E-2</v>
      </c>
      <c r="H58" s="32">
        <f t="shared" si="28"/>
        <v>1.6264134781542722E-2</v>
      </c>
      <c r="I58" s="32">
        <f t="shared" si="28"/>
        <v>1.5382055253557863E-2</v>
      </c>
      <c r="J58" s="32">
        <f t="shared" si="28"/>
        <v>1.85654450634887E-2</v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  <v>107500</v>
      </c>
      <c r="F59" s="28">
        <f t="shared" ref="F59:J59" si="29">+IFERROR(F55/F40,0)</f>
        <v>53750</v>
      </c>
      <c r="G59" s="28">
        <f t="shared" si="29"/>
        <v>43000</v>
      </c>
      <c r="H59" s="28">
        <f t="shared" si="29"/>
        <v>35833.333333333336</v>
      </c>
      <c r="I59" s="28">
        <f t="shared" si="29"/>
        <v>30714.285714285714</v>
      </c>
      <c r="J59" s="28">
        <f t="shared" si="29"/>
        <v>21500</v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  <v>295000</v>
      </c>
      <c r="E61" s="40">
        <f>+SUM(E65:E72)+E54</f>
        <v>215000</v>
      </c>
      <c r="F61" s="40">
        <f t="shared" ref="F61:J61" si="30">+SUM(F65:F72)+F54</f>
        <v>215000</v>
      </c>
      <c r="G61" s="40">
        <f t="shared" si="30"/>
        <v>215000</v>
      </c>
      <c r="H61" s="40">
        <f t="shared" si="30"/>
        <v>215000</v>
      </c>
      <c r="I61" s="40">
        <f t="shared" si="30"/>
        <v>215000</v>
      </c>
      <c r="J61" s="40">
        <f t="shared" si="30"/>
        <v>215000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193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215000</v>
      </c>
      <c r="F73" s="114">
        <f t="shared" si="32"/>
        <v>215000</v>
      </c>
      <c r="G73" s="114">
        <f t="shared" si="32"/>
        <v>215000</v>
      </c>
      <c r="H73" s="114">
        <f t="shared" si="32"/>
        <v>215000</v>
      </c>
      <c r="I73" s="114">
        <f t="shared" si="32"/>
        <v>215000</v>
      </c>
      <c r="J73" s="114">
        <f t="shared" si="32"/>
        <v>215000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hidden="1" x14ac:dyDescent="0.55000000000000004">
      <c r="A4" s="85" t="s">
        <v>139</v>
      </c>
      <c r="B4" s="7"/>
      <c r="C4" s="86" t="str">
        <f>+SIM①_コンサル!D24</f>
        <v>--</v>
      </c>
      <c r="D4" s="28">
        <f>+SIM①_コンサル!G51</f>
        <v>65000</v>
      </c>
      <c r="E4" s="28">
        <f>+SIM①_コンサル!J51</f>
        <v>65000</v>
      </c>
      <c r="F4" s="28"/>
    </row>
    <row r="5" spans="1:25" x14ac:dyDescent="0.55000000000000004">
      <c r="A5" s="85" t="s">
        <v>140</v>
      </c>
      <c r="B5" s="7"/>
      <c r="C5" s="86" t="str">
        <f>+SIM①_コンサル!D25</f>
        <v>--</v>
      </c>
      <c r="D5" s="28">
        <f>+SIM①_コンサル!G61</f>
        <v>215000</v>
      </c>
      <c r="E5" s="28">
        <f>+SIM①_コンサル!J61</f>
        <v>215000</v>
      </c>
      <c r="F5" s="27"/>
    </row>
    <row r="6" spans="1:25" x14ac:dyDescent="0.55000000000000004">
      <c r="A6" s="85" t="s">
        <v>74</v>
      </c>
      <c r="B6" s="7"/>
      <c r="C6" s="117">
        <f>+SIM①_コンサル!D28</f>
        <v>0</v>
      </c>
      <c r="D6" s="87">
        <f>+SIM①_コンサル!G28</f>
        <v>550.80890625000006</v>
      </c>
      <c r="E6" s="87">
        <f>+SIM①_コンサル!J28</f>
        <v>1101.6178124999999</v>
      </c>
      <c r="F6" s="10"/>
    </row>
    <row r="7" spans="1:25" x14ac:dyDescent="0.55000000000000004">
      <c r="A7" s="85" t="s">
        <v>75</v>
      </c>
      <c r="B7" s="7"/>
      <c r="C7" s="88">
        <f>+SIM①_コンサル!D27</f>
        <v>0</v>
      </c>
      <c r="D7" s="89">
        <f>+SIM①_コンサル!G27</f>
        <v>0.33619999999999994</v>
      </c>
      <c r="E7" s="89">
        <f>+SIM①_コンサル!J27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+SIM①_コンサル!D29</f>
        <v>0</v>
      </c>
      <c r="D8" s="10">
        <f>+SIM①_コンサル!G29</f>
        <v>365.62695196875006</v>
      </c>
      <c r="E8" s="10">
        <f>+SIM①_コンサル!J29</f>
        <v>702.77639153068674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+SIM①_コンサル!D34</f>
        <v>0</v>
      </c>
      <c r="D10" s="10">
        <f>+SIM①_コンサル!G34</f>
        <v>1462.5078078750003</v>
      </c>
      <c r="E10" s="10">
        <f>+SIM①_コンサル!J34</f>
        <v>2248.8844528981977</v>
      </c>
      <c r="F10" s="10"/>
    </row>
    <row r="11" spans="1:25" x14ac:dyDescent="0.55000000000000004">
      <c r="A11" s="85" t="s">
        <v>79</v>
      </c>
      <c r="B11" s="7"/>
      <c r="C11" s="117">
        <f>+SIM①_コンサル!D35</f>
        <v>0</v>
      </c>
      <c r="D11" s="10">
        <f>+SIM①_コンサル!G35</f>
        <v>350.28834411818633</v>
      </c>
      <c r="E11" s="10">
        <f>+SIM①_コンサル!J35</f>
        <v>538.63508069980321</v>
      </c>
      <c r="F11" s="10"/>
    </row>
    <row r="12" spans="1:25" hidden="1" x14ac:dyDescent="0.55000000000000004">
      <c r="A12" s="85" t="s">
        <v>146</v>
      </c>
      <c r="B12" s="7"/>
      <c r="C12" s="28">
        <f>+IFERROR(C5/C11,0)</f>
        <v>0</v>
      </c>
      <c r="D12" s="28">
        <f>+D4/D11</f>
        <v>185.56141273735668</v>
      </c>
      <c r="E12" s="28">
        <f t="shared" ref="E12" si="0">+E4/E11</f>
        <v>120.67539291267656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613.78005751587204</v>
      </c>
      <c r="E13" s="28">
        <f t="shared" ref="E13" si="1">+E5/E11</f>
        <v>399.15706886500709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+SIM①_コンサル!$H$10</f>
        <v>150</v>
      </c>
      <c r="D15" s="87">
        <f>+SIM①_コンサル!$H$10</f>
        <v>150</v>
      </c>
      <c r="E15" s="87">
        <f>+SIM①_コンサル!$H$10</f>
        <v>150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5</v>
      </c>
      <c r="E16" s="87">
        <f>SUM(E17:E20)</f>
        <v>10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+SIM①_コンサル!D36</f>
        <v>0</v>
      </c>
      <c r="D17" s="87">
        <f>+SIM①_コンサル!G36</f>
        <v>4</v>
      </c>
      <c r="E17" s="87">
        <f>+SIM①_コンサル!J36</f>
        <v>7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+SIM①_コンサル!D37</f>
        <v>0</v>
      </c>
      <c r="D18" s="87">
        <f>+SIM①_コンサル!G37</f>
        <v>0</v>
      </c>
      <c r="E18" s="87">
        <f>+SIM①_コンサル!J37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187</v>
      </c>
      <c r="B19" s="7"/>
      <c r="C19" s="87">
        <f>+SIM①_コンサル!D38</f>
        <v>0</v>
      </c>
      <c r="D19" s="87">
        <f>+SIM①_コンサル!G38</f>
        <v>1</v>
      </c>
      <c r="E19" s="87">
        <f>+SIM①_コンサル!J38</f>
        <v>3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+SIM①_コンサル!D39</f>
        <v>0</v>
      </c>
      <c r="D20" s="87">
        <f>+SIM①_コンサル!G39</f>
        <v>0</v>
      </c>
      <c r="E20" s="87">
        <f>+SIM①_コンサル!J39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hidden="1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13000</v>
      </c>
      <c r="E22" s="90">
        <f t="shared" si="2"/>
        <v>6500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43000</v>
      </c>
      <c r="E23" s="90">
        <f t="shared" ref="E23" si="4">+IFERROR(E5/E16,"--")</f>
        <v>21500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+SIM①_コンサル!E68+C29*C30</f>
        <v>5000</v>
      </c>
      <c r="D25" s="10">
        <f>+SIM①_コンサル!G68+D29*D30</f>
        <v>5000</v>
      </c>
      <c r="E25" s="10">
        <f>+SIM①_コンサル!J68+E29*E30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91ED-6154-50EC-9BCF-FD3373B089C3}">
  <dimension ref="A2:Z76"/>
  <sheetViews>
    <sheetView tabSelected="1" topLeftCell="B11" zoomScale="70" zoomScaleNormal="55" workbookViewId="0">
      <selection activeCell="G31" sqref="G31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s">
        <v>195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s">
        <v>178</v>
      </c>
      <c r="D8" s="33">
        <v>8000</v>
      </c>
      <c r="G8" s="121" t="s">
        <v>162</v>
      </c>
      <c r="H8" s="122">
        <v>8947</v>
      </c>
      <c r="I8" s="123"/>
      <c r="J8" s="123" t="s">
        <v>69</v>
      </c>
      <c r="K8" s="129">
        <v>5000</v>
      </c>
      <c r="N8" s="69" t="s">
        <v>188</v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s">
        <v>179</v>
      </c>
      <c r="D10" s="33">
        <v>8000</v>
      </c>
      <c r="G10" s="124" t="s">
        <v>164</v>
      </c>
      <c r="H10" s="125">
        <v>150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  <v>150</v>
      </c>
      <c r="E16" s="43">
        <f t="shared" si="2"/>
        <v>150</v>
      </c>
      <c r="F16" s="43">
        <f t="shared" si="2"/>
        <v>150</v>
      </c>
      <c r="G16" s="43">
        <f t="shared" si="2"/>
        <v>150</v>
      </c>
      <c r="H16" s="43">
        <f t="shared" si="2"/>
        <v>150</v>
      </c>
      <c r="I16" s="43">
        <f t="shared" si="2"/>
        <v>150</v>
      </c>
      <c r="J16" s="43">
        <f t="shared" si="2"/>
        <v>150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ht="18" x14ac:dyDescent="0.55000000000000004">
      <c r="A21" s="142"/>
      <c r="B21" s="8" t="s">
        <v>113</v>
      </c>
      <c r="C21" s="100"/>
      <c r="D21" s="58" t="b">
        <v>0</v>
      </c>
      <c r="E21" s="57" t="b">
        <v>1</v>
      </c>
      <c r="F21" s="57" t="b">
        <v>1</v>
      </c>
      <c r="G21" s="57" t="b">
        <v>1</v>
      </c>
      <c r="H21" s="57" t="b">
        <v>1</v>
      </c>
      <c r="I21" s="57" t="b">
        <v>1</v>
      </c>
      <c r="J21" s="57" t="b">
        <v>1</v>
      </c>
      <c r="K21" s="14" t="s">
        <v>21</v>
      </c>
      <c r="L21" s="9" t="s">
        <v>21</v>
      </c>
      <c r="N21" t="s">
        <v>196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 t="shared" ref="E24:J24" si="4">IF(E19=FALSE,0,E16*0.8*0.4)</f>
        <v>48</v>
      </c>
      <c r="F24" s="63">
        <f t="shared" si="4"/>
        <v>48</v>
      </c>
      <c r="G24" s="63">
        <f t="shared" si="4"/>
        <v>48</v>
      </c>
      <c r="H24" s="63">
        <f t="shared" si="4"/>
        <v>48</v>
      </c>
      <c r="I24" s="63">
        <f t="shared" si="4"/>
        <v>48</v>
      </c>
      <c r="J24" s="63">
        <f t="shared" si="4"/>
        <v>48</v>
      </c>
      <c r="K24" s="11"/>
      <c r="L24" s="7"/>
      <c r="N24" s="69" t="s">
        <v>197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  <v>112.5</v>
      </c>
      <c r="F25" s="46">
        <f t="shared" ref="F25:J25" si="5">+IF(F20=FALSE,0,SUM($H$10:$H$11)*0.7*0.3)+IF($E$21=FALSE,0,$K$8*0.15*0.15)</f>
        <v>112.5</v>
      </c>
      <c r="G25" s="46">
        <f t="shared" si="5"/>
        <v>112.5</v>
      </c>
      <c r="H25" s="46">
        <f t="shared" si="5"/>
        <v>112.5</v>
      </c>
      <c r="I25" s="46">
        <f t="shared" si="5"/>
        <v>112.5</v>
      </c>
      <c r="J25" s="46">
        <f t="shared" si="5"/>
        <v>112.5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  <v>296.10296875</v>
      </c>
      <c r="F26" s="46">
        <f t="shared" ref="F26:J26" si="6">+SUM(F22:F25)+$H$9*$P$16+($H$8-$H$9)*$P$15</f>
        <v>296.10296875</v>
      </c>
      <c r="G26" s="46">
        <f>+SUM(G22:G25)+$H$9*$P$16+($H$8-$H$9)*$P$15</f>
        <v>296.10296875</v>
      </c>
      <c r="H26" s="46">
        <f t="shared" si="6"/>
        <v>296.10296875</v>
      </c>
      <c r="I26" s="46">
        <f t="shared" si="6"/>
        <v>296.10296875</v>
      </c>
      <c r="J26" s="46">
        <f t="shared" si="6"/>
        <v>296.10296875</v>
      </c>
      <c r="K26" s="11"/>
      <c r="L26" s="7"/>
      <c r="N26" s="72" t="s">
        <v>189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  <v>296.10296875</v>
      </c>
      <c r="F28" s="49">
        <f t="shared" ref="F28:J28" si="7">+E28+F26</f>
        <v>592.2059375</v>
      </c>
      <c r="G28" s="49">
        <f t="shared" si="7"/>
        <v>888.30890625000006</v>
      </c>
      <c r="H28" s="49">
        <f t="shared" si="7"/>
        <v>1184.411875</v>
      </c>
      <c r="I28" s="49">
        <f t="shared" si="7"/>
        <v>1480.51484375</v>
      </c>
      <c r="J28" s="49">
        <f t="shared" si="7"/>
        <v>1776.6178124999999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  <v>0</v>
      </c>
      <c r="E29" s="50">
        <f>+E28*(1-E27)</f>
        <v>201.35001874999998</v>
      </c>
      <c r="F29" s="50">
        <f t="shared" ref="F29:J29" si="8">+F28*(1-F27)</f>
        <v>397.96239000000003</v>
      </c>
      <c r="G29" s="50">
        <f t="shared" si="8"/>
        <v>589.65945196875009</v>
      </c>
      <c r="H29" s="50">
        <f t="shared" si="8"/>
        <v>776.25762081562505</v>
      </c>
      <c r="I29" s="50">
        <f t="shared" si="8"/>
        <v>957.56720557626966</v>
      </c>
      <c r="J29" s="50">
        <f t="shared" si="8"/>
        <v>1133.3922175463119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  <v>0</v>
      </c>
      <c r="E31" s="63">
        <f>+E29*E30*$P$24*$P$22*$P$23*$P$36</f>
        <v>73.581221987988044</v>
      </c>
      <c r="F31" s="63">
        <f>+F29*F30*$P$24*$P$22*$P$23*$P$36</f>
        <v>145.43112110567051</v>
      </c>
      <c r="G31" s="63">
        <f>+G29*G30*$P$24*$P$22*$P$23*$P$36</f>
        <v>215.48477274541091</v>
      </c>
      <c r="H31" s="63">
        <f>+H29*H30*$P$24*$P$22*$P$23*$P$36*$Q$24</f>
        <v>226.94007051678793</v>
      </c>
      <c r="I31" s="63">
        <f>+I29*I30*$P$24*$P$22*$P$23*$P$36*$Q$24</f>
        <v>279.94619741022456</v>
      </c>
      <c r="J31" s="63">
        <f>+J29*J30*$P$24*$P$22*$P$23*$P$36*$Q$24</f>
        <v>331.34890128728421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190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  <v>20.517840746650506</v>
      </c>
      <c r="F33" s="63">
        <f t="shared" ref="F33:G33" si="9">+F29*F32*$P$26*$P$27*$P$28*$P$36</f>
        <v>40.552908769850418</v>
      </c>
      <c r="G33" s="63">
        <f t="shared" si="9"/>
        <v>60.08710009247033</v>
      </c>
      <c r="H33" s="63">
        <f>+H29*H32*$P$26*$P$27*$P$28*$P$36*$Q$28</f>
        <v>63.281365817181239</v>
      </c>
      <c r="I33" s="63">
        <f t="shared" ref="I33:J33" si="10">+I29*I32*$P$26*$P$27*$P$28*$P$36*$Q$28</f>
        <v>78.061920431697217</v>
      </c>
      <c r="J33" s="63">
        <f t="shared" si="10"/>
        <v>92.395366705108074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8" t="s">
        <v>25</v>
      </c>
      <c r="B34" s="149"/>
      <c r="C34" s="102"/>
      <c r="D34" s="108">
        <f>+D29*D30</f>
        <v>0</v>
      </c>
      <c r="E34" s="46">
        <f>+E29*E30*$P$24+E29*E32*$P$28</f>
        <v>805.40007500000002</v>
      </c>
      <c r="F34" s="46">
        <f>+F29*F30*$P$24+F29*F32*$P$28</f>
        <v>1591.8495600000003</v>
      </c>
      <c r="G34" s="46">
        <f>+G29*G30*$P$24+G29*G32*$P$28</f>
        <v>2358.6378078750004</v>
      </c>
      <c r="H34" s="46">
        <f>+H29*H30*$P$24*$Q$24+H29*H32*$P$28*$Q$28</f>
        <v>2484.0243866100004</v>
      </c>
      <c r="I34" s="46">
        <f>+I29*I30*$P$24*$Q$24+I29*I32*$P$28*$Q$28</f>
        <v>3064.2150578440633</v>
      </c>
      <c r="J34" s="46">
        <f>+J29*J30*$P$24*$Q$24+J29*J32*$P$28*$Q$28</f>
        <v>3626.8550961481988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8" t="s">
        <v>24</v>
      </c>
      <c r="B35" s="149"/>
      <c r="C35" s="102"/>
      <c r="D35" s="109">
        <f>+D31*1.02</f>
        <v>0</v>
      </c>
      <c r="E35" s="50">
        <f>+E31+E33+1.05*(E31+E33)</f>
        <v>192.90307860600905</v>
      </c>
      <c r="F35" s="50">
        <f t="shared" ref="F35:J35" si="12">+F31+F33+1.05*(F31+F33)</f>
        <v>381.26726124481797</v>
      </c>
      <c r="G35" s="50">
        <f t="shared" si="12"/>
        <v>564.92233931765657</v>
      </c>
      <c r="H35" s="50">
        <f t="shared" si="12"/>
        <v>594.95394448463685</v>
      </c>
      <c r="I35" s="50">
        <f t="shared" si="12"/>
        <v>733.91664157593959</v>
      </c>
      <c r="J35" s="50">
        <f t="shared" si="12"/>
        <v>868.67574938440418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50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3</v>
      </c>
      <c r="G36" s="111">
        <v>4</v>
      </c>
      <c r="H36" s="111">
        <v>5</v>
      </c>
      <c r="I36" s="111">
        <v>7</v>
      </c>
      <c r="J36" s="111">
        <v>8</v>
      </c>
      <c r="K36" s="115">
        <f>SUM(E36:J36)</f>
        <v>29</v>
      </c>
      <c r="L36" s="7"/>
      <c r="N36" s="69" t="s">
        <v>191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117</v>
      </c>
    </row>
    <row r="38" spans="1:17" x14ac:dyDescent="0.55000000000000004">
      <c r="A38" s="150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1</v>
      </c>
      <c r="G38" s="111">
        <v>1</v>
      </c>
      <c r="H38" s="111">
        <v>2</v>
      </c>
      <c r="I38" s="111">
        <v>3</v>
      </c>
      <c r="J38" s="111">
        <v>5</v>
      </c>
      <c r="K38" s="115">
        <f>SUM(E38:J38)</f>
        <v>12</v>
      </c>
      <c r="L38" s="7"/>
      <c r="N38" s="69" t="s">
        <v>192</v>
      </c>
      <c r="O38" s="21" t="s">
        <v>36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  <v>0</v>
      </c>
      <c r="E40" s="10">
        <f t="shared" si="13"/>
        <v>2</v>
      </c>
      <c r="F40" s="10">
        <f t="shared" si="13"/>
        <v>4</v>
      </c>
      <c r="G40" s="10">
        <f t="shared" si="13"/>
        <v>5</v>
      </c>
      <c r="H40" s="10">
        <f t="shared" si="13"/>
        <v>7</v>
      </c>
      <c r="I40" s="10">
        <f t="shared" si="13"/>
        <v>10</v>
      </c>
      <c r="J40" s="10">
        <f t="shared" si="13"/>
        <v>13</v>
      </c>
      <c r="K40" s="115">
        <f>SUM(E40:J40)</f>
        <v>41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1.0367900888118323E-2</v>
      </c>
      <c r="F41" s="18">
        <f t="shared" ref="F41:J41" si="15">+IFERROR(F40/F35,0)</f>
        <v>1.0491328279643539E-2</v>
      </c>
      <c r="G41" s="18">
        <f t="shared" si="15"/>
        <v>8.8507740834594499E-3</v>
      </c>
      <c r="H41" s="18">
        <f t="shared" si="15"/>
        <v>1.1765616590816227E-2</v>
      </c>
      <c r="I41" s="18">
        <f t="shared" si="15"/>
        <v>1.3625525616270255E-2</v>
      </c>
      <c r="J41" s="18">
        <f t="shared" si="15"/>
        <v>1.49653078369145E-2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x14ac:dyDescent="0.55000000000000004">
      <c r="A45" s="144" t="s">
        <v>131</v>
      </c>
      <c r="B45" s="145"/>
      <c r="C45" s="104">
        <f>+SUM(C65:C72)</f>
        <v>0</v>
      </c>
      <c r="D45" s="80">
        <f>+SUM(D65:D72)</f>
        <v>295000</v>
      </c>
      <c r="E45" s="27">
        <f>SUM(E65:E68)+SUM(E71:E72)</f>
        <v>65000</v>
      </c>
      <c r="F45" s="27">
        <f t="shared" ref="F45:J45" si="17">SUM(F65:F68)+SUM(F71:F72)</f>
        <v>65000</v>
      </c>
      <c r="G45" s="27">
        <f t="shared" si="17"/>
        <v>65000</v>
      </c>
      <c r="H45" s="27">
        <f t="shared" si="17"/>
        <v>65000</v>
      </c>
      <c r="I45" s="27">
        <f t="shared" si="17"/>
        <v>65000</v>
      </c>
      <c r="J45" s="27">
        <f t="shared" si="17"/>
        <v>65000</v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  <v>202.63221356168859</v>
      </c>
      <c r="F46" s="28">
        <f t="shared" si="18"/>
        <v>202.63221356168859</v>
      </c>
      <c r="G46" s="28">
        <f t="shared" si="18"/>
        <v>202.63221356168853</v>
      </c>
      <c r="H46" s="28">
        <f t="shared" si="18"/>
        <v>202.63221356168862</v>
      </c>
      <c r="I46" s="28">
        <f t="shared" si="18"/>
        <v>202.63221356168862</v>
      </c>
      <c r="J46" s="28">
        <f t="shared" si="18"/>
        <v>202.63221356168862</v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  <v>419.89998596879212</v>
      </c>
      <c r="F47" s="28">
        <f t="shared" si="19"/>
        <v>254.41471078135584</v>
      </c>
      <c r="G47" s="28">
        <f t="shared" si="19"/>
        <v>185.86625575264844</v>
      </c>
      <c r="H47" s="28">
        <f t="shared" si="19"/>
        <v>203.37708678410908</v>
      </c>
      <c r="I47" s="28">
        <f t="shared" si="19"/>
        <v>197.57012143591871</v>
      </c>
      <c r="J47" s="28">
        <f>+J51/J35</f>
        <v>194.54900187988849</v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  <v>1.0367900888118323E-2</v>
      </c>
      <c r="F48" s="32">
        <f t="shared" si="20"/>
        <v>1.0491328279643539E-2</v>
      </c>
      <c r="G48" s="32">
        <f t="shared" si="20"/>
        <v>8.8507740834594499E-3</v>
      </c>
      <c r="H48" s="32">
        <f t="shared" si="20"/>
        <v>1.1765616590816227E-2</v>
      </c>
      <c r="I48" s="32">
        <f t="shared" si="20"/>
        <v>1.3625525616270255E-2</v>
      </c>
      <c r="J48" s="32">
        <f t="shared" si="20"/>
        <v>1.49653078369145E-2</v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  <v>40500</v>
      </c>
      <c r="F49" s="28">
        <f t="shared" ref="F49:J49" si="21">+IFERROR(F51/SUM(F36:F39),0)</f>
        <v>24250</v>
      </c>
      <c r="G49" s="28">
        <f t="shared" si="21"/>
        <v>21000</v>
      </c>
      <c r="H49" s="28">
        <f t="shared" si="21"/>
        <v>17285.714285714286</v>
      </c>
      <c r="I49" s="28">
        <f t="shared" si="21"/>
        <v>14500</v>
      </c>
      <c r="J49" s="28">
        <f t="shared" si="21"/>
        <v>13000</v>
      </c>
      <c r="K49" s="11"/>
      <c r="L49" s="7"/>
    </row>
    <row r="50" spans="1:12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  <v>16000</v>
      </c>
      <c r="F50" s="65">
        <f t="shared" ref="F50:J50" si="22">+F36*$D$8+F38*$D$10</f>
        <v>32000</v>
      </c>
      <c r="G50" s="65">
        <f t="shared" si="22"/>
        <v>40000</v>
      </c>
      <c r="H50" s="65">
        <f t="shared" si="22"/>
        <v>56000</v>
      </c>
      <c r="I50" s="65">
        <f t="shared" si="22"/>
        <v>80000</v>
      </c>
      <c r="J50" s="65">
        <f t="shared" si="22"/>
        <v>104000</v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  <v>0</v>
      </c>
      <c r="D51" s="40">
        <f>+D45</f>
        <v>295000</v>
      </c>
      <c r="E51" s="40">
        <f>SUM(E45,E50)+E44</f>
        <v>81000</v>
      </c>
      <c r="F51" s="40">
        <f t="shared" ref="F51:I51" si="23">SUM(F45,F50)+F44</f>
        <v>97000</v>
      </c>
      <c r="G51" s="40">
        <f t="shared" si="23"/>
        <v>105000</v>
      </c>
      <c r="H51" s="40">
        <f t="shared" si="23"/>
        <v>121000</v>
      </c>
      <c r="I51" s="40">
        <f t="shared" si="23"/>
        <v>145000</v>
      </c>
      <c r="J51" s="40">
        <f>SUM(J45,J50)+J44</f>
        <v>169000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  <v>295000</v>
      </c>
      <c r="E55" s="27">
        <f>SUM(E65:E72)+E54</f>
        <v>215000</v>
      </c>
      <c r="F55" s="27">
        <f t="shared" ref="F55:J55" si="25">SUM(F65:F72)+F54</f>
        <v>215000</v>
      </c>
      <c r="G55" s="27">
        <f t="shared" si="25"/>
        <v>215000</v>
      </c>
      <c r="H55" s="27">
        <f t="shared" si="25"/>
        <v>215000</v>
      </c>
      <c r="I55" s="27">
        <f t="shared" si="25"/>
        <v>215000</v>
      </c>
      <c r="J55" s="27">
        <f t="shared" si="25"/>
        <v>215000</v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  <v>202.63221356168859</v>
      </c>
      <c r="F56" s="28">
        <f t="shared" si="26"/>
        <v>202.63221356168859</v>
      </c>
      <c r="G56" s="28">
        <f t="shared" si="26"/>
        <v>202.63221356168853</v>
      </c>
      <c r="H56" s="28">
        <f t="shared" si="26"/>
        <v>202.63221356168862</v>
      </c>
      <c r="I56" s="28">
        <f t="shared" si="26"/>
        <v>202.63221356168862</v>
      </c>
      <c r="J56" s="28">
        <f t="shared" si="26"/>
        <v>202.63221356168862</v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  <v>1114.5493454727198</v>
      </c>
      <c r="F57" s="28">
        <f t="shared" ref="F57:J57" si="27">+F61/F35</f>
        <v>563.9088950308402</v>
      </c>
      <c r="G57" s="28">
        <f t="shared" si="27"/>
        <v>380.58328558875633</v>
      </c>
      <c r="H57" s="28">
        <f t="shared" si="27"/>
        <v>361.37250957506984</v>
      </c>
      <c r="I57" s="28">
        <f t="shared" si="27"/>
        <v>292.94880074981046</v>
      </c>
      <c r="J57" s="28">
        <f t="shared" si="27"/>
        <v>247.50316807204749</v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  <v>1.0367900888118323E-2</v>
      </c>
      <c r="F58" s="32">
        <f t="shared" si="28"/>
        <v>1.0491328279643539E-2</v>
      </c>
      <c r="G58" s="32">
        <f t="shared" si="28"/>
        <v>8.8507740834594499E-3</v>
      </c>
      <c r="H58" s="32">
        <f t="shared" si="28"/>
        <v>1.1765616590816227E-2</v>
      </c>
      <c r="I58" s="32">
        <f t="shared" si="28"/>
        <v>1.3625525616270255E-2</v>
      </c>
      <c r="J58" s="32">
        <f t="shared" si="28"/>
        <v>1.49653078369145E-2</v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  <v>107500</v>
      </c>
      <c r="F59" s="28">
        <f t="shared" ref="F59:J59" si="29">+IFERROR(F55/F40,0)</f>
        <v>53750</v>
      </c>
      <c r="G59" s="28">
        <f t="shared" si="29"/>
        <v>43000</v>
      </c>
      <c r="H59" s="28">
        <f t="shared" si="29"/>
        <v>30714.285714285714</v>
      </c>
      <c r="I59" s="28">
        <f t="shared" si="29"/>
        <v>21500</v>
      </c>
      <c r="J59" s="28">
        <f t="shared" si="29"/>
        <v>16538.461538461539</v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  <v>295000</v>
      </c>
      <c r="E61" s="40">
        <f>+SUM(E65:E72)+E54</f>
        <v>215000</v>
      </c>
      <c r="F61" s="40">
        <f t="shared" ref="F61:J61" si="30">+SUM(F65:F72)+F54</f>
        <v>215000</v>
      </c>
      <c r="G61" s="40">
        <f t="shared" si="30"/>
        <v>215000</v>
      </c>
      <c r="H61" s="40">
        <f t="shared" si="30"/>
        <v>215000</v>
      </c>
      <c r="I61" s="40">
        <f t="shared" si="30"/>
        <v>215000</v>
      </c>
      <c r="J61" s="40">
        <f t="shared" si="30"/>
        <v>215000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193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215000</v>
      </c>
      <c r="F73" s="114">
        <f t="shared" si="32"/>
        <v>215000</v>
      </c>
      <c r="G73" s="114">
        <f t="shared" si="32"/>
        <v>215000</v>
      </c>
      <c r="H73" s="114">
        <f t="shared" si="32"/>
        <v>215000</v>
      </c>
      <c r="I73" s="114">
        <f t="shared" si="32"/>
        <v>215000</v>
      </c>
      <c r="J73" s="114">
        <f t="shared" si="32"/>
        <v>215000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96F2-79D8-5023-B49B-E468DC771929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+SIM②_成果報酬!D24</f>
        <v>--</v>
      </c>
      <c r="D4" s="28">
        <f>+SIM②_成果報酬!G51</f>
        <v>105000</v>
      </c>
      <c r="E4" s="28">
        <f>+SIM②_成果報酬!J51</f>
        <v>169000</v>
      </c>
      <c r="F4" s="28"/>
    </row>
    <row r="5" spans="1:25" hidden="1" x14ac:dyDescent="0.55000000000000004">
      <c r="A5" s="85" t="s">
        <v>140</v>
      </c>
      <c r="B5" s="7"/>
      <c r="C5" s="86" t="str">
        <f>+SIM②_成果報酬!D25</f>
        <v>--</v>
      </c>
      <c r="D5" s="28">
        <f>+SIM②_成果報酬!G61</f>
        <v>215000</v>
      </c>
      <c r="E5" s="28">
        <f>+SIM②_成果報酬!J61</f>
        <v>215000</v>
      </c>
      <c r="F5" s="27"/>
    </row>
    <row r="6" spans="1:25" x14ac:dyDescent="0.55000000000000004">
      <c r="A6" s="85" t="s">
        <v>74</v>
      </c>
      <c r="B6" s="7"/>
      <c r="C6" s="117">
        <f>+SIM②_成果報酬!D28</f>
        <v>0</v>
      </c>
      <c r="D6" s="87">
        <f>+SIM②_成果報酬!G28</f>
        <v>888.30890625000006</v>
      </c>
      <c r="E6" s="87">
        <f>+SIM②_成果報酬!J28</f>
        <v>1776.6178124999999</v>
      </c>
      <c r="F6" s="10"/>
    </row>
    <row r="7" spans="1:25" x14ac:dyDescent="0.55000000000000004">
      <c r="A7" s="85" t="s">
        <v>75</v>
      </c>
      <c r="B7" s="7"/>
      <c r="C7" s="88">
        <f>+SIM②_成果報酬!D27</f>
        <v>0</v>
      </c>
      <c r="D7" s="89">
        <f>+SIM②_成果報酬!G27</f>
        <v>0.33619999999999994</v>
      </c>
      <c r="E7" s="89">
        <f>+SIM②_成果報酬!J27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+SIM②_成果報酬!D29</f>
        <v>0</v>
      </c>
      <c r="D8" s="10">
        <f>+SIM②_成果報酬!G29</f>
        <v>589.65945196875009</v>
      </c>
      <c r="E8" s="10">
        <f>+SIM②_成果報酬!J29</f>
        <v>1133.3922175463119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+SIM②_成果報酬!D34</f>
        <v>0</v>
      </c>
      <c r="D10" s="10">
        <f>+SIM②_成果報酬!G34</f>
        <v>2358.6378078750004</v>
      </c>
      <c r="E10" s="10">
        <f>+SIM②_成果報酬!J34</f>
        <v>3626.8550961481988</v>
      </c>
      <c r="F10" s="10"/>
    </row>
    <row r="11" spans="1:25" x14ac:dyDescent="0.55000000000000004">
      <c r="A11" s="85" t="s">
        <v>79</v>
      </c>
      <c r="B11" s="7"/>
      <c r="C11" s="117">
        <f>+SIM②_成果報酬!D35</f>
        <v>0</v>
      </c>
      <c r="D11" s="10">
        <f>+SIM②_成果報酬!G35</f>
        <v>564.92233931765657</v>
      </c>
      <c r="E11" s="10">
        <f>+SIM②_成果報酬!J35</f>
        <v>868.67574938440418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185.86625575264844</v>
      </c>
      <c r="E12" s="28">
        <f t="shared" ref="E12" si="0">+E4/E11</f>
        <v>194.54900187988849</v>
      </c>
      <c r="F12" s="28"/>
    </row>
    <row r="13" spans="1:25" hidden="1" x14ac:dyDescent="0.55000000000000004">
      <c r="A13" s="85" t="s">
        <v>147</v>
      </c>
      <c r="B13" s="7"/>
      <c r="C13" s="28">
        <f>+IFERROR(C6/C12,0)</f>
        <v>0</v>
      </c>
      <c r="D13" s="28">
        <f>+D5/D11</f>
        <v>380.58328558875633</v>
      </c>
      <c r="E13" s="28">
        <f t="shared" ref="E13" si="1">+E5/E11</f>
        <v>247.50316807204749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+SIM②_成果報酬!$H$10</f>
        <v>150</v>
      </c>
      <c r="D15" s="87">
        <f>+SIM②_成果報酬!$H$10</f>
        <v>150</v>
      </c>
      <c r="E15" s="87">
        <f>+SIM②_成果報酬!$H$10</f>
        <v>150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5</v>
      </c>
      <c r="E16" s="87">
        <f>SUM(E17:E20)</f>
        <v>13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+SIM②_成果報酬!D36</f>
        <v>0</v>
      </c>
      <c r="D17" s="87">
        <f>+SIM②_成果報酬!G36</f>
        <v>4</v>
      </c>
      <c r="E17" s="87">
        <f>+SIM②_成果報酬!J36</f>
        <v>8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+SIM②_成果報酬!D37</f>
        <v>0</v>
      </c>
      <c r="D18" s="87">
        <f>+SIM②_成果報酬!G37</f>
        <v>0</v>
      </c>
      <c r="E18" s="87">
        <f>+SIM②_成果報酬!J37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187</v>
      </c>
      <c r="B19" s="7"/>
      <c r="C19" s="87">
        <f>+SIM②_成果報酬!D38</f>
        <v>0</v>
      </c>
      <c r="D19" s="87">
        <f>+SIM②_成果報酬!G38</f>
        <v>1</v>
      </c>
      <c r="E19" s="87">
        <f>+SIM②_成果報酬!J38</f>
        <v>5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+SIM②_成果報酬!D39</f>
        <v>0</v>
      </c>
      <c r="D20" s="87">
        <f>+SIM②_成果報酬!G39</f>
        <v>0</v>
      </c>
      <c r="E20" s="87">
        <f>+SIM②_成果報酬!J39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21000</v>
      </c>
      <c r="E22" s="90">
        <f t="shared" si="2"/>
        <v>13000</v>
      </c>
      <c r="F22" s="90"/>
      <c r="R22" s="34"/>
      <c r="T22" s="34"/>
      <c r="V22" s="34"/>
      <c r="X22" s="34"/>
      <c r="Y22" s="35"/>
    </row>
    <row r="23" spans="1:25" hidden="1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43000</v>
      </c>
      <c r="E23" s="90">
        <f t="shared" ref="E23" si="4">+IFERROR(E5/E16,"--")</f>
        <v>16538.461538461539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+SIM②_成果報酬!E68+C29*C30</f>
        <v>5000</v>
      </c>
      <c r="D25" s="10">
        <f>+SIM②_成果報酬!G68+D29*D30</f>
        <v>5000</v>
      </c>
      <c r="E25" s="10">
        <f>+SIM②_成果報酬!J68+E29*E30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SIM①_コンサル</vt:lpstr>
      <vt:lpstr>SIM①_比較</vt:lpstr>
      <vt:lpstr>SIM②_成果報酬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2026-10-29T05:24:15Z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
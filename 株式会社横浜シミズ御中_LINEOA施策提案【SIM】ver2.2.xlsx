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72ED57BE-AF90-4E88-B733-C7F944D72E28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コンサル" sheetId="1" r:id="rId1"/>
    <sheet name="SIM①_比較" sheetId="2" r:id="rId2"/>
    <sheet name="SIM②_成果報酬" sheetId="3" r:id="rId100"/>
    <sheet name="SIM②_比較" sheetId="4" r:id="rId101"/>
    <sheet name="SIM考え方" sheetId="5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<sst xmlns="http://schemas.openxmlformats.org/spreadsheetml/2006/main" count="280" uniqueCount="195">
  <si>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</si>
  <si>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</si>
  <si>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</si>
  <si>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</si>
  <si>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</si>
  <si>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</si>
  <si>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</si>
  <si>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</si>
  <si>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</si>
  <si>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</si>
  <si>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</si>
  <si>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</si>
  <si>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</si>
  <si>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</si>
  <si>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</si>
  <si>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</si>
  <si>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</si>
  <si>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</si>
  <si>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</si>
  <si>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</si>
  <si>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</si>
  <si>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</si>
  <si>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</si>
  <si>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</si>
  <si>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</si>
  <si>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</si>
  <si>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</si>
  <si>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</si>
  <si>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</si>
  <si>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</si>
  <si>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</si>
  <si>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</si>
  <si>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</si>
  <si>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</si>
  <si>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</si>
  <si>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</si>
  <si>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</si>
  <si>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</si>
  <si>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</si>
  <si>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</si>
  <si>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</si>
  <si>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</si>
  <si>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</si>
  <si>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</si>
  <si>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</si>
  <si>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</si>
  <si>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</si>
  <si>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</si>
  <si>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</si>
  <si>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</si>
  <si>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</si>
  <si>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</si>
  <si>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</si>
  <si>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</si>
  <si>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</si>
  <si>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</si>
  <si>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</si>
  <si>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</si>
  <si>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</si>
  <si>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</si>
  <si>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</si>
  <si>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</si>
  <si>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</si>
  <si>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</si>
  <si>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</si>
  <si>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</si>
  <si>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</si>
  <si>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</si>
  <si>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</si>
  <si>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</si>
  <si>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</si>
  <si>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</si>
  <si>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</si>
  <si>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</si>
  <si>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</si>
  <si>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</si>
  <si>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</si>
  <si>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</si>
  <si>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</si>
  <si>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</si>
  <si>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</si>
  <si>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</si>
  <si>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</si>
  <si>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</si>
  <si>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</si>
  <si>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</si>
  <si>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</si>
  <si>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</si>
  <si>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</si>
  <si>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</si>
  <si>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</si>
  <si>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</si>
  <si>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</si>
  <si>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</si>
  <si>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</si>
  <si>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</si>
  <si>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</si>
  <si>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</si>
  <si>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</si>
  <si>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</si>
  <si>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</si>
  <si>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</si>
  <si>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</si>
  <si>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</si>
  <si>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</si>
  <si>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</si>
  <si>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</si>
  <si>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</si>
  <si>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</si>
  <si>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</si>
  <si>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</si>
  <si>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</si>
  <si>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</si>
  <si>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</si>
  <si>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</si>
  <si>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</si>
  <si>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</si>
  <si>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</si>
  <si>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</si>
  <si>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</si>
  <si>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</si>
  <si>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</si>
  <si>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</si>
  <si>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</si>
  <si>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</si>
  <si>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</si>
  <si>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</si>
  <si>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</si>
  <si>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</si>
  <si>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</si>
  <si>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</si>
  <si>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</si>
  <si>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</si>
  <si>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</si>
  <si>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</si>
  <si>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</si>
  <si>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</si>
  <si>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</si>
  <si>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</si>
  <si>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</si>
  <si>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</si>
  <si>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</si>
  <si>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</si>
  <si>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</si>
  <si>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</si>
  <si>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</si>
  <si>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</si>
  <si>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</si>
  <si>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</si>
  <si>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</si>
  <si>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</si>
  <si>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</si>
  <si>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</si>
  <si>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</si>
  <si>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</si>
  <si>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</si>
  <si>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</si>
  <si>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</si>
  <si>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</si>
  <si>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</si>
  <si>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</si>
  <si>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</si>
  <si>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サイトUU</t>
  </si>
  <si>
    <t>うち広告</t>
  </si>
  <si>
    <t>応募（サイト・仮に）</t>
  </si>
  <si>
    <t>1か月目</t>
  </si>
  <si>
    <t>2か月目</t>
  </si>
  <si>
    <t>3か月目</t>
  </si>
  <si>
    <t>4か月目</t>
  </si>
  <si>
    <t>5か月目</t>
  </si>
  <si>
    <t>6か月目</t>
  </si>
  <si>
    <t>求人サイトの月間UU 8,947（与件）。6か月同じ</t>
  </si>
  <si>
    <t>離脱防止ポップアップ</t>
  </si>
  <si>
    <t>離脱防止ポップアップ＝UU×表示65%×クリック12.5%×追加12.5%（定義テキストの係数）</t>
  </si>
  <si>
    <t>サンクスLINE誘導</t>
  </si>
  <si>
    <t>サンクスLINE誘導：初期15万円・月3万円〜</t>
  </si>
  <si>
    <t>アカウント費：FMTの式（開設3万円）</t>
  </si>
  <si>
    <t>CV数（+LINEOA施策）</t>
  </si>
  <si>
    <t>新規応募</t>
  </si>
  <si>
    <t>再応募</t>
  </si>
  <si>
    <t>サイトからの応募は与件に無いので、仮にUUの1.0%（月89件・資料と同じ）</t>
  </si>
  <si>
    <t>サンクスLINE誘導＝応募×遷移80%×追加40%（資料と同じ・定義テキストの係数）</t>
  </si>
  <si>
    <t>ブロック率：1か月目（E27）から、2か月目以降は前の月×1.025（式）</t>
  </si>
  <si>
    <t>企画配信 月4回（週1回。次回イベントの募集・会場の案内）</t>
  </si>
  <si>
    <t>LINE運用（運用代行・効率改善）</t>
  </si>
  <si>
    <t>LINE運用：資料の金額（初期構築10万円・月10万円）</t>
  </si>
  <si>
    <t>CV①_新規応募</t>
  </si>
  <si>
    <t>CV③_再応募</t>
  </si>
  <si>
    <t>株式会社横浜シミズ御中_LINEOA施策提案【SIM】（サイトのLINEボタン＋離脱防止＋サンクスLINE誘導）</t>
  </si>
  <si>
    <t>CV①新規応募：サイトのLINEボタン・離脱防止で友だちになった方（応募前）が、配信から応募した数。サンクスLINE誘導で友だちになった方は応募済みなので、新規応募には数えない</t>
  </si>
  <si>
    <t>サイトのLINEボタン（UUの0.5%・FMTの係数）＋離脱防止ポップアップ＋サンクスLINE誘導</t>
  </si>
  <si>
    <t>ステップ配信 4通（あいさつメッセージの後、友だち追加から14日以内）</t>
  </si>
  <si>
    <t>新規応募：サイトのLINEボタン・離脱防止で友だちになった方が、企画配信・ステップ配信から応募した数</t>
  </si>
  <si>
    <t>再応募：一度勤務した方が、次回イベントの募集から勤務希望を出した数（応募→勤務を経てからなので3か月目から）</t>
  </si>
  <si>
    <t>離脱防止ポップアップ：初期1.5万円・月3万円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</si>
</sst>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00" Type="http://schemas.openxmlformats.org/officeDocument/2006/relationships/worksheet" Target="worksheets/sheet4.xml"/><Relationship Id="rId101" Type="http://schemas.openxmlformats.org/officeDocument/2006/relationships/worksheet" Target="worksheets/sheet5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16" zoomScale="70" zoomScaleNormal="55" workbookViewId="0">
      <selection activeCell="D14" sqref="D1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inlineStr">
        <is>
          <t xml:space="preserve">株式会社横浜シミズ御中_LINEOA施策提案【SIM】コンサル（サイトのLINEボタン＋離脱防止＋サンクスLINE誘導）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0</v>
      </c>
      <c r="G8" s="121" t="s">
        <v>162</v>
      </c>
      <c r="H8" s="122">
        <v>8947</v>
      </c>
      <c r="I8" s="123"/>
      <c r="J8" s="123" t="s">
        <v>69</v>
      </c>
      <c r="K8" s="129">
        <v>0</v>
      </c>
      <c r="N8" s="69" t="s">
        <v>189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61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0</v>
      </c>
      <c r="G10" s="124" t="s">
        <v>164</v>
      </c>
      <c r="H10" s="125">
        <v>150</v>
      </c>
      <c r="I10" s="22" t="s">
        <v>154</v>
      </c>
      <c r="J10" s="29"/>
      <c r="K10" s="118"/>
      <c r="N10" s="132" t="inlineStr">
        <is>
          <t xml:space="preserve">サイトからの応募は、仮に月150件（新規登録は月約300人＝マイナビの求人10件×1件30人×4週ごと。そのうち自社サイトからの応募を半分と置いた。マイナビ経由はマイナビの完了画面で終わるので、サンクスLINE誘導の母数に入れない）</t>
        </is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</c>
      <c r="F23" s="46">
        <f t="shared" si="3"/>
      </c>
      <c r="G23" s="63">
        <f t="shared" si="3"/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</c>
      <c r="F24" s="63">
        <f t="shared" si="4"/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181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190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</c>
      <c r="G27" s="47">
        <f>+F$27*1.025</f>
      </c>
      <c r="H27" s="47">
        <f>+G$27*1.025</f>
      </c>
      <c r="I27" s="47">
        <f>+H$27*1.025</f>
      </c>
      <c r="J27" s="47">
        <f>+I$27*1.025</f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</c>
      <c r="F28" s="49">
        <f t="shared" ref="F28:J28" si="7">+E28+F26</f>
      </c>
      <c r="G28" s="49">
        <f t="shared" si="7"/>
      </c>
      <c r="H28" s="49">
        <f t="shared" si="7"/>
      </c>
      <c r="I28" s="49">
        <f t="shared" si="7"/>
      </c>
      <c r="J28" s="49">
        <f t="shared" si="7"/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</c>
      <c r="E29" s="50">
        <f>+E28*(1-E27)</f>
      </c>
      <c r="F29" s="50">
        <f t="shared" ref="F29:J29" si="8">+F28*(1-F27)</f>
      </c>
      <c r="G29" s="50">
        <f t="shared" si="8"/>
      </c>
      <c r="H29" s="50">
        <f t="shared" si="8"/>
      </c>
      <c r="I29" s="50">
        <f t="shared" si="8"/>
      </c>
      <c r="J29" s="50">
        <f t="shared" si="8"/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191</v>
      </c>
      <c r="O32" s="17" t="s">
        <v>125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</c>
      <c r="F33" s="63">
        <f t="shared" ref="F33:G33" si="9">+F29*F32*$P$26*$P$27*$P$28*$P$36</f>
      </c>
      <c r="G33" s="63">
        <f t="shared" si="9"/>
      </c>
      <c r="H33" s="63">
        <f>+H29*H32*$P$26*$P$27*$P$28*$P$36*$Q$28</f>
      </c>
      <c r="I33" s="63">
        <f t="shared" ref="I33:J33" si="10">+I29*I32*$P$26*$P$27*$P$28*$P$36*$Q$28</f>
      </c>
      <c r="J33" s="63">
        <f t="shared" si="10"/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</c>
    </row>
    <row r="34" spans="1:17" ht="19" x14ac:dyDescent="0.55000000000000004">
      <c r="A34" s="143" t="s">
        <v>25</v>
      </c>
      <c r="B34" s="144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134</v>
      </c>
      <c r="P34" s="75" t="b">
        <v>1</v>
      </c>
      <c r="Q34" s="73">
        <f t="shared" si="11"/>
      </c>
    </row>
    <row r="35" spans="1:17" ht="19" x14ac:dyDescent="0.55000000000000004">
      <c r="A35" s="143" t="s">
        <v>24</v>
      </c>
      <c r="B35" s="144"/>
      <c r="C35" s="102"/>
      <c r="D35" s="109">
        <f>+D31*1.02</f>
      </c>
      <c r="E35" s="50">
        <f>+E31+E33+1.05*(E31+E33)</f>
      </c>
      <c r="F35" s="50">
        <f t="shared" ref="F35:J35" si="12">+F31+F33+1.05*(F31+F33)</f>
      </c>
      <c r="G35" s="50">
        <f t="shared" si="12"/>
      </c>
      <c r="H35" s="50">
        <f t="shared" si="12"/>
      </c>
      <c r="I35" s="50">
        <f t="shared" si="12"/>
      </c>
      <c r="J35" s="50">
        <f t="shared" si="12"/>
      </c>
      <c r="K35" s="11"/>
      <c r="L35" s="7"/>
      <c r="O35" s="17" t="s">
        <v>135</v>
      </c>
      <c r="P35" s="75" t="b">
        <v>1</v>
      </c>
      <c r="Q35" s="73">
        <f t="shared" si="11"/>
      </c>
    </row>
    <row r="36" spans="1:17" x14ac:dyDescent="0.55000000000000004">
      <c r="A36" s="145" t="s">
        <v>5</v>
      </c>
      <c r="B36" s="6">
        <f>+C8</f>
      </c>
      <c r="C36" s="6"/>
      <c r="D36" s="11">
        <v>0</v>
      </c>
      <c r="E36" s="111">
        <v>2</v>
      </c>
      <c r="F36" s="111">
        <v>2</v>
      </c>
      <c r="G36" s="111">
        <v>4</v>
      </c>
      <c r="H36" s="111">
        <v>5</v>
      </c>
      <c r="I36" s="111">
        <v>5</v>
      </c>
      <c r="J36" s="111">
        <v>6</v>
      </c>
      <c r="K36" s="115">
        <f>SUM(E36:J36)</f>
      </c>
      <c r="L36" s="7"/>
      <c r="N36" s="69" t="s">
        <v>192</v>
      </c>
      <c r="O36" s="17" t="s">
        <v>126</v>
      </c>
      <c r="P36" s="74">
        <f>1*(Q32*Q33*Q34*Q35)</f>
      </c>
      <c r="Q36" s="73"/>
    </row>
    <row r="37" spans="1:17" x14ac:dyDescent="0.55000000000000004">
      <c r="A37" s="146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s">
        <v>117</v>
      </c>
    </row>
    <row r="38" spans="1:17" x14ac:dyDescent="0.55000000000000004">
      <c r="A38" s="145" t="s">
        <v>8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1</v>
      </c>
      <c r="H38" s="111">
        <v>2</v>
      </c>
      <c r="I38" s="111">
        <v>3</v>
      </c>
      <c r="J38" s="111">
        <v>3</v>
      </c>
      <c r="K38" s="115">
        <f>SUM(E38:J38)</f>
      </c>
      <c r="L38" s="7"/>
      <c r="N38" s="69" t="s">
        <v>193</v>
      </c>
      <c r="O38" s="21" t="s">
        <v>36</v>
      </c>
    </row>
    <row r="39" spans="1:17" x14ac:dyDescent="0.55000000000000004">
      <c r="A39" s="146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</c>
      <c r="E40" s="10">
        <f t="shared" si="13"/>
      </c>
      <c r="F40" s="10">
        <f t="shared" si="13"/>
      </c>
      <c r="G40" s="10">
        <f t="shared" si="13"/>
      </c>
      <c r="H40" s="10">
        <f t="shared" si="13"/>
      </c>
      <c r="I40" s="10">
        <f t="shared" si="13"/>
      </c>
      <c r="J40" s="10">
        <f t="shared" si="13"/>
      </c>
      <c r="K40" s="115">
        <f>SUM(E40:J40)</f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</c>
      <c r="E41" s="18">
        <f>+IFERROR(E40/E35,0)</f>
      </c>
      <c r="F41" s="18">
        <f t="shared" ref="F41:J41" si="15">+IFERROR(F40/F35,0)</f>
      </c>
      <c r="G41" s="18">
        <f t="shared" si="15"/>
      </c>
      <c r="H41" s="18">
        <f t="shared" si="15"/>
      </c>
      <c r="I41" s="18">
        <f t="shared" si="15"/>
      </c>
      <c r="J41" s="18">
        <f t="shared" si="15"/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 hidden="1">
      <c r="A43" s="29" t="s">
        <v>50</v>
      </c>
      <c r="C43" s="5" t="s">
        <v>149</v>
      </c>
      <c r="D43" s="5" t="s">
        <v>150</v>
      </c>
    </row>
    <row r="44" spans="1:17" x14ac:dyDescent="0.55000000000000004" hidden="1">
      <c r="A44" s="137" t="s">
        <v>26</v>
      </c>
      <c r="B44" s="138"/>
      <c r="C44" s="103"/>
      <c r="D44" s="16" t="s">
        <v>21</v>
      </c>
      <c r="E44" s="31">
        <f>+E75*E76</f>
      </c>
      <c r="F44" s="31">
        <f t="shared" ref="F44:J44" si="16">+F75*F76</f>
      </c>
      <c r="G44" s="31">
        <f t="shared" si="16"/>
      </c>
      <c r="H44" s="31">
        <f t="shared" si="16"/>
      </c>
      <c r="I44" s="31">
        <f t="shared" si="16"/>
      </c>
      <c r="J44" s="31">
        <f t="shared" si="16"/>
      </c>
      <c r="K44" s="11"/>
      <c r="L44" s="7"/>
    </row>
    <row r="45" spans="1:17" x14ac:dyDescent="0.55000000000000004" hidden="1">
      <c r="A45" s="137" t="s">
        <v>131</v>
      </c>
      <c r="B45" s="138"/>
      <c r="C45" s="104">
        <f>+SUM(C65:C72)</f>
      </c>
      <c r="D45" s="80">
        <f>+SUM(D65:D72)</f>
      </c>
      <c r="E45" s="27">
        <f>SUM(E65:E68)+SUM(E71:E72)</f>
      </c>
      <c r="F45" s="27">
        <f t="shared" ref="F45:J45" si="17">SUM(F65:F68)+SUM(F71:F72)</f>
      </c>
      <c r="G45" s="27">
        <f t="shared" si="17"/>
      </c>
      <c r="H45" s="27">
        <f t="shared" si="17"/>
      </c>
      <c r="I45" s="27">
        <f t="shared" si="17"/>
      </c>
      <c r="J45" s="27">
        <f t="shared" si="17"/>
      </c>
      <c r="K45" s="11"/>
      <c r="L45" s="7"/>
    </row>
    <row r="46" spans="1:17" x14ac:dyDescent="0.55000000000000004" hidden="1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</c>
      <c r="F46" s="28">
        <f t="shared" si="18"/>
      </c>
      <c r="G46" s="28">
        <f t="shared" si="18"/>
      </c>
      <c r="H46" s="28">
        <f t="shared" si="18"/>
      </c>
      <c r="I46" s="28">
        <f t="shared" si="18"/>
      </c>
      <c r="J46" s="28">
        <f t="shared" si="18"/>
      </c>
      <c r="K46" s="11"/>
      <c r="L46" s="7"/>
    </row>
    <row r="47" spans="1:17" x14ac:dyDescent="0.55000000000000004" hidden="1">
      <c r="A47" s="137" t="s">
        <v>17</v>
      </c>
      <c r="B47" s="138"/>
      <c r="C47" s="103"/>
      <c r="D47" s="16" t="s">
        <v>21</v>
      </c>
      <c r="E47" s="28">
        <f t="shared" ref="E47:I47" si="19">+E51/E35</f>
      </c>
      <c r="F47" s="28">
        <f t="shared" si="19"/>
      </c>
      <c r="G47" s="28">
        <f t="shared" si="19"/>
      </c>
      <c r="H47" s="28">
        <f t="shared" si="19"/>
      </c>
      <c r="I47" s="28">
        <f t="shared" si="19"/>
      </c>
      <c r="J47" s="28">
        <f>+J51/J35</f>
      </c>
      <c r="K47" s="11"/>
      <c r="L47" s="7"/>
    </row>
    <row r="48" spans="1:17" x14ac:dyDescent="0.55000000000000004" hidden="1">
      <c r="A48" s="137" t="s">
        <v>19</v>
      </c>
      <c r="B48" s="138"/>
      <c r="C48" s="103"/>
      <c r="D48" s="16" t="s">
        <v>21</v>
      </c>
      <c r="E48" s="32">
        <f t="shared" ref="E48:J48" si="20">+SUM(E36:E39)/E35</f>
      </c>
      <c r="F48" s="32">
        <f t="shared" si="20"/>
      </c>
      <c r="G48" s="32">
        <f t="shared" si="20"/>
      </c>
      <c r="H48" s="32">
        <f t="shared" si="20"/>
      </c>
      <c r="I48" s="32">
        <f t="shared" si="20"/>
      </c>
      <c r="J48" s="32">
        <f t="shared" si="20"/>
      </c>
      <c r="K48" s="11"/>
      <c r="L48" s="7"/>
    </row>
    <row r="49" spans="1:12" x14ac:dyDescent="0.55000000000000004" hidden="1">
      <c r="A49" s="139" t="s">
        <v>18</v>
      </c>
      <c r="B49" s="140"/>
      <c r="C49" s="105"/>
      <c r="D49" s="16" t="s">
        <v>21</v>
      </c>
      <c r="E49" s="28">
        <f>+IFERROR(E51/SUM(E36:E39),0)</f>
      </c>
      <c r="F49" s="28">
        <f t="shared" ref="F49:J49" si="21">+IFERROR(F51/SUM(F36:F39),0)</f>
      </c>
      <c r="G49" s="28">
        <f t="shared" si="21"/>
      </c>
      <c r="H49" s="28">
        <f t="shared" si="21"/>
      </c>
      <c r="I49" s="28">
        <f t="shared" si="21"/>
      </c>
      <c r="J49" s="28">
        <f t="shared" si="21"/>
      </c>
      <c r="K49" s="11"/>
      <c r="L49" s="7"/>
    </row>
    <row r="50" spans="1:12" x14ac:dyDescent="0.55000000000000004" hidden="1">
      <c r="A50" s="139" t="s">
        <v>115</v>
      </c>
      <c r="B50" s="140"/>
      <c r="C50" s="105"/>
      <c r="D50" s="64" t="s">
        <v>21</v>
      </c>
      <c r="E50" s="65">
        <f>+E36*$D$8+E38*$D$10</f>
      </c>
      <c r="F50" s="65">
        <f t="shared" ref="F50:J50" si="22">+F36*$D$8+F38*$D$10</f>
      </c>
      <c r="G50" s="65">
        <f t="shared" si="22"/>
      </c>
      <c r="H50" s="65">
        <f t="shared" si="22"/>
      </c>
      <c r="I50" s="65">
        <f t="shared" si="22"/>
      </c>
      <c r="J50" s="65">
        <f t="shared" si="22"/>
      </c>
      <c r="K50" s="11"/>
      <c r="L50" s="7"/>
    </row>
    <row r="51" spans="1:12" x14ac:dyDescent="0.55000000000000004" hidden="1">
      <c r="A51" s="135" t="s">
        <v>68</v>
      </c>
      <c r="B51" s="136"/>
      <c r="C51" s="110">
        <f>+C45</f>
      </c>
      <c r="D51" s="40">
        <f>+D45</f>
      </c>
      <c r="E51" s="40">
        <f>SUM(E45,E50)+E44</f>
      </c>
      <c r="F51" s="40">
        <f t="shared" ref="F51:I51" si="23">SUM(F45,F50)+F44</f>
      </c>
      <c r="G51" s="40">
        <f t="shared" si="23"/>
      </c>
      <c r="H51" s="40">
        <f t="shared" si="23"/>
      </c>
      <c r="I51" s="40">
        <f t="shared" si="23"/>
      </c>
      <c r="J51" s="40">
        <f>SUM(J45,J50)+J44</f>
      </c>
      <c r="K51" s="11"/>
      <c r="L51" s="7"/>
    </row>
    <row r="52" spans="1:12" x14ac:dyDescent="0.55000000000000004" hidden="1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</c>
      <c r="E54" s="28">
        <f t="shared" ref="E54:J54" si="24">+E75*E76</f>
      </c>
      <c r="F54" s="28">
        <f t="shared" si="24"/>
      </c>
      <c r="G54" s="28">
        <f t="shared" si="24"/>
      </c>
      <c r="H54" s="28">
        <f t="shared" si="24"/>
      </c>
      <c r="I54" s="28">
        <f t="shared" si="24"/>
      </c>
      <c r="J54" s="28">
        <f t="shared" si="24"/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</c>
      <c r="E55" s="27">
        <f>SUM(E65:E72)+E54</f>
      </c>
      <c r="F55" s="27">
        <f t="shared" ref="F55:J55" si="25">SUM(F65:F72)+F54</f>
      </c>
      <c r="G55" s="27">
        <f t="shared" si="25"/>
      </c>
      <c r="H55" s="27">
        <f t="shared" si="25"/>
      </c>
      <c r="I55" s="27">
        <f t="shared" si="25"/>
      </c>
      <c r="J55" s="27">
        <f t="shared" si="25"/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</c>
      <c r="F56" s="28">
        <f t="shared" si="26"/>
      </c>
      <c r="G56" s="28">
        <f t="shared" si="26"/>
      </c>
      <c r="H56" s="28">
        <f t="shared" si="26"/>
      </c>
      <c r="I56" s="28">
        <f t="shared" si="26"/>
      </c>
      <c r="J56" s="28">
        <f t="shared" si="26"/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</c>
      <c r="F57" s="28">
        <f t="shared" ref="F57:J57" si="27">+F61/F35</f>
      </c>
      <c r="G57" s="28">
        <f t="shared" si="27"/>
      </c>
      <c r="H57" s="28">
        <f t="shared" si="27"/>
      </c>
      <c r="I57" s="28">
        <f t="shared" si="27"/>
      </c>
      <c r="J57" s="28">
        <f t="shared" si="27"/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</c>
      <c r="F58" s="32">
        <f t="shared" si="28"/>
      </c>
      <c r="G58" s="32">
        <f t="shared" si="28"/>
      </c>
      <c r="H58" s="32">
        <f t="shared" si="28"/>
      </c>
      <c r="I58" s="32">
        <f t="shared" si="28"/>
      </c>
      <c r="J58" s="32">
        <f t="shared" si="28"/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</c>
      <c r="F59" s="28">
        <f t="shared" ref="F59:J59" si="29">+IFERROR(F55/F40,0)</f>
      </c>
      <c r="G59" s="28">
        <f t="shared" si="29"/>
      </c>
      <c r="H59" s="28">
        <f t="shared" si="29"/>
      </c>
      <c r="I59" s="28">
        <f t="shared" si="29"/>
      </c>
      <c r="J59" s="28">
        <f t="shared" si="29"/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</c>
      <c r="E61" s="40">
        <f>+SUM(E65:E72)+E54</f>
      </c>
      <c r="F61" s="40">
        <f t="shared" ref="F61:J61" si="30">+SUM(F65:F72)+F54</f>
      </c>
      <c r="G61" s="40">
        <f t="shared" si="30"/>
      </c>
      <c r="H61" s="40">
        <f t="shared" si="30"/>
      </c>
      <c r="I61" s="40">
        <f t="shared" si="30"/>
      </c>
      <c r="J61" s="40">
        <f t="shared" si="30"/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194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</c>
      <c r="F68" s="28">
        <f t="shared" si="31"/>
      </c>
      <c r="G68" s="28">
        <f t="shared" si="31"/>
      </c>
      <c r="H68" s="28">
        <f t="shared" si="31"/>
      </c>
      <c r="I68" s="28">
        <f t="shared" si="31"/>
      </c>
      <c r="J68" s="28">
        <f t="shared" si="31"/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</c>
      <c r="E73" s="114">
        <f t="shared" ref="E73:J73" si="32">SUM(E65:E72)+E54</f>
      </c>
      <c r="F73" s="114">
        <f t="shared" si="32"/>
      </c>
      <c r="G73" s="114">
        <f t="shared" si="32"/>
      </c>
      <c r="H73" s="114">
        <f t="shared" si="32"/>
      </c>
      <c r="I73" s="114">
        <f t="shared" si="32"/>
      </c>
      <c r="J73" s="114">
        <f t="shared" si="32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</c>
      <c r="E75" s="41">
        <f t="shared" si="33"/>
      </c>
      <c r="F75" s="41">
        <f t="shared" si="33"/>
      </c>
      <c r="G75" s="41">
        <f t="shared" si="33"/>
      </c>
      <c r="H75" s="41">
        <f t="shared" si="33"/>
      </c>
      <c r="I75" s="41">
        <f t="shared" si="33"/>
      </c>
      <c r="J75" s="41">
        <f t="shared" si="33"/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4"/>
      </c>
      <c r="F76" s="5">
        <f t="shared" si="34"/>
      </c>
      <c r="G76" s="5">
        <f t="shared" si="34"/>
      </c>
      <c r="H76" s="5">
        <f t="shared" si="34"/>
      </c>
      <c r="I76" s="5">
        <f t="shared" si="34"/>
      </c>
      <c r="J76" s="5">
        <f t="shared" si="34"/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 hidden="1">
      <c r="A4" s="85" t="s">
        <v>139</v>
      </c>
      <c r="B4" s="7"/>
      <c r="C4" s="86">
        <f>+'SIM①_コンサル'!D24</f>
      </c>
      <c r="D4" s="28">
        <f>+'SIM①_コンサル'!G51</f>
      </c>
      <c r="E4" s="28">
        <f>+'SIM①_コンサル'!J51</f>
      </c>
      <c r="F4" s="28"/>
    </row>
    <row r="5" spans="1:25" x14ac:dyDescent="0.55000000000000004">
      <c r="A5" s="85" t="s">
        <v>140</v>
      </c>
      <c r="B5" s="7"/>
      <c r="C5" s="86">
        <f>+'SIM①_コンサル'!D25</f>
      </c>
      <c r="D5" s="28">
        <f>+'SIM①_コンサル'!G61</f>
      </c>
      <c r="E5" s="28">
        <f>+'SIM①_コンサル'!J61</f>
      </c>
      <c r="F5" s="27"/>
    </row>
    <row r="6" spans="1:25" x14ac:dyDescent="0.55000000000000004">
      <c r="A6" s="85" t="s">
        <v>74</v>
      </c>
      <c r="B6" s="7"/>
      <c r="C6" s="117">
        <f>+'SIM①_コンサル'!D28</f>
      </c>
      <c r="D6" s="87">
        <f>+'SIM①_コンサル'!G28</f>
      </c>
      <c r="E6" s="87">
        <f>+'SIM①_コンサル'!J28</f>
      </c>
      <c r="F6" s="10"/>
    </row>
    <row r="7" spans="1:25" x14ac:dyDescent="0.55000000000000004">
      <c r="A7" s="85" t="s">
        <v>75</v>
      </c>
      <c r="B7" s="7"/>
      <c r="C7" s="88">
        <f>+'SIM①_コンサル'!D27</f>
      </c>
      <c r="D7" s="89">
        <f>+'SIM①_コンサル'!G27</f>
      </c>
      <c r="E7" s="89">
        <f>+'SIM①_コンサル'!J27</f>
      </c>
      <c r="F7" s="89"/>
    </row>
    <row r="8" spans="1:25" x14ac:dyDescent="0.55000000000000004">
      <c r="A8" s="85" t="s">
        <v>76</v>
      </c>
      <c r="B8" s="7"/>
      <c r="C8" s="117">
        <f>+'SIM①_コンサル'!D29</f>
      </c>
      <c r="D8" s="10">
        <f>+'SIM①_コンサル'!G29</f>
      </c>
      <c r="E8" s="10">
        <f>+'SIM①_コンサル'!J29</f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+'SIM①_コンサル'!D34</f>
      </c>
      <c r="D10" s="10">
        <f>+'SIM①_コンサル'!G34</f>
      </c>
      <c r="E10" s="10">
        <f>+'SIM①_コンサル'!J34</f>
      </c>
      <c r="F10" s="10"/>
    </row>
    <row r="11" spans="1:25" x14ac:dyDescent="0.55000000000000004">
      <c r="A11" s="85" t="s">
        <v>79</v>
      </c>
      <c r="B11" s="7"/>
      <c r="C11" s="117">
        <f>+'SIM①_コンサル'!D35</f>
      </c>
      <c r="D11" s="10">
        <f>+'SIM①_コンサル'!G35</f>
      </c>
      <c r="E11" s="10">
        <f>+'SIM①_コンサル'!J35</f>
      </c>
      <c r="F11" s="10"/>
    </row>
    <row r="12" spans="1:25" x14ac:dyDescent="0.55000000000000004" hidden="1">
      <c r="A12" s="85" t="s">
        <v>146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55000000000000004">
      <c r="A13" s="85" t="s">
        <v>147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+'SIM①_コンサル'!$H$10</f>
      </c>
      <c r="D15" s="87">
        <f>+'SIM①_コンサル'!$H$10</f>
      </c>
      <c r="E15" s="87">
        <f>+'SIM①_コンサル'!$H$10</f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+'SIM①_コンサル'!D36</f>
      </c>
      <c r="D17" s="87">
        <f>+'SIM①_コンサル'!G36</f>
      </c>
      <c r="E17" s="87">
        <f>+'SIM①_コンサル'!J36</f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+'SIM①_コンサル'!D37</f>
      </c>
      <c r="D18" s="87">
        <f>+'SIM①_コンサル'!G37</f>
      </c>
      <c r="E18" s="87">
        <f>+'SIM①_コンサル'!J37</f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</c>
      <c r="Y18" s="35">
        <v>2.5</v>
      </c>
    </row>
    <row r="19" spans="1:25" x14ac:dyDescent="0.55000000000000004">
      <c r="A19" s="85" t="s">
        <v>187</v>
      </c>
      <c r="B19" s="7"/>
      <c r="C19" s="87">
        <f>+'SIM①_コンサル'!D38</f>
      </c>
      <c r="D19" s="87">
        <f>+'SIM①_コンサル'!G38</f>
      </c>
      <c r="E19" s="87">
        <f>+'SIM①_コンサル'!J38</f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+'SIM①_コンサル'!D39</f>
      </c>
      <c r="D20" s="87">
        <f>+'SIM①_コンサル'!G39</f>
      </c>
      <c r="E20" s="87">
        <f>+'SIM①_コンサル'!J39</f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 hidden="1">
      <c r="A22" s="85" t="s">
        <v>141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142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+'SIM①_コンサル'!E68+C29*C30</f>
      </c>
      <c r="D25" s="10">
        <f>+'SIM①_コンサル'!G68+D29*D30</f>
      </c>
      <c r="E25" s="10">
        <f>+'SIM①_コンサル'!J68+E29*E30</f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1ED-6154-50EC-9BCF-FD3373B089C3}">
  <dimension ref="A2:Z76"/>
  <sheetViews>
    <sheetView topLeftCell="A16" zoomScale="70" zoomScaleNormal="55" workbookViewId="0">
      <selection activeCell="D14" sqref="D1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inlineStr">
        <is>
          <t xml:space="preserve">株式会社横浜シミズ御中_LINEOA施策提案【SIM】成果報酬（応募1件 8,000円）（サイトのLINEボタン＋離脱防止＋サンクスLINE誘導＋通知メッセージ）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178</v>
      </c>
      <c r="D8" s="33">
        <v>8000</v>
      </c>
      <c r="G8" s="121" t="s">
        <v>162</v>
      </c>
      <c r="H8" s="122">
        <v>8947</v>
      </c>
      <c r="I8" s="123"/>
      <c r="J8" s="123" t="s">
        <v>69</v>
      </c>
      <c r="K8" s="129">
        <v>5000</v>
      </c>
      <c r="N8" s="69" t="s">
        <v>189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61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179</v>
      </c>
      <c r="D10" s="33">
        <v>8000</v>
      </c>
      <c r="G10" s="124" t="s">
        <v>164</v>
      </c>
      <c r="H10" s="125">
        <v>150</v>
      </c>
      <c r="I10" s="22" t="s">
        <v>154</v>
      </c>
      <c r="J10" s="29"/>
      <c r="K10" s="118"/>
      <c r="N10" s="132" t="inlineStr">
        <is>
          <t xml:space="preserve">サイトからの応募は、仮に月150件（新規登録は月約300人＝マイナビの求人10件×1件30人×4週ごと。そのうち自社サイトからの応募を半分と置いた。マイナビ経由はマイナビの完了画面で終わるので、サンクスLINE誘導の母数に入れない）</t>
        </is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1</v>
      </c>
      <c r="F21" s="57" t="b">
        <v>1</v>
      </c>
      <c r="G21" s="57" t="b">
        <v>1</v>
      </c>
      <c r="H21" s="57" t="b">
        <v>1</v>
      </c>
      <c r="I21" s="57" t="b">
        <v>1</v>
      </c>
      <c r="J21" s="57" t="b">
        <v>1</v>
      </c>
      <c r="K21" s="14" t="s">
        <v>21</v>
      </c>
      <c r="L21" s="9" t="s">
        <v>21</v>
      </c>
      <c r="N21" t="inlineStr">
        <is>
          <t xml:space="preserve">通知メッセージ（既存リスト）：登録済みのスタッフに配信して友だち追加。リストは仮に5,000人（マイナビの求人10件×1件30人×4週ごと＝年約3,900人の新規登録＋それ以前から続けている方）。毎月リスト×15%×15%が友だちに（FMTの式）</t>
        </is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</c>
      <c r="F23" s="46">
        <f t="shared" si="3"/>
      </c>
      <c r="G23" s="63">
        <f t="shared" si="3"/>
      </c>
      <c r="H23" s="63">
        <f t="shared" si="3"/>
      </c>
      <c r="I23" s="63">
        <f t="shared" si="3"/>
      </c>
      <c r="J23" s="63">
        <f t="shared" si="3"/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</c>
      <c r="F24" s="63">
        <f t="shared" si="4"/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s">
        <v>181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s">
        <v>190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</c>
      <c r="G27" s="47">
        <f>+F$27*1.025</f>
      </c>
      <c r="H27" s="47">
        <f>+G$27*1.025</f>
      </c>
      <c r="I27" s="47">
        <f>+H$27*1.025</f>
      </c>
      <c r="J27" s="47">
        <f>+I$27*1.025</f>
      </c>
      <c r="K27" s="11"/>
      <c r="L27" s="7"/>
      <c r="N27" t="s">
        <v>182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</c>
      <c r="F28" s="49">
        <f t="shared" ref="F28:J28" si="7">+E28+F26</f>
      </c>
      <c r="G28" s="49">
        <f t="shared" si="7"/>
      </c>
      <c r="H28" s="49">
        <f t="shared" si="7"/>
      </c>
      <c r="I28" s="49">
        <f t="shared" si="7"/>
      </c>
      <c r="J28" s="49">
        <f t="shared" si="7"/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</c>
      <c r="E29" s="50">
        <f>+E28*(1-E27)</f>
      </c>
      <c r="F29" s="50">
        <f t="shared" ref="F29:J29" si="8">+F28*(1-F27)</f>
      </c>
      <c r="G29" s="50">
        <f t="shared" si="8"/>
      </c>
      <c r="H29" s="50">
        <f t="shared" si="8"/>
      </c>
      <c r="I29" s="50">
        <f t="shared" si="8"/>
      </c>
      <c r="J29" s="50">
        <f t="shared" si="8"/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183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191</v>
      </c>
      <c r="O32" s="17" t="s">
        <v>125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</c>
      <c r="F33" s="63">
        <f t="shared" ref="F33:G33" si="9">+F29*F32*$P$26*$P$27*$P$28*$P$36</f>
      </c>
      <c r="G33" s="63">
        <f t="shared" si="9"/>
      </c>
      <c r="H33" s="63">
        <f>+H29*H32*$P$26*$P$27*$P$28*$P$36*$Q$28</f>
      </c>
      <c r="I33" s="63">
        <f t="shared" ref="I33:J33" si="10">+I29*I32*$P$26*$P$27*$P$28*$P$36*$Q$28</f>
      </c>
      <c r="J33" s="63">
        <f t="shared" si="10"/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</c>
    </row>
    <row r="34" spans="1:17" ht="19" x14ac:dyDescent="0.55000000000000004">
      <c r="A34" s="143" t="s">
        <v>25</v>
      </c>
      <c r="B34" s="144"/>
      <c r="C34" s="102"/>
      <c r="D34" s="108">
        <f>+D29*D30</f>
      </c>
      <c r="E34" s="46">
        <f>+E29*E30*$P$24+E29*E32*$P$28</f>
      </c>
      <c r="F34" s="46">
        <f>+F29*F30*$P$24+F29*F32*$P$28</f>
      </c>
      <c r="G34" s="46">
        <f>+G29*G30*$P$24+G29*G32*$P$28</f>
      </c>
      <c r="H34" s="46">
        <f>+H29*H30*$P$24*$Q$24+H29*H32*$P$28*$Q$28</f>
      </c>
      <c r="I34" s="46">
        <f>+I29*I30*$P$24*$Q$24+I29*I32*$P$28*$Q$28</f>
      </c>
      <c r="J34" s="46">
        <f>+J29*J30*$P$24*$Q$24+J29*J32*$P$28*$Q$28</f>
      </c>
      <c r="K34" s="11"/>
      <c r="L34" s="7"/>
      <c r="O34" s="17" t="s">
        <v>134</v>
      </c>
      <c r="P34" s="75" t="b">
        <v>1</v>
      </c>
      <c r="Q34" s="73">
        <f t="shared" si="11"/>
      </c>
    </row>
    <row r="35" spans="1:17" ht="19" x14ac:dyDescent="0.55000000000000004">
      <c r="A35" s="143" t="s">
        <v>24</v>
      </c>
      <c r="B35" s="144"/>
      <c r="C35" s="102"/>
      <c r="D35" s="109">
        <f>+D31*1.02</f>
      </c>
      <c r="E35" s="50">
        <f>+E31+E33+1.05*(E31+E33)</f>
      </c>
      <c r="F35" s="50">
        <f t="shared" ref="F35:J35" si="12">+F31+F33+1.05*(F31+F33)</f>
      </c>
      <c r="G35" s="50">
        <f t="shared" si="12"/>
      </c>
      <c r="H35" s="50">
        <f t="shared" si="12"/>
      </c>
      <c r="I35" s="50">
        <f t="shared" si="12"/>
      </c>
      <c r="J35" s="50">
        <f t="shared" si="12"/>
      </c>
      <c r="K35" s="11"/>
      <c r="L35" s="7"/>
      <c r="O35" s="17" t="s">
        <v>135</v>
      </c>
      <c r="P35" s="75" t="b">
        <v>1</v>
      </c>
      <c r="Q35" s="73">
        <f t="shared" si="11"/>
      </c>
    </row>
    <row r="36" spans="1:17" x14ac:dyDescent="0.55000000000000004">
      <c r="A36" s="145" t="s">
        <v>5</v>
      </c>
      <c r="B36" s="6">
        <f>+C8</f>
      </c>
      <c r="C36" s="6"/>
      <c r="D36" s="11">
        <v>0</v>
      </c>
      <c r="E36" s="111">
        <v>2</v>
      </c>
      <c r="F36" s="111">
        <v>2</v>
      </c>
      <c r="G36" s="111">
        <v>4</v>
      </c>
      <c r="H36" s="111">
        <v>5</v>
      </c>
      <c r="I36" s="111">
        <v>5</v>
      </c>
      <c r="J36" s="111">
        <v>6</v>
      </c>
      <c r="K36" s="115">
        <f>SUM(E36:J36)</f>
      </c>
      <c r="L36" s="7"/>
      <c r="N36" s="69" t="s">
        <v>192</v>
      </c>
      <c r="O36" s="17" t="s">
        <v>126</v>
      </c>
      <c r="P36" s="74">
        <f>1*(Q32*Q33*Q34*Q35)</f>
      </c>
      <c r="Q36" s="73"/>
    </row>
    <row r="37" spans="1:17" x14ac:dyDescent="0.55000000000000004">
      <c r="A37" s="146"/>
      <c r="B37" s="6">
        <f>+C9</f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</c>
      <c r="L37" s="7"/>
      <c r="N37" s="69" t="s">
        <v>117</v>
      </c>
    </row>
    <row r="38" spans="1:17" x14ac:dyDescent="0.55000000000000004">
      <c r="A38" s="145" t="s">
        <v>8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1</v>
      </c>
      <c r="H38" s="111">
        <v>2</v>
      </c>
      <c r="I38" s="111">
        <v>3</v>
      </c>
      <c r="J38" s="111">
        <v>3</v>
      </c>
      <c r="K38" s="115">
        <f>SUM(E38:J38)</f>
      </c>
      <c r="L38" s="7"/>
      <c r="N38" s="69" t="s">
        <v>193</v>
      </c>
      <c r="O38" s="21" t="s">
        <v>36</v>
      </c>
    </row>
    <row r="39" spans="1:17" x14ac:dyDescent="0.55000000000000004">
      <c r="A39" s="146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</c>
      <c r="E40" s="10">
        <f t="shared" si="13"/>
      </c>
      <c r="F40" s="10">
        <f t="shared" si="13"/>
      </c>
      <c r="G40" s="10">
        <f t="shared" si="13"/>
      </c>
      <c r="H40" s="10">
        <f t="shared" si="13"/>
      </c>
      <c r="I40" s="10">
        <f t="shared" si="13"/>
      </c>
      <c r="J40" s="10">
        <f t="shared" si="13"/>
      </c>
      <c r="K40" s="115">
        <f>SUM(E40:J40)</f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</c>
      <c r="E41" s="18">
        <f>+IFERROR(E40/E35,0)</f>
      </c>
      <c r="F41" s="18">
        <f t="shared" ref="F41:J41" si="15">+IFERROR(F40/F35,0)</f>
      </c>
      <c r="G41" s="18">
        <f t="shared" si="15"/>
      </c>
      <c r="H41" s="18">
        <f t="shared" si="15"/>
      </c>
      <c r="I41" s="18">
        <f t="shared" si="15"/>
      </c>
      <c r="J41" s="18">
        <f t="shared" si="15"/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149</v>
      </c>
      <c r="D43" s="5" t="s">
        <v>150</v>
      </c>
    </row>
    <row r="44" spans="1:17" x14ac:dyDescent="0.55000000000000004">
      <c r="A44" s="137" t="s">
        <v>26</v>
      </c>
      <c r="B44" s="138"/>
      <c r="C44" s="103"/>
      <c r="D44" s="16" t="s">
        <v>21</v>
      </c>
      <c r="E44" s="31">
        <f>+E75*E76</f>
      </c>
      <c r="F44" s="31">
        <f t="shared" ref="F44:J44" si="16">+F75*F76</f>
      </c>
      <c r="G44" s="31">
        <f t="shared" si="16"/>
      </c>
      <c r="H44" s="31">
        <f t="shared" si="16"/>
      </c>
      <c r="I44" s="31">
        <f t="shared" si="16"/>
      </c>
      <c r="J44" s="31">
        <f t="shared" si="16"/>
      </c>
      <c r="K44" s="11"/>
      <c r="L44" s="7"/>
    </row>
    <row r="45" spans="1:17" x14ac:dyDescent="0.55000000000000004">
      <c r="A45" s="137" t="s">
        <v>131</v>
      </c>
      <c r="B45" s="138"/>
      <c r="C45" s="104">
        <f>+SUM(C65:C72)</f>
      </c>
      <c r="D45" s="80">
        <f>+SUM(D65:D72)</f>
      </c>
      <c r="E45" s="27">
        <f>SUM(E65:E68)+SUM(E71:E72)</f>
      </c>
      <c r="F45" s="27">
        <f t="shared" ref="F45:J45" si="17">SUM(F65:F68)+SUM(F71:F72)</f>
      </c>
      <c r="G45" s="27">
        <f t="shared" si="17"/>
      </c>
      <c r="H45" s="27">
        <f t="shared" si="17"/>
      </c>
      <c r="I45" s="27">
        <f t="shared" si="17"/>
      </c>
      <c r="J45" s="27">
        <f t="shared" si="17"/>
      </c>
      <c r="K45" s="11"/>
      <c r="L45" s="7"/>
    </row>
    <row r="46" spans="1:17" x14ac:dyDescent="0.55000000000000004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</c>
      <c r="F46" s="28">
        <f t="shared" si="18"/>
      </c>
      <c r="G46" s="28">
        <f t="shared" si="18"/>
      </c>
      <c r="H46" s="28">
        <f t="shared" si="18"/>
      </c>
      <c r="I46" s="28">
        <f t="shared" si="18"/>
      </c>
      <c r="J46" s="28">
        <f t="shared" si="18"/>
      </c>
      <c r="K46" s="11"/>
      <c r="L46" s="7"/>
    </row>
    <row r="47" spans="1:17" x14ac:dyDescent="0.55000000000000004">
      <c r="A47" s="137" t="s">
        <v>17</v>
      </c>
      <c r="B47" s="138"/>
      <c r="C47" s="103"/>
      <c r="D47" s="16" t="s">
        <v>21</v>
      </c>
      <c r="E47" s="28">
        <f t="shared" ref="E47:I47" si="19">+E51/E35</f>
      </c>
      <c r="F47" s="28">
        <f t="shared" si="19"/>
      </c>
      <c r="G47" s="28">
        <f t="shared" si="19"/>
      </c>
      <c r="H47" s="28">
        <f t="shared" si="19"/>
      </c>
      <c r="I47" s="28">
        <f t="shared" si="19"/>
      </c>
      <c r="J47" s="28">
        <f>+J51/J35</f>
      </c>
      <c r="K47" s="11"/>
      <c r="L47" s="7"/>
    </row>
    <row r="48" spans="1:17" x14ac:dyDescent="0.55000000000000004">
      <c r="A48" s="137" t="s">
        <v>19</v>
      </c>
      <c r="B48" s="138"/>
      <c r="C48" s="103"/>
      <c r="D48" s="16" t="s">
        <v>21</v>
      </c>
      <c r="E48" s="32">
        <f t="shared" ref="E48:J48" si="20">+SUM(E36:E39)/E35</f>
      </c>
      <c r="F48" s="32">
        <f t="shared" si="20"/>
      </c>
      <c r="G48" s="32">
        <f t="shared" si="20"/>
      </c>
      <c r="H48" s="32">
        <f t="shared" si="20"/>
      </c>
      <c r="I48" s="32">
        <f t="shared" si="20"/>
      </c>
      <c r="J48" s="32">
        <f t="shared" si="20"/>
      </c>
      <c r="K48" s="11"/>
      <c r="L48" s="7"/>
    </row>
    <row r="49" spans="1:12" x14ac:dyDescent="0.55000000000000004">
      <c r="A49" s="139" t="s">
        <v>18</v>
      </c>
      <c r="B49" s="140"/>
      <c r="C49" s="105"/>
      <c r="D49" s="16" t="s">
        <v>21</v>
      </c>
      <c r="E49" s="28">
        <f>+IFERROR(E51/SUM(E36:E39),0)</f>
      </c>
      <c r="F49" s="28">
        <f t="shared" ref="F49:J49" si="21">+IFERROR(F51/SUM(F36:F39),0)</f>
      </c>
      <c r="G49" s="28">
        <f t="shared" si="21"/>
      </c>
      <c r="H49" s="28">
        <f t="shared" si="21"/>
      </c>
      <c r="I49" s="28">
        <f t="shared" si="21"/>
      </c>
      <c r="J49" s="28">
        <f t="shared" si="21"/>
      </c>
      <c r="K49" s="11"/>
      <c r="L49" s="7"/>
    </row>
    <row r="50" spans="1:12" x14ac:dyDescent="0.55000000000000004">
      <c r="A50" s="139" t="s">
        <v>115</v>
      </c>
      <c r="B50" s="140"/>
      <c r="C50" s="105"/>
      <c r="D50" s="64" t="s">
        <v>21</v>
      </c>
      <c r="E50" s="65">
        <f>+E36*$D$8+E38*$D$10</f>
      </c>
      <c r="F50" s="65">
        <f t="shared" ref="F50:J50" si="22">+F36*$D$8+F38*$D$10</f>
      </c>
      <c r="G50" s="65">
        <f t="shared" si="22"/>
      </c>
      <c r="H50" s="65">
        <f t="shared" si="22"/>
      </c>
      <c r="I50" s="65">
        <f t="shared" si="22"/>
      </c>
      <c r="J50" s="65">
        <f t="shared" si="22"/>
      </c>
      <c r="K50" s="11"/>
      <c r="L50" s="7"/>
    </row>
    <row r="51" spans="1:12" x14ac:dyDescent="0.55000000000000004">
      <c r="A51" s="135" t="s">
        <v>68</v>
      </c>
      <c r="B51" s="136"/>
      <c r="C51" s="110">
        <f>+C45</f>
      </c>
      <c r="D51" s="40">
        <f>+D45</f>
      </c>
      <c r="E51" s="40">
        <f>SUM(E45,E50)+E44</f>
      </c>
      <c r="F51" s="40">
        <f t="shared" ref="F51:I51" si="23">SUM(F45,F50)+F44</f>
      </c>
      <c r="G51" s="40">
        <f t="shared" si="23"/>
      </c>
      <c r="H51" s="40">
        <f t="shared" si="23"/>
      </c>
      <c r="I51" s="40">
        <f t="shared" si="23"/>
      </c>
      <c r="J51" s="40">
        <f>SUM(J45,J50)+J44</f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</c>
      <c r="E54" s="28">
        <f t="shared" ref="E54:J54" si="24">+E75*E76</f>
      </c>
      <c r="F54" s="28">
        <f t="shared" si="24"/>
      </c>
      <c r="G54" s="28">
        <f t="shared" si="24"/>
      </c>
      <c r="H54" s="28">
        <f t="shared" si="24"/>
      </c>
      <c r="I54" s="28">
        <f t="shared" si="24"/>
      </c>
      <c r="J54" s="28">
        <f t="shared" si="24"/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</c>
      <c r="E55" s="27">
        <f>SUM(E65:E72)+E54</f>
      </c>
      <c r="F55" s="27">
        <f t="shared" ref="F55:J55" si="25">SUM(F65:F72)+F54</f>
      </c>
      <c r="G55" s="27">
        <f t="shared" si="25"/>
      </c>
      <c r="H55" s="27">
        <f t="shared" si="25"/>
      </c>
      <c r="I55" s="27">
        <f t="shared" si="25"/>
      </c>
      <c r="J55" s="27">
        <f t="shared" si="25"/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</c>
      <c r="F56" s="28">
        <f t="shared" si="26"/>
      </c>
      <c r="G56" s="28">
        <f t="shared" si="26"/>
      </c>
      <c r="H56" s="28">
        <f t="shared" si="26"/>
      </c>
      <c r="I56" s="28">
        <f t="shared" si="26"/>
      </c>
      <c r="J56" s="28">
        <f t="shared" si="26"/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</c>
      <c r="F57" s="28">
        <f t="shared" ref="F57:J57" si="27">+F61/F35</f>
      </c>
      <c r="G57" s="28">
        <f t="shared" si="27"/>
      </c>
      <c r="H57" s="28">
        <f t="shared" si="27"/>
      </c>
      <c r="I57" s="28">
        <f t="shared" si="27"/>
      </c>
      <c r="J57" s="28">
        <f t="shared" si="27"/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</c>
      <c r="F58" s="32">
        <f t="shared" si="28"/>
      </c>
      <c r="G58" s="32">
        <f t="shared" si="28"/>
      </c>
      <c r="H58" s="32">
        <f t="shared" si="28"/>
      </c>
      <c r="I58" s="32">
        <f t="shared" si="28"/>
      </c>
      <c r="J58" s="32">
        <f t="shared" si="28"/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</c>
      <c r="F59" s="28">
        <f t="shared" ref="F59:J59" si="29">+IFERROR(F55/F40,0)</f>
      </c>
      <c r="G59" s="28">
        <f t="shared" si="29"/>
      </c>
      <c r="H59" s="28">
        <f t="shared" si="29"/>
      </c>
      <c r="I59" s="28">
        <f t="shared" si="29"/>
      </c>
      <c r="J59" s="28">
        <f t="shared" si="29"/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</c>
      <c r="E61" s="40">
        <f>+SUM(E65:E72)+E54</f>
      </c>
      <c r="F61" s="40">
        <f t="shared" ref="F61:J61" si="30">+SUM(F65:F72)+F54</f>
      </c>
      <c r="G61" s="40">
        <f t="shared" si="30"/>
      </c>
      <c r="H61" s="40">
        <f t="shared" si="30"/>
      </c>
      <c r="I61" s="40">
        <f t="shared" si="30"/>
      </c>
      <c r="J61" s="40">
        <f t="shared" si="30"/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194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</c>
      <c r="F68" s="28">
        <f t="shared" si="31"/>
      </c>
      <c r="G68" s="28">
        <f t="shared" si="31"/>
      </c>
      <c r="H68" s="28">
        <f t="shared" si="31"/>
      </c>
      <c r="I68" s="28">
        <f t="shared" si="31"/>
      </c>
      <c r="J68" s="28">
        <f t="shared" si="31"/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184</v>
      </c>
      <c r="C69" s="90">
        <v>0</v>
      </c>
      <c r="D69" s="51">
        <v>100000</v>
      </c>
      <c r="E69" s="28">
        <v>150000</v>
      </c>
      <c r="F69" s="28">
        <v>150000</v>
      </c>
      <c r="G69" s="28">
        <v>150000</v>
      </c>
      <c r="H69" s="28">
        <v>150000</v>
      </c>
      <c r="I69" s="28">
        <v>150000</v>
      </c>
      <c r="J69" s="28">
        <v>150000</v>
      </c>
      <c r="N69" s="69" t="s">
        <v>185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</c>
      <c r="E73" s="114">
        <f t="shared" ref="E73:J73" si="32">SUM(E65:E72)+E54</f>
      </c>
      <c r="F73" s="114">
        <f t="shared" si="32"/>
      </c>
      <c r="G73" s="114">
        <f t="shared" si="32"/>
      </c>
      <c r="H73" s="114">
        <f t="shared" si="32"/>
      </c>
      <c r="I73" s="114">
        <f t="shared" si="32"/>
      </c>
      <c r="J73" s="114">
        <f t="shared" si="32"/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</c>
      <c r="E75" s="41">
        <f t="shared" si="33"/>
      </c>
      <c r="F75" s="41">
        <f t="shared" si="33"/>
      </c>
      <c r="G75" s="41">
        <f t="shared" si="33"/>
      </c>
      <c r="H75" s="41">
        <f t="shared" si="33"/>
      </c>
      <c r="I75" s="41">
        <f t="shared" si="33"/>
      </c>
      <c r="J75" s="41">
        <f t="shared" si="33"/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 t="shared" si="34"/>
      </c>
      <c r="F76" s="5">
        <f t="shared" si="34"/>
      </c>
      <c r="G76" s="5">
        <f t="shared" si="34"/>
      </c>
      <c r="H76" s="5">
        <f t="shared" si="34"/>
      </c>
      <c r="I76" s="5">
        <f t="shared" si="34"/>
      </c>
      <c r="J76" s="5">
        <f t="shared" si="34"/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6F2-79D8-5023-B49B-E468DC771929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139</v>
      </c>
      <c r="B4" s="7"/>
      <c r="C4" s="86">
        <f>+'SIM②_成果報酬'!D24</f>
      </c>
      <c r="D4" s="28">
        <f>+'SIM②_成果報酬'!G51</f>
      </c>
      <c r="E4" s="28">
        <f>+'SIM②_成果報酬'!J51</f>
      </c>
      <c r="F4" s="28"/>
    </row>
    <row r="5" spans="1:25" x14ac:dyDescent="0.55000000000000004" hidden="1">
      <c r="A5" s="85" t="s">
        <v>140</v>
      </c>
      <c r="B5" s="7"/>
      <c r="C5" s="86">
        <f>+'SIM②_成果報酬'!D25</f>
      </c>
      <c r="D5" s="28">
        <f>+'SIM②_成果報酬'!G61</f>
      </c>
      <c r="E5" s="28">
        <f>+'SIM②_成果報酬'!J61</f>
      </c>
      <c r="F5" s="27"/>
    </row>
    <row r="6" spans="1:25" x14ac:dyDescent="0.55000000000000004">
      <c r="A6" s="85" t="s">
        <v>74</v>
      </c>
      <c r="B6" s="7"/>
      <c r="C6" s="117">
        <f>+'SIM②_成果報酬'!D28</f>
      </c>
      <c r="D6" s="87">
        <f>+'SIM②_成果報酬'!G28</f>
      </c>
      <c r="E6" s="87">
        <f>+'SIM②_成果報酬'!J28</f>
      </c>
      <c r="F6" s="10"/>
    </row>
    <row r="7" spans="1:25" x14ac:dyDescent="0.55000000000000004">
      <c r="A7" s="85" t="s">
        <v>75</v>
      </c>
      <c r="B7" s="7"/>
      <c r="C7" s="88">
        <f>+'SIM②_成果報酬'!D27</f>
      </c>
      <c r="D7" s="89">
        <f>+'SIM②_成果報酬'!G27</f>
      </c>
      <c r="E7" s="89">
        <f>+'SIM②_成果報酬'!J27</f>
      </c>
      <c r="F7" s="89"/>
    </row>
    <row r="8" spans="1:25" x14ac:dyDescent="0.55000000000000004">
      <c r="A8" s="85" t="s">
        <v>76</v>
      </c>
      <c r="B8" s="7"/>
      <c r="C8" s="117">
        <f>+'SIM②_成果報酬'!D29</f>
      </c>
      <c r="D8" s="10">
        <f>+'SIM②_成果報酬'!G29</f>
      </c>
      <c r="E8" s="10">
        <f>+'SIM②_成果報酬'!J29</f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+'SIM②_成果報酬'!D34</f>
      </c>
      <c r="D10" s="10">
        <f>+'SIM②_成果報酬'!G34</f>
      </c>
      <c r="E10" s="10">
        <f>+'SIM②_成果報酬'!J34</f>
      </c>
      <c r="F10" s="10"/>
    </row>
    <row r="11" spans="1:25" x14ac:dyDescent="0.55000000000000004">
      <c r="A11" s="85" t="s">
        <v>79</v>
      </c>
      <c r="B11" s="7"/>
      <c r="C11" s="117">
        <f>+'SIM②_成果報酬'!D35</f>
      </c>
      <c r="D11" s="10">
        <f>+'SIM②_成果報酬'!G35</f>
      </c>
      <c r="E11" s="10">
        <f>+'SIM②_成果報酬'!J35</f>
      </c>
      <c r="F11" s="10"/>
    </row>
    <row r="12" spans="1:25" x14ac:dyDescent="0.55000000000000004">
      <c r="A12" s="85" t="s">
        <v>146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55000000000000004" hidden="1">
      <c r="A13" s="85" t="s">
        <v>147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+'SIM②_成果報酬'!$H$10</f>
      </c>
      <c r="D15" s="87">
        <f>+'SIM②_成果報酬'!$H$10</f>
      </c>
      <c r="E15" s="87">
        <f>+'SIM②_成果報酬'!$H$10</f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186</v>
      </c>
      <c r="B17" s="7"/>
      <c r="C17" s="87">
        <f>+'SIM②_成果報酬'!D36</f>
      </c>
      <c r="D17" s="87">
        <f>+'SIM②_成果報酬'!G36</f>
      </c>
      <c r="E17" s="87">
        <f>+'SIM②_成果報酬'!J36</f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+'SIM②_成果報酬'!D37</f>
      </c>
      <c r="D18" s="87">
        <f>+'SIM②_成果報酬'!G37</f>
      </c>
      <c r="E18" s="87">
        <f>+'SIM②_成果報酬'!J37</f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</c>
      <c r="Y18" s="35">
        <v>2.5</v>
      </c>
    </row>
    <row r="19" spans="1:25" x14ac:dyDescent="0.55000000000000004">
      <c r="A19" s="85" t="s">
        <v>187</v>
      </c>
      <c r="B19" s="7"/>
      <c r="C19" s="87">
        <f>+'SIM②_成果報酬'!D38</f>
      </c>
      <c r="D19" s="87">
        <f>+'SIM②_成果報酬'!G38</f>
      </c>
      <c r="E19" s="87">
        <f>+'SIM②_成果報酬'!J38</f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+'SIM②_成果報酬'!D39</f>
      </c>
      <c r="D20" s="87">
        <f>+'SIM②_成果報酬'!G39</f>
      </c>
      <c r="E20" s="87">
        <f>+'SIM②_成果報酬'!J39</f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141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55000000000000004" hidden="1">
      <c r="A23" s="85" t="s">
        <v>142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+'SIM②_成果報酬'!E68+C29*C30</f>
      </c>
      <c r="D25" s="10">
        <f>+'SIM②_成果報酬'!G68+D29*D30</f>
      </c>
      <c r="E25" s="10">
        <f>+'SIM②_成果報酬'!J68+E29*E30</f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SIM①_コンサル</vt:lpstr>
      <vt:lpstr>SIM①_比較</vt:lpstr>
      <vt:lpstr>SIM②_成果報酬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2026-10-27T08:10:22Z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
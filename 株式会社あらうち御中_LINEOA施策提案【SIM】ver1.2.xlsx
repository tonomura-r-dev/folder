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ura-n\Downloads\"/>
    </mc:Choice>
  </mc:AlternateContent>
  <xr:revisionPtr revIDLastSave="0" documentId="13_ncr:1_{29A23919-D8B6-4451-9491-3DC3CF42E353}" xr6:coauthVersionLast="47" xr6:coauthVersionMax="47" xr10:uidLastSave="{00000000-0000-0000-0000-000000000000}"/>
  <bookViews>
    <workbookView xWindow="-120" yWindow="-120" windowWidth="29040" windowHeight="15720" xr2:uid="{02433765-3560-48F5-BC99-B30FC64129A4}"/>
  </bookViews>
  <sheets>
    <sheet name="SIM1_SNS予算30万円" sheetId="1" r:id="rId1"/>
    <sheet name="SIM1_比較" sheetId="2" r:id="rId2"/>
    <sheet name="SIM2_SNS予算100万円" sheetId="3" r:id="rId100"/>
    <sheet name="SIM2_比較" sheetId="4" r:id="rId101"/>
    <sheet name="SIM考え方" sheetId="5" r:id="rId3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<sst xmlns="http://schemas.openxmlformats.org/spreadsheetml/2006/main" count="278" uniqueCount="195">
  <si>
    <t>項目</t>
    <rPh sb="0" eb="2">
      <t>コウモク</t>
    </rPh>
    <phoneticPr fontId="2"/>
  </si>
  <si>
    <t>半年合計</t>
    <rPh sb="0" eb="2">
      <t>ハントシ</t>
    </rPh>
    <rPh sb="2" eb="4">
      <t>ゴウケイ</t>
    </rPh>
    <phoneticPr fontId="2"/>
  </si>
  <si>
    <t>単月平均（６ヶ月）</t>
    <rPh sb="0" eb="2">
      <t>タンゲツ</t>
    </rPh>
    <rPh sb="2" eb="4">
      <t>ヘイキン</t>
    </rPh>
    <rPh sb="7" eb="8">
      <t>ゲツ</t>
    </rPh>
    <phoneticPr fontId="2"/>
  </si>
  <si>
    <t>施策</t>
    <rPh sb="0" eb="2">
      <t>シサク</t>
    </rPh>
    <phoneticPr fontId="2"/>
  </si>
  <si>
    <t>CPF</t>
    <phoneticPr fontId="2"/>
  </si>
  <si>
    <t>離脱防止</t>
    <rPh sb="0" eb="2">
      <t>リダツ</t>
    </rPh>
    <rPh sb="2" eb="4">
      <t>ボウシ</t>
    </rPh>
    <phoneticPr fontId="2"/>
  </si>
  <si>
    <t>サンクス誘導</t>
    <rPh sb="4" eb="6">
      <t>ユウドウ</t>
    </rPh>
    <phoneticPr fontId="2"/>
  </si>
  <si>
    <t>新規CV</t>
    <rPh sb="0" eb="2">
      <t>シンキ</t>
    </rPh>
    <phoneticPr fontId="2"/>
  </si>
  <si>
    <t>①_CV地点</t>
    <rPh sb="4" eb="6">
      <t>チテン</t>
    </rPh>
    <phoneticPr fontId="2"/>
  </si>
  <si>
    <t>②_CV地点</t>
    <rPh sb="4" eb="6">
      <t>チテン</t>
    </rPh>
    <phoneticPr fontId="2"/>
  </si>
  <si>
    <t>リピートCV</t>
    <phoneticPr fontId="2"/>
  </si>
  <si>
    <t>③_CV地点</t>
    <rPh sb="4" eb="6">
      <t>チテン</t>
    </rPh>
    <phoneticPr fontId="2"/>
  </si>
  <si>
    <t>④_CV地点</t>
    <rPh sb="4" eb="6">
      <t>チテン</t>
    </rPh>
    <phoneticPr fontId="2"/>
  </si>
  <si>
    <t>施策増分
※友だち</t>
    <rPh sb="0" eb="2">
      <t>シサク</t>
    </rPh>
    <rPh sb="2" eb="4">
      <t>ゾウブン</t>
    </rPh>
    <rPh sb="6" eb="7">
      <t>トモ</t>
    </rPh>
    <phoneticPr fontId="2"/>
  </si>
  <si>
    <t>友だち数</t>
    <rPh sb="0" eb="1">
      <t>トモ</t>
    </rPh>
    <rPh sb="3" eb="4">
      <t>スウ</t>
    </rPh>
    <phoneticPr fontId="2"/>
  </si>
  <si>
    <t>ターゲット数</t>
    <rPh sb="5" eb="6">
      <t>スウ</t>
    </rPh>
    <phoneticPr fontId="2"/>
  </si>
  <si>
    <t>ブロック率</t>
    <rPh sb="4" eb="5">
      <t>リツ</t>
    </rPh>
    <phoneticPr fontId="2"/>
  </si>
  <si>
    <t>友だち数_増加数</t>
    <rPh sb="0" eb="1">
      <t>トモ</t>
    </rPh>
    <rPh sb="3" eb="4">
      <t>スウ</t>
    </rPh>
    <rPh sb="5" eb="8">
      <t>ゾウカスウ</t>
    </rPh>
    <phoneticPr fontId="2"/>
  </si>
  <si>
    <t>友だち獲得単価</t>
    <rPh sb="0" eb="1">
      <t>トモ</t>
    </rPh>
    <rPh sb="3" eb="5">
      <t>カクトク</t>
    </rPh>
    <rPh sb="5" eb="7">
      <t>タンカ</t>
    </rPh>
    <phoneticPr fontId="2"/>
  </si>
  <si>
    <t>CPC想定</t>
    <rPh sb="3" eb="5">
      <t>ソウテイ</t>
    </rPh>
    <phoneticPr fontId="2"/>
  </si>
  <si>
    <t>CPA想定</t>
    <rPh sb="3" eb="5">
      <t>ソウテイ</t>
    </rPh>
    <phoneticPr fontId="2"/>
  </si>
  <si>
    <t>CVR想定</t>
    <rPh sb="3" eb="5">
      <t>ソウテイ</t>
    </rPh>
    <phoneticPr fontId="2"/>
  </si>
  <si>
    <t>--</t>
  </si>
  <si>
    <t>--</t>
    <phoneticPr fontId="2"/>
  </si>
  <si>
    <t>企画投稿数</t>
    <rPh sb="0" eb="2">
      <t>キカク</t>
    </rPh>
    <rPh sb="2" eb="5">
      <t>トウコウスウ</t>
    </rPh>
    <phoneticPr fontId="2"/>
  </si>
  <si>
    <t>企画投稿からの流入</t>
    <rPh sb="0" eb="2">
      <t>キカク</t>
    </rPh>
    <rPh sb="2" eb="4">
      <t>トウコウ</t>
    </rPh>
    <rPh sb="7" eb="9">
      <t>リュウニュウ</t>
    </rPh>
    <phoneticPr fontId="2"/>
  </si>
  <si>
    <t>想定Click数</t>
    <rPh sb="0" eb="2">
      <t>ソウテイ</t>
    </rPh>
    <rPh sb="7" eb="8">
      <t>スウ</t>
    </rPh>
    <phoneticPr fontId="2"/>
  </si>
  <si>
    <t>配信数</t>
    <rPh sb="0" eb="3">
      <t>ハイシンスウ</t>
    </rPh>
    <phoneticPr fontId="2"/>
  </si>
  <si>
    <t>従量課金</t>
    <rPh sb="0" eb="4">
      <t>ジュウリョウカキン</t>
    </rPh>
    <phoneticPr fontId="2"/>
  </si>
  <si>
    <t>コスト備考</t>
    <rPh sb="3" eb="5">
      <t>ビコウ</t>
    </rPh>
    <phoneticPr fontId="2"/>
  </si>
  <si>
    <t>　※↓現状数値</t>
    <rPh sb="3" eb="5">
      <t>ゲンジョウ</t>
    </rPh>
    <rPh sb="5" eb="7">
      <t>スウチ</t>
    </rPh>
    <phoneticPr fontId="2"/>
  </si>
  <si>
    <t>ステップ配信本数</t>
    <rPh sb="4" eb="6">
      <t>ハイシン</t>
    </rPh>
    <rPh sb="6" eb="8">
      <t>ホンスウ</t>
    </rPh>
    <phoneticPr fontId="2"/>
  </si>
  <si>
    <t>ステップ配信からの流入</t>
    <rPh sb="4" eb="6">
      <t>ハイシン</t>
    </rPh>
    <rPh sb="9" eb="11">
      <t>リュウニュウ</t>
    </rPh>
    <phoneticPr fontId="2"/>
  </si>
  <si>
    <t>WEBサイト</t>
    <phoneticPr fontId="2"/>
  </si>
  <si>
    <t>AD以外のLINE誘導</t>
    <rPh sb="2" eb="4">
      <t>イガイ</t>
    </rPh>
    <rPh sb="9" eb="11">
      <t>ユウドウ</t>
    </rPh>
    <phoneticPr fontId="2"/>
  </si>
  <si>
    <t>ADでのLP/HP→LINE</t>
    <phoneticPr fontId="2"/>
  </si>
  <si>
    <t>UU(うち広告)</t>
    <phoneticPr fontId="2"/>
  </si>
  <si>
    <t>UU全体</t>
    <rPh sb="2" eb="4">
      <t>ゼンタイ</t>
    </rPh>
    <phoneticPr fontId="2"/>
  </si>
  <si>
    <t>※①＞②で作成</t>
    <rPh sb="5" eb="7">
      <t>サクセイ</t>
    </rPh>
    <phoneticPr fontId="2"/>
  </si>
  <si>
    <t>※③＞④で作成</t>
    <rPh sb="5" eb="7">
      <t>サクセイ</t>
    </rPh>
    <phoneticPr fontId="2"/>
  </si>
  <si>
    <t>離脱防止表示率（AD）</t>
    <rPh sb="0" eb="4">
      <t>リダツボウシ</t>
    </rPh>
    <rPh sb="4" eb="7">
      <t>ヒョウジリツ</t>
    </rPh>
    <phoneticPr fontId="2"/>
  </si>
  <si>
    <t>離脱防止表示率（SEO）</t>
    <rPh sb="0" eb="4">
      <t>リダツボウシ</t>
    </rPh>
    <rPh sb="4" eb="7">
      <t>ヒョウジリツ</t>
    </rPh>
    <phoneticPr fontId="2"/>
  </si>
  <si>
    <t>開封率</t>
    <rPh sb="0" eb="3">
      <t>カイフウリツ</t>
    </rPh>
    <phoneticPr fontId="2"/>
  </si>
  <si>
    <t>クリック率</t>
    <rPh sb="4" eb="5">
      <t>リツ</t>
    </rPh>
    <phoneticPr fontId="2"/>
  </si>
  <si>
    <t>→DYM作業用</t>
    <rPh sb="4" eb="7">
      <t>サギョウヨウ</t>
    </rPh>
    <phoneticPr fontId="2"/>
  </si>
  <si>
    <t>audienceターゲ率</t>
    <rPh sb="11" eb="12">
      <t>リツ</t>
    </rPh>
    <phoneticPr fontId="2"/>
  </si>
  <si>
    <t>↓企画投稿</t>
    <rPh sb="1" eb="5">
      <t>キカクトウコウ</t>
    </rPh>
    <phoneticPr fontId="2"/>
  </si>
  <si>
    <t>↓ステップ配信</t>
    <rPh sb="5" eb="7">
      <t>ハイシン</t>
    </rPh>
    <phoneticPr fontId="2"/>
  </si>
  <si>
    <t>■従量計算式↓</t>
    <rPh sb="1" eb="3">
      <t>ジュウリョウ</t>
    </rPh>
    <rPh sb="3" eb="5">
      <t>ケイサン</t>
    </rPh>
    <rPh sb="5" eb="6">
      <t>シキ</t>
    </rPh>
    <phoneticPr fontId="2"/>
  </si>
  <si>
    <t>アカウント費</t>
    <rPh sb="5" eb="6">
      <t>ヒ</t>
    </rPh>
    <phoneticPr fontId="2"/>
  </si>
  <si>
    <t>■要件定義</t>
    <rPh sb="1" eb="5">
      <t>ヨウケンテイギ</t>
    </rPh>
    <phoneticPr fontId="2"/>
  </si>
  <si>
    <t>※コンサル</t>
    <phoneticPr fontId="2"/>
  </si>
  <si>
    <t>■成果報酬運営</t>
    <rPh sb="1" eb="5">
      <t>セイカホウシュウ</t>
    </rPh>
    <rPh sb="5" eb="7">
      <t>ウンエイ</t>
    </rPh>
    <phoneticPr fontId="2"/>
  </si>
  <si>
    <t>←上限通数拡大の際に使用する。</t>
    <rPh sb="1" eb="5">
      <t>ジョウゲンツウスウ</t>
    </rPh>
    <rPh sb="5" eb="7">
      <t>カクダイ</t>
    </rPh>
    <rPh sb="8" eb="9">
      <t>サイ</t>
    </rPh>
    <rPh sb="10" eb="12">
      <t>シヨウ</t>
    </rPh>
    <phoneticPr fontId="2"/>
  </si>
  <si>
    <t>合計CV</t>
    <rPh sb="0" eb="2">
      <t>ゴウケイ</t>
    </rPh>
    <phoneticPr fontId="2"/>
  </si>
  <si>
    <t>地点</t>
    <rPh sb="0" eb="2">
      <t>チテン</t>
    </rPh>
    <phoneticPr fontId="2"/>
  </si>
  <si>
    <t>名称</t>
    <rPh sb="0" eb="2">
      <t>メイショウ</t>
    </rPh>
    <phoneticPr fontId="2"/>
  </si>
  <si>
    <t>成果単価</t>
    <rPh sb="0" eb="2">
      <t>セイカ</t>
    </rPh>
    <rPh sb="2" eb="4">
      <t>タンカ</t>
    </rPh>
    <phoneticPr fontId="2"/>
  </si>
  <si>
    <t>コンサル費②</t>
    <rPh sb="4" eb="5">
      <t>ヒ</t>
    </rPh>
    <phoneticPr fontId="2"/>
  </si>
  <si>
    <t>■料金テーブル</t>
  </si>
  <si>
    <t>課金対象配信総数</t>
  </si>
  <si>
    <t>費用</t>
  </si>
  <si>
    <t>単価</t>
  </si>
  <si>
    <t>-</t>
  </si>
  <si>
    <t>APIツール費</t>
    <rPh sb="6" eb="7">
      <t>ヒ</t>
    </rPh>
    <phoneticPr fontId="2"/>
  </si>
  <si>
    <t>追加通数</t>
    <rPh sb="0" eb="4">
      <t>ツイカツウスウ</t>
    </rPh>
    <phoneticPr fontId="2"/>
  </si>
  <si>
    <t>想定単価</t>
    <rPh sb="0" eb="2">
      <t>ソウテイ</t>
    </rPh>
    <rPh sb="2" eb="4">
      <t>タンカ</t>
    </rPh>
    <phoneticPr fontId="2"/>
  </si>
  <si>
    <t>UU</t>
    <phoneticPr fontId="2"/>
  </si>
  <si>
    <t>CVR</t>
    <phoneticPr fontId="2"/>
  </si>
  <si>
    <t>■コンサル運営</t>
    <phoneticPr fontId="2"/>
  </si>
  <si>
    <t>通知メッセージ</t>
    <rPh sb="0" eb="2">
      <t>ツウチ</t>
    </rPh>
    <phoneticPr fontId="2"/>
  </si>
  <si>
    <t>総計コスト</t>
    <rPh sb="0" eb="2">
      <t>ソウケイ</t>
    </rPh>
    <phoneticPr fontId="2"/>
  </si>
  <si>
    <t>1か月目</t>
    <rPh sb="2" eb="4">
      <t>ゲツメ</t>
    </rPh>
    <phoneticPr fontId="2"/>
  </si>
  <si>
    <t>2か月目</t>
    <rPh sb="2" eb="4">
      <t>ゲツメ</t>
    </rPh>
    <phoneticPr fontId="2"/>
  </si>
  <si>
    <t>3か月目</t>
    <rPh sb="2" eb="4">
      <t>ゲツメ</t>
    </rPh>
    <phoneticPr fontId="2"/>
  </si>
  <si>
    <t>4か月目</t>
    <rPh sb="2" eb="4">
      <t>ゲツメ</t>
    </rPh>
    <phoneticPr fontId="2"/>
  </si>
  <si>
    <t>5か月目</t>
    <rPh sb="2" eb="4">
      <t>ゲツメ</t>
    </rPh>
    <phoneticPr fontId="2"/>
  </si>
  <si>
    <t>6か月目</t>
    <rPh sb="2" eb="4">
      <t>ゲツメ</t>
    </rPh>
    <phoneticPr fontId="2"/>
  </si>
  <si>
    <t>想定顧客リスト</t>
    <rPh sb="0" eb="2">
      <t>ソウテイ</t>
    </rPh>
    <rPh sb="2" eb="4">
      <t>コキャク</t>
    </rPh>
    <phoneticPr fontId="2"/>
  </si>
  <si>
    <t>↓調整可能です！</t>
    <rPh sb="1" eb="5">
      <t>チョウセイカノウ</t>
    </rPh>
    <phoneticPr fontId="2"/>
  </si>
  <si>
    <t>DYM実装前</t>
    <rPh sb="3" eb="5">
      <t>ジッソウ</t>
    </rPh>
    <rPh sb="5" eb="6">
      <t>マエ</t>
    </rPh>
    <phoneticPr fontId="2"/>
  </si>
  <si>
    <t>DYM実装後（③か月）</t>
    <rPh sb="3" eb="6">
      <t>ジッソウゴ</t>
    </rPh>
    <rPh sb="9" eb="10">
      <t>ゲツ</t>
    </rPh>
    <phoneticPr fontId="2"/>
  </si>
  <si>
    <t>DYM実装後（⑥か月）</t>
    <rPh sb="3" eb="6">
      <t>ジッソウゴ</t>
    </rPh>
    <rPh sb="9" eb="10">
      <t>ゲツ</t>
    </rPh>
    <phoneticPr fontId="2"/>
  </si>
  <si>
    <t>友だち数想定</t>
    <rPh sb="0" eb="1">
      <t>トモ</t>
    </rPh>
    <rPh sb="3" eb="4">
      <t>スウ</t>
    </rPh>
    <rPh sb="4" eb="6">
      <t>ソウテイ</t>
    </rPh>
    <phoneticPr fontId="2"/>
  </si>
  <si>
    <t>ブロック率想定</t>
    <rPh sb="4" eb="5">
      <t>リツ</t>
    </rPh>
    <rPh sb="5" eb="7">
      <t>ソウテイ</t>
    </rPh>
    <phoneticPr fontId="2"/>
  </si>
  <si>
    <t>友だち数（アクティブ）想定</t>
    <rPh sb="0" eb="1">
      <t>トモ</t>
    </rPh>
    <rPh sb="3" eb="4">
      <t>スウ</t>
    </rPh>
    <rPh sb="11" eb="13">
      <t>ソウテイ</t>
    </rPh>
    <phoneticPr fontId="2"/>
  </si>
  <si>
    <t>比較項目</t>
    <rPh sb="0" eb="2">
      <t>ヒカク</t>
    </rPh>
    <rPh sb="2" eb="4">
      <t>コウモク</t>
    </rPh>
    <phoneticPr fontId="2"/>
  </si>
  <si>
    <t>CV数（もともと）</t>
    <rPh sb="2" eb="3">
      <t>スウ</t>
    </rPh>
    <phoneticPr fontId="2"/>
  </si>
  <si>
    <t>CV数（+LINEOA施策）</t>
    <rPh sb="2" eb="3">
      <t>スウ</t>
    </rPh>
    <rPh sb="11" eb="13">
      <t>シサク</t>
    </rPh>
    <phoneticPr fontId="2"/>
  </si>
  <si>
    <t>メッセ通数</t>
    <rPh sb="3" eb="5">
      <t>ツウスウ</t>
    </rPh>
    <phoneticPr fontId="2"/>
  </si>
  <si>
    <t>サイト流入数（LINEから）</t>
    <rPh sb="3" eb="6">
      <t>リュウニュウスウ</t>
    </rPh>
    <phoneticPr fontId="2"/>
  </si>
  <si>
    <t>OA施策CV_内訳①_新規CV1</t>
    <rPh sb="2" eb="4">
      <t>シサク</t>
    </rPh>
    <rPh sb="7" eb="9">
      <t>ウチワケ</t>
    </rPh>
    <rPh sb="11" eb="13">
      <t>シンキ</t>
    </rPh>
    <phoneticPr fontId="2"/>
  </si>
  <si>
    <t>OA施策CV_内訳②_新規CV2</t>
    <rPh sb="2" eb="4">
      <t>シサク</t>
    </rPh>
    <rPh sb="7" eb="9">
      <t>ウチワケ</t>
    </rPh>
    <rPh sb="11" eb="13">
      <t>シンキ</t>
    </rPh>
    <phoneticPr fontId="2"/>
  </si>
  <si>
    <t>OA施策CV_内訳④_リピCV4</t>
    <rPh sb="2" eb="4">
      <t>シサク</t>
    </rPh>
    <rPh sb="7" eb="9">
      <t>ウチワケ</t>
    </rPh>
    <phoneticPr fontId="2"/>
  </si>
  <si>
    <t>OA施策CV_内訳③_リピCV3</t>
    <rPh sb="2" eb="4">
      <t>シサク</t>
    </rPh>
    <rPh sb="7" eb="9">
      <t>ウチワケ</t>
    </rPh>
    <phoneticPr fontId="2"/>
  </si>
  <si>
    <t>友だち数_増加施策</t>
    <rPh sb="0" eb="1">
      <t>トモ</t>
    </rPh>
    <rPh sb="3" eb="4">
      <t>スウ</t>
    </rPh>
    <rPh sb="5" eb="7">
      <t>ゾウカ</t>
    </rPh>
    <rPh sb="7" eb="9">
      <t>シサク</t>
    </rPh>
    <phoneticPr fontId="2"/>
  </si>
  <si>
    <t>配信効率改善施策</t>
    <rPh sb="0" eb="2">
      <t>ハイシン</t>
    </rPh>
    <rPh sb="2" eb="4">
      <t>コウリツ</t>
    </rPh>
    <rPh sb="4" eb="8">
      <t>カイゼンシサク</t>
    </rPh>
    <phoneticPr fontId="2"/>
  </si>
  <si>
    <t>&gt; 通常メッセ</t>
    <rPh sb="2" eb="4">
      <t>ツウジョウ</t>
    </rPh>
    <phoneticPr fontId="2"/>
  </si>
  <si>
    <t>CV率</t>
    <rPh sb="2" eb="3">
      <t>リツ</t>
    </rPh>
    <phoneticPr fontId="2"/>
  </si>
  <si>
    <t>※具体的なセグメントの仕方、企画により変動</t>
    <rPh sb="1" eb="4">
      <t>グタイテキ</t>
    </rPh>
    <rPh sb="11" eb="13">
      <t>シカタ</t>
    </rPh>
    <rPh sb="14" eb="16">
      <t>キカク</t>
    </rPh>
    <rPh sb="19" eb="21">
      <t>ヘンドウ</t>
    </rPh>
    <phoneticPr fontId="2"/>
  </si>
  <si>
    <t>掲載率</t>
    <rPh sb="0" eb="2">
      <t>ケイサイ</t>
    </rPh>
    <rPh sb="2" eb="3">
      <t>リツ</t>
    </rPh>
    <phoneticPr fontId="2"/>
  </si>
  <si>
    <t>※サイト構成、要望により変動</t>
    <rPh sb="4" eb="6">
      <t>コウセイ</t>
    </rPh>
    <rPh sb="7" eb="9">
      <t>ヨウボウ</t>
    </rPh>
    <rPh sb="12" eb="14">
      <t>ヘンドウ</t>
    </rPh>
    <phoneticPr fontId="2"/>
  </si>
  <si>
    <t>離脱防止 ※</t>
    <rPh sb="0" eb="2">
      <t>リダツ</t>
    </rPh>
    <rPh sb="2" eb="4">
      <t>ボウシ</t>
    </rPh>
    <phoneticPr fontId="2"/>
  </si>
  <si>
    <t>サイト→LINEの導線の改善 ※</t>
    <rPh sb="9" eb="11">
      <t>ドウセン</t>
    </rPh>
    <rPh sb="12" eb="14">
      <t>カイゼン</t>
    </rPh>
    <phoneticPr fontId="2"/>
  </si>
  <si>
    <t>追加率</t>
    <rPh sb="0" eb="2">
      <t>ツイカ</t>
    </rPh>
    <rPh sb="2" eb="3">
      <t>リツ</t>
    </rPh>
    <phoneticPr fontId="2"/>
  </si>
  <si>
    <t>サンクスページ誘導 ※</t>
    <rPh sb="7" eb="9">
      <t>ユウドウ</t>
    </rPh>
    <phoneticPr fontId="2"/>
  </si>
  <si>
    <t>掲載数</t>
    <rPh sb="0" eb="2">
      <t>ケイサイ</t>
    </rPh>
    <rPh sb="2" eb="3">
      <t>スウ</t>
    </rPh>
    <phoneticPr fontId="2"/>
  </si>
  <si>
    <t>※カウントしない</t>
    <phoneticPr fontId="2"/>
  </si>
  <si>
    <t>ただCVが増えるわけではない</t>
    <rPh sb="5" eb="6">
      <t>フ</t>
    </rPh>
    <phoneticPr fontId="2"/>
  </si>
  <si>
    <t>通知メッセの改善 ※</t>
    <rPh sb="0" eb="2">
      <t>ツウチ</t>
    </rPh>
    <rPh sb="6" eb="8">
      <t>カイゼン</t>
    </rPh>
    <phoneticPr fontId="2"/>
  </si>
  <si>
    <t>&gt; その他（リッチメニュー）</t>
    <rPh sb="4" eb="5">
      <t>タ</t>
    </rPh>
    <phoneticPr fontId="2"/>
  </si>
  <si>
    <t>&gt;挨拶メッセ</t>
    <phoneticPr fontId="2"/>
  </si>
  <si>
    <t>&gt;挨拶メッセ（アンケート回答率）</t>
    <rPh sb="12" eb="15">
      <t>カイトウリツ</t>
    </rPh>
    <phoneticPr fontId="2"/>
  </si>
  <si>
    <t>回答率</t>
    <rPh sb="0" eb="3">
      <t>カイトウリツ</t>
    </rPh>
    <phoneticPr fontId="2"/>
  </si>
  <si>
    <t>&gt; 追いメッセ（ステップ、シナリオ）</t>
    <rPh sb="2" eb="3">
      <t>オ</t>
    </rPh>
    <phoneticPr fontId="2"/>
  </si>
  <si>
    <t>課金</t>
    <rPh sb="0" eb="2">
      <t>カキン</t>
    </rPh>
    <phoneticPr fontId="2"/>
  </si>
  <si>
    <t>企画投稿（セグメントor一斉配信）</t>
    <rPh sb="0" eb="2">
      <t>キカク</t>
    </rPh>
    <rPh sb="2" eb="4">
      <t>トウコウ</t>
    </rPh>
    <rPh sb="12" eb="14">
      <t>イッセイ</t>
    </rPh>
    <rPh sb="14" eb="16">
      <t>ハイシン</t>
    </rPh>
    <phoneticPr fontId="2"/>
  </si>
  <si>
    <t>追いメッセージ（ステップ、シナリオ）</t>
    <rPh sb="0" eb="1">
      <t>オ</t>
    </rPh>
    <phoneticPr fontId="2"/>
  </si>
  <si>
    <t>VOOM投稿　※同時進行の場合が多い</t>
    <rPh sb="4" eb="6">
      <t>トウコウ</t>
    </rPh>
    <rPh sb="8" eb="10">
      <t>ドウジ</t>
    </rPh>
    <rPh sb="10" eb="12">
      <t>シンコウ</t>
    </rPh>
    <rPh sb="13" eb="15">
      <t>バアイ</t>
    </rPh>
    <rPh sb="16" eb="17">
      <t>オオ</t>
    </rPh>
    <phoneticPr fontId="2"/>
  </si>
  <si>
    <t>通知メッセージ（1通7円くらいの想定）　※機能導入が必要　※ツール費：月8万～</t>
    <rPh sb="0" eb="2">
      <t>ツウチ</t>
    </rPh>
    <rPh sb="9" eb="10">
      <t>ツウ</t>
    </rPh>
    <rPh sb="11" eb="12">
      <t>エン</t>
    </rPh>
    <rPh sb="16" eb="18">
      <t>ソウテイ</t>
    </rPh>
    <rPh sb="21" eb="23">
      <t>キノウ</t>
    </rPh>
    <rPh sb="23" eb="25">
      <t>ドウニュウ</t>
    </rPh>
    <rPh sb="26" eb="28">
      <t>ヒツヨウ</t>
    </rPh>
    <rPh sb="33" eb="34">
      <t>ヒ</t>
    </rPh>
    <rPh sb="35" eb="36">
      <t>ツキ</t>
    </rPh>
    <rPh sb="37" eb="38">
      <t>マン</t>
    </rPh>
    <phoneticPr fontId="2"/>
  </si>
  <si>
    <t>非課金</t>
    <rPh sb="0" eb="3">
      <t>ヒカキン</t>
    </rPh>
    <phoneticPr fontId="2"/>
  </si>
  <si>
    <t>自動の即時応答</t>
    <rPh sb="0" eb="2">
      <t>ジドウ</t>
    </rPh>
    <rPh sb="3" eb="5">
      <t>ソクジ</t>
    </rPh>
    <rPh sb="5" eb="7">
      <t>オウトウ</t>
    </rPh>
    <phoneticPr fontId="2"/>
  </si>
  <si>
    <t>個別チャット対応</t>
    <rPh sb="0" eb="2">
      <t>コベツ</t>
    </rPh>
    <rPh sb="6" eb="8">
      <t>タイオウ</t>
    </rPh>
    <phoneticPr fontId="2"/>
  </si>
  <si>
    <t>あいさつメッセージ</t>
    <phoneticPr fontId="2"/>
  </si>
  <si>
    <t>（リッチメニュー）</t>
    <phoneticPr fontId="2"/>
  </si>
  <si>
    <t>階層別</t>
    <rPh sb="0" eb="3">
      <t>カイソウベツ</t>
    </rPh>
    <phoneticPr fontId="2"/>
  </si>
  <si>
    <t>SimilarWeb等を参考に</t>
    <rPh sb="10" eb="11">
      <t>トウ</t>
    </rPh>
    <rPh sb="12" eb="14">
      <t>サンコウ</t>
    </rPh>
    <phoneticPr fontId="2"/>
  </si>
  <si>
    <t>広告比率等を参考に</t>
    <rPh sb="0" eb="5">
      <t>コウコクヒリツトウ</t>
    </rPh>
    <rPh sb="6" eb="8">
      <t>サンコウ</t>
    </rPh>
    <phoneticPr fontId="2"/>
  </si>
  <si>
    <t>CV聞けてれば→通知メッセ、サンクスLINE誘導</t>
    <rPh sb="2" eb="3">
      <t>キ</t>
    </rPh>
    <rPh sb="8" eb="10">
      <t>ツウチ</t>
    </rPh>
    <rPh sb="22" eb="24">
      <t>ユウドウ</t>
    </rPh>
    <phoneticPr fontId="2"/>
  </si>
  <si>
    <t>通知メッセージ_CV</t>
    <rPh sb="0" eb="2">
      <t>ツウチ</t>
    </rPh>
    <phoneticPr fontId="2"/>
  </si>
  <si>
    <t>通知メッセージ_既存リスト</t>
    <rPh sb="0" eb="2">
      <t>ツウチ</t>
    </rPh>
    <rPh sb="8" eb="10">
      <t>キゾン</t>
    </rPh>
    <phoneticPr fontId="2"/>
  </si>
  <si>
    <t>サンクスLINE誘導</t>
    <rPh sb="8" eb="10">
      <t>ユウドウ</t>
    </rPh>
    <phoneticPr fontId="2"/>
  </si>
  <si>
    <t>成果報酬_費用発生</t>
    <rPh sb="0" eb="4">
      <t>セイカホウシュウ</t>
    </rPh>
    <rPh sb="5" eb="7">
      <t>ヒヨウ</t>
    </rPh>
    <rPh sb="7" eb="9">
      <t>ハッセイ</t>
    </rPh>
    <phoneticPr fontId="2"/>
  </si>
  <si>
    <t>CV/流入数で計算、0.3%〜1%とかで推移。</t>
    <rPh sb="3" eb="6">
      <t>リュウニュウスウ</t>
    </rPh>
    <rPh sb="7" eb="9">
      <t>ケイサン</t>
    </rPh>
    <rPh sb="20" eb="22">
      <t>スイイ</t>
    </rPh>
    <phoneticPr fontId="2"/>
  </si>
  <si>
    <t>新規向け_</t>
    <rPh sb="0" eb="3">
      <t>シンキム</t>
    </rPh>
    <phoneticPr fontId="2"/>
  </si>
  <si>
    <t>既存向け_休眠顧客向け</t>
    <rPh sb="0" eb="3">
      <t>キゾンム</t>
    </rPh>
    <rPh sb="5" eb="10">
      <t>キュウミンコキャクム</t>
    </rPh>
    <phoneticPr fontId="2"/>
  </si>
  <si>
    <t>4‐6か月後係数</t>
    <rPh sb="1" eb="6">
      <t>-6カゲツゴ</t>
    </rPh>
    <rPh sb="6" eb="8">
      <t>ケイスウ</t>
    </rPh>
    <phoneticPr fontId="2"/>
  </si>
  <si>
    <t>CPFの単価設定</t>
    <rPh sb="4" eb="8">
      <t>タンカセッテイ</t>
    </rPh>
    <phoneticPr fontId="2"/>
  </si>
  <si>
    <t>CPFコスト / CPFの単価設定 ※ブロック率が上がりやすい</t>
    <rPh sb="13" eb="15">
      <t>タンカ</t>
    </rPh>
    <rPh sb="15" eb="17">
      <t>セッテイ</t>
    </rPh>
    <rPh sb="23" eb="24">
      <t>リツ</t>
    </rPh>
    <rPh sb="25" eb="26">
      <t>ア</t>
    </rPh>
    <phoneticPr fontId="2"/>
  </si>
  <si>
    <t>離脱防止表示率×UU×クリック率×実追加率</t>
    <rPh sb="0" eb="4">
      <t>リダツボウシ</t>
    </rPh>
    <rPh sb="4" eb="6">
      <t>ヒョウジ</t>
    </rPh>
    <rPh sb="6" eb="7">
      <t>リツ</t>
    </rPh>
    <rPh sb="15" eb="16">
      <t>リツ</t>
    </rPh>
    <rPh sb="17" eb="18">
      <t>ジツ</t>
    </rPh>
    <rPh sb="18" eb="20">
      <t>ツイカ</t>
    </rPh>
    <rPh sb="20" eb="21">
      <t>リツ</t>
    </rPh>
    <phoneticPr fontId="2"/>
  </si>
  <si>
    <t>CV(別施策)*誘導成功率*実追加率</t>
    <rPh sb="3" eb="6">
      <t>ベツシサク</t>
    </rPh>
    <rPh sb="8" eb="10">
      <t>ユウドウ</t>
    </rPh>
    <rPh sb="10" eb="13">
      <t>セイコウリツ</t>
    </rPh>
    <rPh sb="14" eb="18">
      <t>ジツツイカリツ</t>
    </rPh>
    <phoneticPr fontId="2"/>
  </si>
  <si>
    <t>サンクス到達*情報一致率(70%前後)*実追加率</t>
    <rPh sb="4" eb="6">
      <t>トウタツ</t>
    </rPh>
    <rPh sb="7" eb="12">
      <t>ジョウホウイッチリツ</t>
    </rPh>
    <rPh sb="16" eb="18">
      <t>ゼンゴ</t>
    </rPh>
    <rPh sb="20" eb="24">
      <t>ジツツイカリツ</t>
    </rPh>
    <phoneticPr fontId="2"/>
  </si>
  <si>
    <t>20%くらいの調整は可能です。</t>
    <rPh sb="7" eb="9">
      <t>チョウセイ</t>
    </rPh>
    <rPh sb="10" eb="12">
      <t>カノウ</t>
    </rPh>
    <phoneticPr fontId="2"/>
  </si>
  <si>
    <t>※上記記載に追加して、LP、HPからのLINE誘導を加味する</t>
    <rPh sb="1" eb="5">
      <t>ジョウキキサイ</t>
    </rPh>
    <rPh sb="6" eb="8">
      <t>ツイカ</t>
    </rPh>
    <rPh sb="23" eb="25">
      <t>ユウドウ</t>
    </rPh>
    <rPh sb="26" eb="28">
      <t>カミ</t>
    </rPh>
    <phoneticPr fontId="2"/>
  </si>
  <si>
    <t>CV（別施策）1</t>
    <phoneticPr fontId="2"/>
  </si>
  <si>
    <t>CV（別施策）2</t>
    <phoneticPr fontId="2"/>
  </si>
  <si>
    <t>特典の強さ</t>
    <rPh sb="0" eb="2">
      <t>トクテン</t>
    </rPh>
    <rPh sb="3" eb="4">
      <t>ツヨ</t>
    </rPh>
    <phoneticPr fontId="2"/>
  </si>
  <si>
    <t>想定の係数（反応率）</t>
    <rPh sb="0" eb="2">
      <t>ソウテイ</t>
    </rPh>
    <rPh sb="3" eb="5">
      <t>ケイスウ</t>
    </rPh>
    <rPh sb="6" eb="9">
      <t>ハンノウリツ</t>
    </rPh>
    <phoneticPr fontId="2"/>
  </si>
  <si>
    <t>サンクス誘導：初期10万円/通期5万円　※20%のコストカットOK</t>
    <rPh sb="4" eb="6">
      <t>ユウドウ</t>
    </rPh>
    <rPh sb="7" eb="9">
      <t>ショキ</t>
    </rPh>
    <rPh sb="11" eb="13">
      <t>マンエン</t>
    </rPh>
    <rPh sb="14" eb="16">
      <t>ツウキ</t>
    </rPh>
    <rPh sb="17" eb="19">
      <t>マンエン</t>
    </rPh>
    <phoneticPr fontId="2"/>
  </si>
  <si>
    <t>UUにかかわらず、10000円/月にて設定</t>
    <rPh sb="14" eb="15">
      <t>エン</t>
    </rPh>
    <rPh sb="16" eb="17">
      <t>ツキ</t>
    </rPh>
    <rPh sb="19" eb="21">
      <t>セッテイ</t>
    </rPh>
    <phoneticPr fontId="2"/>
  </si>
  <si>
    <t>機能拡張</t>
    <rPh sb="0" eb="4">
      <t>キノウカクチョウ</t>
    </rPh>
    <phoneticPr fontId="2"/>
  </si>
  <si>
    <t>通知メッセージ：要相談、（）</t>
    <rPh sb="0" eb="2">
      <t>ツウチ</t>
    </rPh>
    <rPh sb="8" eb="11">
      <t>ヨウソウダン</t>
    </rPh>
    <phoneticPr fontId="2"/>
  </si>
  <si>
    <t>コンサル費用固定</t>
    <rPh sb="4" eb="6">
      <t>ヒヨウ</t>
    </rPh>
    <rPh sb="6" eb="8">
      <t>コテイ</t>
    </rPh>
    <phoneticPr fontId="2"/>
  </si>
  <si>
    <t>コンサル費用ショット（開発、初期費用）</t>
    <rPh sb="4" eb="6">
      <t>ヒヨウ</t>
    </rPh>
    <rPh sb="11" eb="13">
      <t>カイハツ</t>
    </rPh>
    <rPh sb="14" eb="18">
      <t>ショキヒヨウ</t>
    </rPh>
    <phoneticPr fontId="2"/>
  </si>
  <si>
    <t>プラン単価</t>
    <rPh sb="3" eb="5">
      <t>タンカ</t>
    </rPh>
    <phoneticPr fontId="2"/>
  </si>
  <si>
    <r>
      <t>アカウント費用（15000円or5000円）＋従量課金　</t>
    </r>
    <r>
      <rPr>
        <sz val="9"/>
        <color rgb="FFFF0000"/>
        <rFont val="メイリオ"/>
        <family val="3"/>
        <charset val="128"/>
      </rPr>
      <t>※5000通を超える場合15000円～の設定にする ※重量課金は要確認</t>
    </r>
    <rPh sb="5" eb="7">
      <t>ヒヨウ</t>
    </rPh>
    <rPh sb="13" eb="14">
      <t>エン</t>
    </rPh>
    <rPh sb="20" eb="21">
      <t>エン</t>
    </rPh>
    <rPh sb="23" eb="27">
      <t>ジュウリョウカキン</t>
    </rPh>
    <rPh sb="33" eb="34">
      <t>ツウ</t>
    </rPh>
    <rPh sb="35" eb="36">
      <t>コ</t>
    </rPh>
    <rPh sb="38" eb="40">
      <t>バアイ</t>
    </rPh>
    <rPh sb="45" eb="46">
      <t>エン</t>
    </rPh>
    <rPh sb="48" eb="50">
      <t>セッテイ</t>
    </rPh>
    <rPh sb="55" eb="57">
      <t>ジュウリョウ</t>
    </rPh>
    <rPh sb="57" eb="59">
      <t>カキン</t>
    </rPh>
    <rPh sb="60" eb="61">
      <t>ヨウ</t>
    </rPh>
    <rPh sb="61" eb="63">
      <t>カクニン</t>
    </rPh>
    <phoneticPr fontId="2"/>
  </si>
  <si>
    <t>コスト想定(固定費)</t>
    <rPh sb="3" eb="5">
      <t>ソウテイ</t>
    </rPh>
    <rPh sb="6" eb="9">
      <t>コテイヒ</t>
    </rPh>
    <phoneticPr fontId="2"/>
  </si>
  <si>
    <t>←基本本数が4本として設計する</t>
    <rPh sb="1" eb="5">
      <t>キホンホンスウ</t>
    </rPh>
    <rPh sb="7" eb="8">
      <t>ホン</t>
    </rPh>
    <rPh sb="11" eb="13">
      <t>セッケイ</t>
    </rPh>
    <phoneticPr fontId="2"/>
  </si>
  <si>
    <t>←基本本数が4本として設計する（ユーザー数と固定費で調整）</t>
    <rPh sb="1" eb="5">
      <t>キホンホンスウ</t>
    </rPh>
    <rPh sb="7" eb="8">
      <t>ホン</t>
    </rPh>
    <rPh sb="11" eb="13">
      <t>セッケイ</t>
    </rPh>
    <rPh sb="20" eb="21">
      <t>スウ</t>
    </rPh>
    <rPh sb="22" eb="25">
      <t>コテイヒ</t>
    </rPh>
    <rPh sb="26" eb="28">
      <t>チョウセイ</t>
    </rPh>
    <phoneticPr fontId="2"/>
  </si>
  <si>
    <t>※ターゲット数の増加分が通常の増加分を超えないように調整する</t>
    <rPh sb="6" eb="7">
      <t>スウ</t>
    </rPh>
    <rPh sb="8" eb="11">
      <t>ゾウカブン</t>
    </rPh>
    <rPh sb="12" eb="14">
      <t>ツウジョウ</t>
    </rPh>
    <rPh sb="15" eb="18">
      <t>ゾウカブン</t>
    </rPh>
    <rPh sb="19" eb="20">
      <t>コ</t>
    </rPh>
    <rPh sb="26" eb="28">
      <t>チョウセイ</t>
    </rPh>
    <phoneticPr fontId="2"/>
  </si>
  <si>
    <t>クリエイティブ強さ</t>
    <rPh sb="7" eb="8">
      <t>ツヨ</t>
    </rPh>
    <phoneticPr fontId="2"/>
  </si>
  <si>
    <t>知名度強さ</t>
    <rPh sb="0" eb="3">
      <t>チメイド</t>
    </rPh>
    <rPh sb="3" eb="4">
      <t>ツヨ</t>
    </rPh>
    <phoneticPr fontId="2"/>
  </si>
  <si>
    <t>動線の強さ</t>
    <rPh sb="0" eb="2">
      <t>ドウセン</t>
    </rPh>
    <rPh sb="3" eb="4">
      <t>ツヨ</t>
    </rPh>
    <phoneticPr fontId="2"/>
  </si>
  <si>
    <t>母数</t>
    <rPh sb="0" eb="2">
      <t>ボスウ</t>
    </rPh>
    <phoneticPr fontId="2"/>
  </si>
  <si>
    <t>誘導率</t>
    <rPh sb="0" eb="3">
      <t>ユウドウリツ</t>
    </rPh>
    <phoneticPr fontId="2"/>
  </si>
  <si>
    <t>想定CVR</t>
    <rPh sb="0" eb="2">
      <t>ソウテイ</t>
    </rPh>
    <phoneticPr fontId="2"/>
  </si>
  <si>
    <t>コスト想定 ※月額（成果報酬プラン）</t>
    <rPh sb="3" eb="5">
      <t>ソウテイ</t>
    </rPh>
    <rPh sb="7" eb="9">
      <t>ゲツガク</t>
    </rPh>
    <rPh sb="10" eb="14">
      <t>セイカホウシュウ</t>
    </rPh>
    <phoneticPr fontId="2"/>
  </si>
  <si>
    <t>コスト想定 ※月額（固定プラン）</t>
    <rPh sb="3" eb="5">
      <t>ソウテイ</t>
    </rPh>
    <rPh sb="7" eb="9">
      <t>ゲツガク</t>
    </rPh>
    <rPh sb="10" eb="12">
      <t>コテイ</t>
    </rPh>
    <phoneticPr fontId="2"/>
  </si>
  <si>
    <t>成果報酬プラン_CPA（単純計算）</t>
    <rPh sb="0" eb="4">
      <t>セイカホウシュウ</t>
    </rPh>
    <rPh sb="12" eb="16">
      <t>タンジュンケイサン</t>
    </rPh>
    <phoneticPr fontId="2"/>
  </si>
  <si>
    <t>固定費プラン_CPA（単純計算）</t>
    <rPh sb="0" eb="3">
      <t>コテイヒ</t>
    </rPh>
    <rPh sb="11" eb="15">
      <t>タンジュンケイサン</t>
    </rPh>
    <phoneticPr fontId="2"/>
  </si>
  <si>
    <t>備考単価</t>
    <rPh sb="0" eb="2">
      <t>ビコウ</t>
    </rPh>
    <rPh sb="2" eb="4">
      <t>タンカ</t>
    </rPh>
    <phoneticPr fontId="2"/>
  </si>
  <si>
    <t>→通数減らすように係数：</t>
    <rPh sb="1" eb="3">
      <t>ツウスウ</t>
    </rPh>
    <rPh sb="3" eb="4">
      <t>ヘ</t>
    </rPh>
    <rPh sb="9" eb="11">
      <t>ケイスウ</t>
    </rPh>
    <phoneticPr fontId="2"/>
  </si>
  <si>
    <t>従量課金対象単価</t>
    <rPh sb="0" eb="4">
      <t>ジュウリョウカキン</t>
    </rPh>
    <rPh sb="4" eb="6">
      <t>タイショウ</t>
    </rPh>
    <rPh sb="6" eb="8">
      <t>タンカ</t>
    </rPh>
    <phoneticPr fontId="2"/>
  </si>
  <si>
    <t>-</t>
    <phoneticPr fontId="2"/>
  </si>
  <si>
    <t>想定CPC（LINEOA施策）_成果報酬プラン</t>
    <rPh sb="0" eb="2">
      <t>ソウテイ</t>
    </rPh>
    <rPh sb="12" eb="14">
      <t>シサク</t>
    </rPh>
    <rPh sb="16" eb="20">
      <t>セイカホウシュウ</t>
    </rPh>
    <phoneticPr fontId="2"/>
  </si>
  <si>
    <t>想定CPC（LINEOA施策）_固定運用プラン</t>
    <rPh sb="0" eb="2">
      <t>ソウテイ</t>
    </rPh>
    <rPh sb="12" eb="14">
      <t>シサク</t>
    </rPh>
    <rPh sb="16" eb="18">
      <t>コテイ</t>
    </rPh>
    <rPh sb="18" eb="20">
      <t>ウンヨウ</t>
    </rPh>
    <phoneticPr fontId="2"/>
  </si>
  <si>
    <t>備考_合計コスト(従量課金) ※アカウント費用</t>
    <rPh sb="0" eb="2">
      <t>ビコウ</t>
    </rPh>
    <rPh sb="3" eb="5">
      <t>ゴウケイ</t>
    </rPh>
    <rPh sb="9" eb="13">
      <t>ジュウリョウカキン</t>
    </rPh>
    <rPh sb="21" eb="23">
      <t>ヒヨウ</t>
    </rPh>
    <phoneticPr fontId="2"/>
  </si>
  <si>
    <t>広告・アフィUU</t>
    <rPh sb="0" eb="2">
      <t>コウコク</t>
    </rPh>
    <phoneticPr fontId="2"/>
  </si>
  <si>
    <t>現状数値</t>
    <rPh sb="0" eb="4">
      <t>ゲンジョウスウチ</t>
    </rPh>
    <phoneticPr fontId="2"/>
  </si>
  <si>
    <t>初期</t>
    <rPh sb="0" eb="2">
      <t>ショキ</t>
    </rPh>
    <phoneticPr fontId="2"/>
  </si>
  <si>
    <t>CV（別施策） ※想定</t>
    <rPh sb="3" eb="4">
      <t>ベツ</t>
    </rPh>
    <rPh sb="4" eb="6">
      <t>シサク</t>
    </rPh>
    <rPh sb="9" eb="11">
      <t>ソウテイ</t>
    </rPh>
    <phoneticPr fontId="2"/>
  </si>
  <si>
    <t>コスト総計</t>
    <rPh sb="3" eb="5">
      <t>ソウケイ</t>
    </rPh>
    <phoneticPr fontId="2"/>
  </si>
  <si>
    <t>購入（新規）</t>
    <phoneticPr fontId="2"/>
  </si>
  <si>
    <t>購入（リピート）</t>
    <phoneticPr fontId="2"/>
  </si>
  <si>
    <t>初期構築費</t>
    <phoneticPr fontId="2"/>
  </si>
  <si>
    <t>マネタイズ（イメージ）</t>
    <phoneticPr fontId="2"/>
  </si>
  <si>
    <t>リード（イメージ）</t>
    <phoneticPr fontId="2"/>
  </si>
  <si>
    <t>LINEプレスリリースの可否</t>
    <rPh sb="12" eb="14">
      <t>カヒ</t>
    </rPh>
    <phoneticPr fontId="2"/>
  </si>
  <si>
    <t>※メルマガ、他SNS等でのリリースが出来るか</t>
    <rPh sb="6" eb="7">
      <t>ホカ</t>
    </rPh>
    <rPh sb="10" eb="11">
      <t>トウ</t>
    </rPh>
    <rPh sb="18" eb="20">
      <t>デキ</t>
    </rPh>
    <phoneticPr fontId="2"/>
  </si>
  <si>
    <t>※これより→はPDFにするときに消すようにする（範囲外に）</t>
    <rPh sb="16" eb="17">
      <t>ケ</t>
    </rPh>
    <rPh sb="24" eb="27">
      <t>ハンイガイ</t>
    </rPh>
    <phoneticPr fontId="2"/>
  </si>
  <si>
    <t>株式会社御中_LINEOA施策提案【SIM】</t>
    <phoneticPr fontId="2"/>
  </si>
  <si>
    <t>KaiU表示率</t>
    <rPh sb="4" eb="6">
      <t>ヒョウジ</t>
    </rPh>
    <rPh sb="6" eb="7">
      <t>リツ</t>
    </rPh>
    <phoneticPr fontId="2"/>
  </si>
  <si>
    <t>（サイト固定リンク）</t>
    <rPh sb="4" eb="6">
      <t>コテイ</t>
    </rPh>
    <phoneticPr fontId="2"/>
  </si>
  <si>
    <t>（サイト固定リンク）</t>
    <phoneticPr fontId="2"/>
  </si>
  <si>
    <t>Ver.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</si>
</sst>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¥&quot;#,##0;[Red]&quot;¥&quot;\-#,##0"/>
    <numFmt numFmtId="176" formatCode="0.0%"/>
  </numFmts>
  <fonts count="26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theme="1"/>
      <name val="メイリオ"/>
      <family val="3"/>
      <charset val="128"/>
    </font>
    <font>
      <sz val="14"/>
      <color theme="1"/>
      <name val="メイリオ"/>
      <family val="3"/>
      <charset val="128"/>
    </font>
    <font>
      <b/>
      <sz val="11"/>
      <color theme="0"/>
      <name val="メイリオ"/>
      <family val="3"/>
      <charset val="128"/>
    </font>
    <font>
      <sz val="11"/>
      <color theme="1"/>
      <name val="メイリオ"/>
      <family val="3"/>
      <charset val="128"/>
    </font>
    <font>
      <sz val="11"/>
      <color theme="0" tint="-0.34998626667073579"/>
      <name val="メイリオ"/>
      <family val="3"/>
      <charset val="128"/>
    </font>
    <font>
      <b/>
      <sz val="11"/>
      <color theme="1"/>
      <name val="メイリオ"/>
      <family val="3"/>
      <charset val="128"/>
    </font>
    <font>
      <sz val="10"/>
      <color theme="1"/>
      <name val="メイリオ"/>
      <family val="3"/>
      <charset val="128"/>
    </font>
    <font>
      <sz val="9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b/>
      <sz val="11"/>
      <color rgb="FFFF0000"/>
      <name val="メイリオ"/>
      <family val="3"/>
      <charset val="128"/>
    </font>
    <font>
      <b/>
      <sz val="10"/>
      <color theme="1"/>
      <name val="メイリオ"/>
      <family val="3"/>
      <charset val="128"/>
    </font>
    <font>
      <sz val="11"/>
      <color theme="2" tint="-0.499984740745262"/>
      <name val="メイリオ"/>
      <family val="3"/>
      <charset val="128"/>
    </font>
    <font>
      <b/>
      <sz val="20"/>
      <color theme="1"/>
      <name val="メイリオ"/>
      <family val="3"/>
      <charset val="128"/>
    </font>
    <font>
      <sz val="11"/>
      <color rgb="FF000000"/>
      <name val="メイリオ"/>
      <family val="3"/>
      <charset val="128"/>
    </font>
    <font>
      <sz val="12"/>
      <color rgb="FF000000"/>
      <name val="メイリオ"/>
      <family val="3"/>
      <charset val="128"/>
    </font>
    <font>
      <sz val="12"/>
      <name val="Arial"/>
      <family val="2"/>
    </font>
    <font>
      <sz val="12"/>
      <color rgb="FFFF0000"/>
      <name val="メイリオ"/>
      <family val="3"/>
      <charset val="128"/>
    </font>
    <font>
      <b/>
      <sz val="12"/>
      <color rgb="FF000000"/>
      <name val="メイリオ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theme="2" tint="-0.749992370372631"/>
      <name val="メイリオ"/>
      <family val="3"/>
      <charset val="128"/>
    </font>
    <font>
      <sz val="11"/>
      <color theme="0" tint="-0.249977111117893"/>
      <name val="メイリオ"/>
      <family val="3"/>
      <charset val="128"/>
    </font>
    <font>
      <sz val="9"/>
      <color rgb="FFFF0000"/>
      <name val="メイリオ"/>
      <family val="3"/>
      <charset val="128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theme="2" tint="-9.9978637043366805E-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58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quotePrefix="1" applyFont="1" applyBorder="1" applyAlignment="1">
      <alignment horizontal="right" vertical="center"/>
    </xf>
    <xf numFmtId="38" fontId="6" fillId="0" borderId="1" xfId="1" applyFont="1" applyBorder="1">
      <alignment vertical="center"/>
    </xf>
    <xf numFmtId="0" fontId="6" fillId="9" borderId="1" xfId="0" applyFont="1" applyFill="1" applyBorder="1">
      <alignment vertical="center"/>
    </xf>
    <xf numFmtId="38" fontId="6" fillId="9" borderId="1" xfId="1" applyFont="1" applyFill="1" applyBorder="1">
      <alignment vertical="center"/>
    </xf>
    <xf numFmtId="0" fontId="8" fillId="8" borderId="1" xfId="0" applyFont="1" applyFill="1" applyBorder="1">
      <alignment vertical="center"/>
    </xf>
    <xf numFmtId="0" fontId="7" fillId="9" borderId="1" xfId="0" quotePrefix="1" applyFont="1" applyFill="1" applyBorder="1" applyAlignment="1">
      <alignment horizontal="right" vertical="center"/>
    </xf>
    <xf numFmtId="0" fontId="10" fillId="0" borderId="0" xfId="0" applyFont="1">
      <alignment vertical="center"/>
    </xf>
    <xf numFmtId="0" fontId="6" fillId="0" borderId="1" xfId="0" quotePrefix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  <xf numFmtId="10" fontId="6" fillId="0" borderId="0" xfId="3" applyNumberFormat="1" applyFont="1">
      <alignment vertical="center"/>
    </xf>
    <xf numFmtId="0" fontId="8" fillId="0" borderId="1" xfId="0" applyFont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76" fontId="6" fillId="0" borderId="0" xfId="3" applyNumberFormat="1" applyFont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6" fillId="11" borderId="0" xfId="0" applyFont="1" applyFill="1">
      <alignment vertical="center"/>
    </xf>
    <xf numFmtId="6" fontId="6" fillId="0" borderId="1" xfId="0" applyNumberFormat="1" applyFont="1" applyBorder="1">
      <alignment vertical="center"/>
    </xf>
    <xf numFmtId="6" fontId="6" fillId="0" borderId="1" xfId="2" applyFont="1" applyBorder="1">
      <alignment vertical="center"/>
    </xf>
    <xf numFmtId="0" fontId="8" fillId="0" borderId="0" xfId="0" applyFont="1">
      <alignment vertical="center"/>
    </xf>
    <xf numFmtId="0" fontId="8" fillId="2" borderId="0" xfId="0" applyFont="1" applyFill="1" applyAlignment="1">
      <alignment horizontal="center" vertical="center"/>
    </xf>
    <xf numFmtId="6" fontId="14" fillId="0" borderId="1" xfId="2" applyFont="1" applyBorder="1">
      <alignment vertical="center"/>
    </xf>
    <xf numFmtId="10" fontId="6" fillId="0" borderId="1" xfId="3" applyNumberFormat="1" applyFont="1" applyBorder="1">
      <alignment vertical="center"/>
    </xf>
    <xf numFmtId="6" fontId="8" fillId="0" borderId="1" xfId="2" applyFont="1" applyBorder="1" applyAlignment="1">
      <alignment horizontal="center" vertical="center"/>
    </xf>
    <xf numFmtId="3" fontId="6" fillId="0" borderId="0" xfId="0" applyNumberFormat="1" applyFont="1">
      <alignment vertical="center"/>
    </xf>
    <xf numFmtId="0" fontId="11" fillId="0" borderId="0" xfId="0" applyFont="1">
      <alignment vertical="center"/>
    </xf>
    <xf numFmtId="55" fontId="5" fillId="3" borderId="1" xfId="0" applyNumberFormat="1" applyFont="1" applyFill="1" applyBorder="1" applyAlignment="1">
      <alignment horizontal="center" vertical="center"/>
    </xf>
    <xf numFmtId="6" fontId="6" fillId="0" borderId="0" xfId="2" applyFont="1" applyBorder="1">
      <alignment vertical="center"/>
    </xf>
    <xf numFmtId="0" fontId="8" fillId="0" borderId="1" xfId="0" quotePrefix="1" applyFont="1" applyBorder="1" applyAlignment="1">
      <alignment horizontal="center" vertical="center"/>
    </xf>
    <xf numFmtId="6" fontId="6" fillId="0" borderId="1" xfId="2" quotePrefix="1" applyFont="1" applyBorder="1">
      <alignment vertical="center"/>
    </xf>
    <xf numFmtId="6" fontId="6" fillId="0" borderId="1" xfId="3" applyNumberFormat="1" applyFont="1" applyBorder="1">
      <alignment vertical="center"/>
    </xf>
    <xf numFmtId="38" fontId="11" fillId="0" borderId="0" xfId="1" applyFont="1">
      <alignment vertical="center"/>
    </xf>
    <xf numFmtId="3" fontId="17" fillId="12" borderId="7" xfId="0" applyNumberFormat="1" applyFont="1" applyFill="1" applyBorder="1" applyAlignment="1">
      <alignment horizontal="center" vertical="center" wrapText="1" readingOrder="1"/>
    </xf>
    <xf numFmtId="3" fontId="17" fillId="0" borderId="7" xfId="0" applyNumberFormat="1" applyFont="1" applyBorder="1" applyAlignment="1">
      <alignment horizontal="center" vertical="center" wrapText="1" readingOrder="1"/>
    </xf>
    <xf numFmtId="0" fontId="17" fillId="12" borderId="7" xfId="0" applyFont="1" applyFill="1" applyBorder="1" applyAlignment="1">
      <alignment horizontal="right" vertical="center" wrapText="1" readingOrder="1"/>
    </xf>
    <xf numFmtId="0" fontId="17" fillId="0" borderId="7" xfId="0" applyFont="1" applyBorder="1" applyAlignment="1">
      <alignment horizontal="right" vertical="center" wrapText="1" readingOrder="1"/>
    </xf>
    <xf numFmtId="3" fontId="17" fillId="0" borderId="7" xfId="0" applyNumberFormat="1" applyFont="1" applyBorder="1" applyAlignment="1">
      <alignment horizontal="right" vertical="center" wrapText="1" readingOrder="1"/>
    </xf>
    <xf numFmtId="10" fontId="17" fillId="0" borderId="7" xfId="0" applyNumberFormat="1" applyFont="1" applyBorder="1" applyAlignment="1">
      <alignment horizontal="right" vertical="center" wrapText="1" readingOrder="1"/>
    </xf>
    <xf numFmtId="0" fontId="19" fillId="12" borderId="7" xfId="0" applyFont="1" applyFill="1" applyBorder="1" applyAlignment="1">
      <alignment horizontal="right" vertical="center" wrapText="1" readingOrder="1"/>
    </xf>
    <xf numFmtId="3" fontId="19" fillId="0" borderId="7" xfId="0" applyNumberFormat="1" applyFont="1" applyBorder="1" applyAlignment="1">
      <alignment horizontal="right" vertical="center" wrapText="1" readingOrder="1"/>
    </xf>
    <xf numFmtId="3" fontId="20" fillId="0" borderId="7" xfId="0" applyNumberFormat="1" applyFont="1" applyBorder="1" applyAlignment="1">
      <alignment horizontal="right" vertical="center" wrapText="1" readingOrder="1"/>
    </xf>
    <xf numFmtId="6" fontId="6" fillId="10" borderId="1" xfId="2" applyFont="1" applyFill="1" applyBorder="1">
      <alignment vertical="center"/>
    </xf>
    <xf numFmtId="0" fontId="9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1" fillId="0" borderId="0" xfId="0" applyFont="1">
      <alignment vertical="center"/>
    </xf>
    <xf numFmtId="0" fontId="12" fillId="8" borderId="0" xfId="0" applyFont="1" applyFill="1">
      <alignment vertical="center"/>
    </xf>
    <xf numFmtId="0" fontId="15" fillId="0" borderId="0" xfId="0" quotePrefix="1" applyFont="1">
      <alignment vertical="center"/>
    </xf>
    <xf numFmtId="0" fontId="18" fillId="0" borderId="7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8" fillId="10" borderId="7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2" fillId="13" borderId="0" xfId="0" applyFont="1" applyFill="1">
      <alignment vertical="center"/>
    </xf>
    <xf numFmtId="10" fontId="0" fillId="0" borderId="0" xfId="0" applyNumberFormat="1">
      <alignment vertical="center"/>
    </xf>
    <xf numFmtId="176" fontId="0" fillId="0" borderId="0" xfId="3" applyNumberFormat="1" applyFont="1">
      <alignment vertical="center"/>
    </xf>
    <xf numFmtId="176" fontId="0" fillId="0" borderId="0" xfId="3" quotePrefix="1" applyNumberFormat="1" applyFont="1">
      <alignment vertical="center"/>
    </xf>
    <xf numFmtId="38" fontId="17" fillId="0" borderId="7" xfId="1" applyFont="1" applyBorder="1" applyAlignment="1">
      <alignment horizontal="right" vertical="center" wrapText="1" readingOrder="1"/>
    </xf>
    <xf numFmtId="0" fontId="8" fillId="0" borderId="1" xfId="0" quotePrefix="1" applyFont="1" applyBorder="1" applyAlignment="1">
      <alignment horizontal="right" vertical="center"/>
    </xf>
    <xf numFmtId="6" fontId="8" fillId="0" borderId="1" xfId="2" applyFont="1" applyBorder="1">
      <alignment vertical="center"/>
    </xf>
    <xf numFmtId="0" fontId="21" fillId="0" borderId="0" xfId="0" applyFont="1" applyAlignment="1">
      <alignment horizontal="center" vertical="center"/>
    </xf>
    <xf numFmtId="0" fontId="21" fillId="8" borderId="0" xfId="0" applyFont="1" applyFill="1">
      <alignment vertical="center"/>
    </xf>
    <xf numFmtId="0" fontId="0" fillId="8" borderId="0" xfId="0" applyFill="1">
      <alignment vertical="center"/>
    </xf>
    <xf numFmtId="0" fontId="6" fillId="10" borderId="0" xfId="0" applyFont="1" applyFill="1">
      <alignment vertical="center"/>
    </xf>
    <xf numFmtId="0" fontId="11" fillId="10" borderId="0" xfId="0" applyFont="1" applyFill="1">
      <alignment vertical="center"/>
    </xf>
    <xf numFmtId="0" fontId="12" fillId="10" borderId="0" xfId="0" applyFont="1" applyFill="1">
      <alignment vertical="center"/>
    </xf>
    <xf numFmtId="0" fontId="23" fillId="10" borderId="0" xfId="0" applyFont="1" applyFill="1">
      <alignment vertical="center"/>
    </xf>
    <xf numFmtId="0" fontId="24" fillId="0" borderId="0" xfId="0" applyFont="1" applyAlignment="1">
      <alignment horizontal="center" vertical="center"/>
    </xf>
    <xf numFmtId="9" fontId="11" fillId="0" borderId="0" xfId="3" applyFont="1" applyAlignment="1">
      <alignment horizontal="center" vertical="center"/>
    </xf>
    <xf numFmtId="0" fontId="6" fillId="7" borderId="0" xfId="0" applyFont="1" applyFill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6" fontId="6" fillId="7" borderId="0" xfId="2" applyFont="1" applyFill="1" applyAlignment="1">
      <alignment horizontal="center" vertical="center"/>
    </xf>
    <xf numFmtId="176" fontId="8" fillId="7" borderId="0" xfId="3" applyNumberFormat="1" applyFont="1" applyFill="1" applyAlignment="1">
      <alignment horizontal="center" vertical="center"/>
    </xf>
    <xf numFmtId="9" fontId="6" fillId="7" borderId="0" xfId="0" applyNumberFormat="1" applyFont="1" applyFill="1" applyAlignment="1">
      <alignment horizontal="center" vertical="center"/>
    </xf>
    <xf numFmtId="10" fontId="6" fillId="7" borderId="0" xfId="3" applyNumberFormat="1" applyFont="1" applyFill="1" applyAlignment="1">
      <alignment horizontal="center" vertical="center"/>
    </xf>
    <xf numFmtId="6" fontId="6" fillId="0" borderId="1" xfId="0" quotePrefix="1" applyNumberFormat="1" applyFont="1" applyBorder="1" applyAlignment="1">
      <alignment horizontal="right" vertical="center"/>
    </xf>
    <xf numFmtId="0" fontId="6" fillId="7" borderId="0" xfId="0" applyFont="1" applyFill="1" applyAlignment="1">
      <alignment horizontal="center" vertical="center"/>
    </xf>
    <xf numFmtId="0" fontId="8" fillId="11" borderId="1" xfId="0" applyFont="1" applyFill="1" applyBorder="1">
      <alignment vertical="center"/>
    </xf>
    <xf numFmtId="0" fontId="8" fillId="13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8" fillId="0" borderId="1" xfId="0" applyFont="1" applyBorder="1">
      <alignment vertical="center"/>
    </xf>
    <xf numFmtId="6" fontId="6" fillId="10" borderId="1" xfId="2" applyFont="1" applyFill="1" applyBorder="1" applyAlignment="1">
      <alignment horizontal="right" vertical="center"/>
    </xf>
    <xf numFmtId="3" fontId="6" fillId="0" borderId="1" xfId="0" applyNumberFormat="1" applyFont="1" applyBorder="1">
      <alignment vertical="center"/>
    </xf>
    <xf numFmtId="0" fontId="6" fillId="0" borderId="1" xfId="0" applyFont="1" applyBorder="1" applyAlignment="1">
      <alignment horizontal="right" vertical="center"/>
    </xf>
    <xf numFmtId="176" fontId="6" fillId="0" borderId="1" xfId="3" applyNumberFormat="1" applyFont="1" applyBorder="1">
      <alignment vertical="center"/>
    </xf>
    <xf numFmtId="6" fontId="6" fillId="0" borderId="1" xfId="2" applyFont="1" applyBorder="1" applyAlignment="1">
      <alignment horizontal="right" vertical="center"/>
    </xf>
    <xf numFmtId="38" fontId="6" fillId="0" borderId="0" xfId="1" applyFont="1">
      <alignment vertical="center"/>
    </xf>
    <xf numFmtId="0" fontId="8" fillId="11" borderId="0" xfId="0" applyFont="1" applyFill="1">
      <alignment vertical="center"/>
    </xf>
    <xf numFmtId="0" fontId="8" fillId="13" borderId="0" xfId="0" applyFont="1" applyFill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6" fillId="2" borderId="6" xfId="0" applyFont="1" applyFill="1" applyBorder="1" applyAlignment="1">
      <alignment horizontal="right" vertical="center"/>
    </xf>
    <xf numFmtId="6" fontId="6" fillId="2" borderId="6" xfId="0" applyNumberFormat="1" applyFont="1" applyFill="1" applyBorder="1" applyAlignment="1">
      <alignment horizontal="right" vertical="center"/>
    </xf>
    <xf numFmtId="0" fontId="8" fillId="7" borderId="6" xfId="0" applyFont="1" applyFill="1" applyBorder="1" applyAlignment="1">
      <alignment horizontal="right" vertical="center"/>
    </xf>
    <xf numFmtId="38" fontId="19" fillId="12" borderId="7" xfId="1" applyFont="1" applyFill="1" applyBorder="1" applyAlignment="1">
      <alignment horizontal="right" vertical="center" wrapText="1" readingOrder="1"/>
    </xf>
    <xf numFmtId="176" fontId="17" fillId="12" borderId="7" xfId="3" applyNumberFormat="1" applyFont="1" applyFill="1" applyBorder="1" applyAlignment="1">
      <alignment horizontal="right" vertical="center" wrapText="1" readingOrder="1"/>
    </xf>
    <xf numFmtId="38" fontId="17" fillId="12" borderId="7" xfId="1" applyFont="1" applyFill="1" applyBorder="1" applyAlignment="1">
      <alignment horizontal="right" vertical="center" wrapText="1" readingOrder="1"/>
    </xf>
    <xf numFmtId="38" fontId="20" fillId="12" borderId="7" xfId="1" applyFont="1" applyFill="1" applyBorder="1" applyAlignment="1">
      <alignment horizontal="right" vertical="center" wrapText="1" readingOrder="1"/>
    </xf>
    <xf numFmtId="6" fontId="5" fillId="5" borderId="6" xfId="0" applyNumberFormat="1" applyFont="1" applyFill="1" applyBorder="1" applyAlignment="1">
      <alignment horizontal="right" vertical="center"/>
    </xf>
    <xf numFmtId="38" fontId="16" fillId="0" borderId="7" xfId="1" applyFont="1" applyBorder="1" applyAlignment="1">
      <alignment horizontal="right" vertical="center" wrapText="1" readingOrder="1"/>
    </xf>
    <xf numFmtId="0" fontId="6" fillId="8" borderId="1" xfId="0" applyFont="1" applyFill="1" applyBorder="1" applyAlignment="1">
      <alignment horizontal="center" vertical="center"/>
    </xf>
    <xf numFmtId="6" fontId="8" fillId="0" borderId="1" xfId="2" applyFont="1" applyBorder="1" applyAlignment="1">
      <alignment horizontal="right" vertical="center"/>
    </xf>
    <xf numFmtId="6" fontId="8" fillId="10" borderId="1" xfId="2" applyFont="1" applyFill="1" applyBorder="1">
      <alignment vertical="center"/>
    </xf>
    <xf numFmtId="38" fontId="6" fillId="9" borderId="1" xfId="0" applyNumberFormat="1" applyFont="1" applyFill="1" applyBorder="1">
      <alignment vertical="center"/>
    </xf>
    <xf numFmtId="9" fontId="8" fillId="0" borderId="0" xfId="3" applyFont="1">
      <alignment vertical="center"/>
    </xf>
    <xf numFmtId="38" fontId="6" fillId="0" borderId="1" xfId="0" applyNumberFormat="1" applyFont="1" applyBorder="1">
      <alignment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11" fillId="6" borderId="5" xfId="0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center" vertical="center"/>
    </xf>
    <xf numFmtId="0" fontId="8" fillId="0" borderId="0" xfId="0" applyFont="1" applyBorder="1">
      <alignment vertical="center"/>
    </xf>
    <xf numFmtId="0" fontId="8" fillId="0" borderId="12" xfId="0" applyFont="1" applyBorder="1">
      <alignment vertical="center"/>
    </xf>
    <xf numFmtId="0" fontId="8" fillId="0" borderId="14" xfId="0" applyFont="1" applyBorder="1">
      <alignment vertical="center"/>
    </xf>
    <xf numFmtId="0" fontId="8" fillId="0" borderId="15" xfId="0" applyFont="1" applyBorder="1">
      <alignment vertical="center"/>
    </xf>
    <xf numFmtId="0" fontId="8" fillId="0" borderId="8" xfId="0" applyFont="1" applyBorder="1" applyAlignment="1">
      <alignment horizontal="center" vertical="center"/>
    </xf>
    <xf numFmtId="38" fontId="8" fillId="7" borderId="9" xfId="1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38" fontId="8" fillId="7" borderId="0" xfId="1" applyFont="1" applyFill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38" fontId="8" fillId="7" borderId="14" xfId="1" applyFont="1" applyFill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38" fontId="8" fillId="7" borderId="10" xfId="1" applyFont="1" applyFill="1" applyBorder="1" applyAlignment="1">
      <alignment horizontal="center" vertical="center"/>
    </xf>
    <xf numFmtId="0" fontId="6" fillId="0" borderId="16" xfId="0" applyFont="1" applyBorder="1">
      <alignment vertical="center"/>
    </xf>
    <xf numFmtId="0" fontId="6" fillId="0" borderId="17" xfId="0" applyFont="1" applyBorder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10" borderId="0" xfId="0" applyFont="1" applyFill="1">
      <alignment vertical="center"/>
    </xf>
    <xf numFmtId="0" fontId="8" fillId="8" borderId="0" xfId="0" applyFont="1" applyFill="1" applyAlignment="1">
      <alignment horizontal="center" vertical="center"/>
    </xf>
    <xf numFmtId="14" fontId="8" fillId="8" borderId="0" xfId="0" applyNumberFormat="1" applyFont="1" applyFill="1" applyAlignment="1">
      <alignment horizontal="center" vertical="center"/>
    </xf>
  </cellXfs>
  <cellStyles count="4">
    <cellStyle name="パーセント" xfId="3" builtinId="5"/>
    <cellStyle name="桁区切り" xfId="1" builtinId="6"/>
    <cellStyle name="通貨" xfId="2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Relationship Id="rId100" Type="http://schemas.openxmlformats.org/officeDocument/2006/relationships/worksheet" Target="worksheets/sheet4.xml"/><Relationship Id="rId101" Type="http://schemas.openxmlformats.org/officeDocument/2006/relationships/worksheet" Target="worksheets/sheet5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635F9-36D4-435E-B89B-2E9FE9727E52}">
  <dimension ref="A2:Z76"/>
  <sheetViews>
    <sheetView tabSelected="1" zoomScale="55" zoomScaleNormal="55" workbookViewId="0"/>
  </sheetViews>
  <sheetFormatPr defaultColWidth="9" defaultRowHeight="18.75" x14ac:dyDescent="0.4"/>
  <cols>
    <col min="1" max="1" width="19.375" style="5" customWidth="1"/>
    <col min="2" max="2" width="29.25" style="5" customWidth="1"/>
    <col min="3" max="12" width="20" style="5" customWidth="1"/>
    <col min="13" max="13" width="2.625" style="5" customWidth="1"/>
    <col min="14" max="14" width="44.5" style="69" customWidth="1"/>
    <col min="15" max="17" width="24.125" style="5" customWidth="1"/>
    <col min="18" max="18" width="2.875" style="5" customWidth="1"/>
    <col min="19" max="19" width="12.125" style="5" customWidth="1"/>
    <col min="20" max="20" width="2.625" style="5" bestFit="1" customWidth="1"/>
    <col min="21" max="21" width="12.125" style="5" customWidth="1"/>
    <col min="22" max="22" width="2.875" style="5" customWidth="1"/>
    <col min="23" max="23" width="12.125" style="5" customWidth="1"/>
    <col min="24" max="24" width="2.625" style="5" bestFit="1" customWidth="1"/>
    <col min="25" max="25" width="12.125" style="5" customWidth="1"/>
    <col min="26" max="16384" width="9" style="5"/>
  </cols>
  <sheetData>
    <row r="2" spans="1:25" x14ac:dyDescent="0.4">
      <c r="A2" s="156" t="s">
        <v>194</v>
      </c>
      <c r="B2" s="157">
        <v>46269</v>
      </c>
    </row>
    <row r="4" spans="1:25" ht="45.75" customHeight="1" x14ac:dyDescent="0.4">
      <c r="A4" s="56" t="inlineStr">
        <is>
          <t xml:space="preserve">株式会社あらうち御中_LINEOA施策提案【SIM】（SNS予算 30万円／月）</t>
        </is>
      </c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</row>
    <row r="5" spans="1:25" s="2" customFormat="1" ht="22.5" x14ac:dyDescent="0.4">
      <c r="A5" s="1"/>
      <c r="B5" s="1"/>
      <c r="C5" s="1"/>
      <c r="D5" s="1"/>
      <c r="N5" s="55" t="s">
        <v>189</v>
      </c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</row>
    <row r="6" spans="1:25" x14ac:dyDescent="0.4"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</row>
    <row r="7" spans="1:25" ht="19.5" thickBot="1" x14ac:dyDescent="0.45">
      <c r="A7" s="29" t="s">
        <v>50</v>
      </c>
      <c r="B7" s="17" t="s">
        <v>55</v>
      </c>
      <c r="C7" s="17" t="s">
        <v>56</v>
      </c>
      <c r="D7" s="17" t="s">
        <v>57</v>
      </c>
    </row>
    <row r="8" spans="1:25" ht="19.5" thickBot="1" x14ac:dyDescent="0.45">
      <c r="A8" s="130" t="s">
        <v>7</v>
      </c>
      <c r="B8" s="19" t="s">
        <v>8</v>
      </c>
      <c r="C8" s="19" t="inlineStr">
        <is>
          <t xml:space="preserve">問い合わせ①（LINEで物件URL送付）</t>
        </is>
      </c>
      <c r="D8" s="33">
        <v>0</v>
      </c>
      <c r="G8" s="143" t="s">
        <v>67</v>
      </c>
      <c r="H8" s="144">
        <v>1737</v>
      </c>
      <c r="I8" s="145"/>
      <c r="J8" s="145" t="s">
        <v>78</v>
      </c>
      <c r="K8" s="152">
        <v>0</v>
      </c>
      <c r="N8" s="69" t="inlineStr">
        <is>
          <t xml:space="preserve">UU 1,737/月・友だち1,241人（2026-10-09 殿村さん提供）。ターゲット＝都内在住の女性オフィスワーカー</t>
        </is>
      </c>
      <c r="O8" s="35" t="s">
        <v>188</v>
      </c>
    </row>
    <row r="9" spans="1:25" ht="19.5" thickBot="1" x14ac:dyDescent="0.45">
      <c r="A9" s="131"/>
      <c r="B9" s="19" t="s">
        <v>9</v>
      </c>
      <c r="C9" s="38" t="inlineStr">
        <is>
          <t xml:space="preserve">問い合わせ②（配信経由）</t>
        </is>
      </c>
      <c r="D9" s="33">
        <v>0</v>
      </c>
      <c r="G9" s="146" t="s">
        <v>177</v>
      </c>
      <c r="H9" s="147">
        <v>0</v>
      </c>
      <c r="I9" s="148"/>
      <c r="J9" s="139"/>
      <c r="K9" s="140"/>
      <c r="N9" s="155" t="s">
        <v>127</v>
      </c>
      <c r="O9" s="153" t="s">
        <v>187</v>
      </c>
      <c r="P9" s="154" t="b">
        <v>0</v>
      </c>
    </row>
    <row r="10" spans="1:25" x14ac:dyDescent="0.4">
      <c r="A10" s="130" t="s">
        <v>10</v>
      </c>
      <c r="B10" s="19" t="s">
        <v>11</v>
      </c>
      <c r="C10" s="19" t="inlineStr">
        <is>
          <t xml:space="preserve">-</t>
        </is>
      </c>
      <c r="D10" s="33">
        <v>0</v>
      </c>
      <c r="G10" s="146" t="s">
        <v>144</v>
      </c>
      <c r="H10" s="147">
        <v>0</v>
      </c>
      <c r="I10" s="148" t="s">
        <v>186</v>
      </c>
      <c r="J10" s="139"/>
      <c r="K10" s="140"/>
      <c r="N10" s="155" t="s">
        <v>128</v>
      </c>
    </row>
    <row r="11" spans="1:25" ht="19.5" thickBot="1" x14ac:dyDescent="0.45">
      <c r="A11" s="131"/>
      <c r="B11" s="19" t="s">
        <v>12</v>
      </c>
      <c r="C11" s="38" t="inlineStr">
        <is>
          <t xml:space="preserve">-</t>
        </is>
      </c>
      <c r="D11" s="33">
        <v>0</v>
      </c>
      <c r="G11" s="149" t="s">
        <v>145</v>
      </c>
      <c r="H11" s="150">
        <v>0</v>
      </c>
      <c r="I11" s="151" t="s">
        <v>185</v>
      </c>
      <c r="J11" s="141"/>
      <c r="K11" s="142"/>
    </row>
    <row r="12" spans="1:25" x14ac:dyDescent="0.4">
      <c r="O12" s="55" t="s">
        <v>79</v>
      </c>
      <c r="P12" s="55"/>
      <c r="Q12" s="55"/>
      <c r="S12" s="55"/>
      <c r="T12" s="55"/>
      <c r="U12" s="55"/>
      <c r="V12" s="55"/>
    </row>
    <row r="13" spans="1:25" x14ac:dyDescent="0.4">
      <c r="A13" s="132" t="s">
        <v>0</v>
      </c>
      <c r="B13" s="132"/>
      <c r="C13" s="95"/>
      <c r="D13" s="13" t="s">
        <v>30</v>
      </c>
      <c r="E13" s="36" t="inlineStr">
        <is>
          <t xml:space="preserve">1か月目</t>
        </is>
      </c>
      <c r="F13" s="36" t="inlineStr">
        <is>
          <t xml:space="preserve">2か月目</t>
        </is>
      </c>
      <c r="G13" s="36" t="inlineStr">
        <is>
          <t xml:space="preserve">3か月目</t>
        </is>
      </c>
      <c r="H13" s="36" t="inlineStr">
        <is>
          <t xml:space="preserve">4か月目</t>
        </is>
      </c>
      <c r="I13" s="36" t="inlineStr">
        <is>
          <t xml:space="preserve">5か月目</t>
        </is>
      </c>
      <c r="J13" s="36" t="inlineStr">
        <is>
          <t xml:space="preserve">6か月目</t>
        </is>
      </c>
      <c r="K13" s="3" t="s">
        <v>1</v>
      </c>
      <c r="L13" s="4" t="s">
        <v>2</v>
      </c>
      <c r="N13" s="71" t="s">
        <v>142</v>
      </c>
      <c r="O13" s="30" t="s">
        <v>44</v>
      </c>
      <c r="P13" s="23"/>
      <c r="Q13" s="23"/>
      <c r="S13" s="23"/>
      <c r="T13" s="23"/>
      <c r="U13" s="23"/>
      <c r="V13" s="23"/>
    </row>
    <row r="14" spans="1:25" ht="19.5" x14ac:dyDescent="0.4">
      <c r="A14" s="133" t="s">
        <v>33</v>
      </c>
      <c r="B14" s="20" t="s">
        <v>37</v>
      </c>
      <c r="C14" s="99"/>
      <c r="D14" s="42">
        <f>+H8</f>
      </c>
      <c r="E14" s="43">
        <f>+D14</f>
      </c>
      <c r="F14" s="43">
        <f t="shared" ref="F14:J14" si="0">+E14</f>
      </c>
      <c r="G14" s="43">
        <f t="shared" si="0"/>
      </c>
      <c r="H14" s="43">
        <f t="shared" si="0"/>
      </c>
      <c r="I14" s="43">
        <f t="shared" si="0"/>
      </c>
      <c r="J14" s="43">
        <f t="shared" si="0"/>
      </c>
      <c r="K14" s="11"/>
      <c r="L14" s="7"/>
    </row>
    <row r="15" spans="1:25" ht="19.5" x14ac:dyDescent="0.4">
      <c r="A15" s="134"/>
      <c r="B15" s="20" t="s">
        <v>36</v>
      </c>
      <c r="C15" s="99"/>
      <c r="D15" s="42">
        <f t="shared" ref="D15" si="1">+H9</f>
      </c>
      <c r="E15" s="43">
        <f t="shared" ref="E15:J16" si="2">+D15</f>
      </c>
      <c r="F15" s="43">
        <f t="shared" si="2"/>
      </c>
      <c r="G15" s="43">
        <f t="shared" si="2"/>
      </c>
      <c r="H15" s="43">
        <f t="shared" si="2"/>
      </c>
      <c r="I15" s="43">
        <f t="shared" si="2"/>
      </c>
      <c r="J15" s="43">
        <f t="shared" si="2"/>
      </c>
      <c r="K15" s="11"/>
      <c r="L15" s="7"/>
      <c r="N15" s="69" t="s">
        <v>193</v>
      </c>
      <c r="O15" s="17" t="s">
        <v>34</v>
      </c>
      <c r="P15" s="79">
        <v>5.0000000000000001E-3</v>
      </c>
      <c r="S15" s="29" t="s">
        <v>48</v>
      </c>
    </row>
    <row r="16" spans="1:25" ht="19.5" x14ac:dyDescent="0.4">
      <c r="A16" s="135"/>
      <c r="B16" s="20" t="s">
        <v>180</v>
      </c>
      <c r="C16" s="99"/>
      <c r="D16" s="42">
        <f>H10</f>
      </c>
      <c r="E16" s="43">
        <f t="shared" si="2"/>
      </c>
      <c r="F16" s="43">
        <f t="shared" si="2"/>
      </c>
      <c r="G16" s="43">
        <f t="shared" si="2"/>
      </c>
      <c r="H16" s="43">
        <f t="shared" si="2"/>
      </c>
      <c r="I16" s="43">
        <f t="shared" si="2"/>
      </c>
      <c r="J16" s="43">
        <f t="shared" si="2"/>
      </c>
      <c r="K16" s="11"/>
      <c r="L16" s="7"/>
      <c r="N16" s="69" t="s">
        <v>192</v>
      </c>
      <c r="O16" s="17" t="s">
        <v>35</v>
      </c>
      <c r="P16" s="79">
        <v>2.5000000000000001E-3</v>
      </c>
      <c r="S16" s="5" t="s">
        <v>59</v>
      </c>
    </row>
    <row r="17" spans="1:26" x14ac:dyDescent="0.4">
      <c r="A17" s="133" t="s">
        <v>3</v>
      </c>
      <c r="B17" s="8" t="s">
        <v>4</v>
      </c>
      <c r="C17" s="100"/>
      <c r="D17" s="58" t="b">
        <v>0</v>
      </c>
      <c r="E17" s="57" t="b">
        <v>1</v>
      </c>
      <c r="F17" s="57" t="b">
        <v>1</v>
      </c>
      <c r="G17" s="57" t="b">
        <v>1</v>
      </c>
      <c r="H17" s="57" t="b">
        <v>1</v>
      </c>
      <c r="I17" s="57" t="b">
        <v>1</v>
      </c>
      <c r="J17" s="57" t="b">
        <v>1</v>
      </c>
      <c r="K17" s="14" t="s">
        <v>23</v>
      </c>
      <c r="L17" s="9" t="s">
        <v>23</v>
      </c>
      <c r="S17" s="5" t="s">
        <v>60</v>
      </c>
      <c r="W17" s="5" t="s">
        <v>61</v>
      </c>
      <c r="Z17" s="35" t="s">
        <v>62</v>
      </c>
    </row>
    <row r="18" spans="1:26" x14ac:dyDescent="0.4">
      <c r="A18" s="134"/>
      <c r="B18" s="8" t="s">
        <v>5</v>
      </c>
      <c r="C18" s="100"/>
      <c r="D18" s="58" t="b">
        <v>0</v>
      </c>
      <c r="E18" s="57" t="b">
        <v>0</v>
      </c>
      <c r="F18" s="57" t="b">
        <v>0</v>
      </c>
      <c r="G18" s="57" t="b">
        <v>0</v>
      </c>
      <c r="H18" s="57" t="b">
        <v>0</v>
      </c>
      <c r="I18" s="57" t="b">
        <v>0</v>
      </c>
      <c r="J18" s="57" t="b">
        <v>0</v>
      </c>
      <c r="K18" s="14" t="s">
        <v>23</v>
      </c>
      <c r="L18" s="9" t="s">
        <v>23</v>
      </c>
      <c r="N18" s="69" t="s">
        <v>191</v>
      </c>
      <c r="O18" s="22" t="s">
        <v>40</v>
      </c>
      <c r="P18" s="78">
        <v>0.65</v>
      </c>
      <c r="S18" s="5">
        <v>0</v>
      </c>
      <c r="T18" s="5" t="s">
        <v>63</v>
      </c>
      <c r="U18" s="34">
        <v>200000</v>
      </c>
      <c r="W18" s="5">
        <v>0</v>
      </c>
      <c r="X18" s="5" t="s">
        <v>63</v>
      </c>
      <c r="Y18" s="34">
        <v>600000</v>
      </c>
      <c r="Z18" s="35">
        <v>3</v>
      </c>
    </row>
    <row r="19" spans="1:26" x14ac:dyDescent="0.4">
      <c r="A19" s="134"/>
      <c r="B19" s="8" t="s">
        <v>131</v>
      </c>
      <c r="C19" s="100"/>
      <c r="D19" s="58" t="b">
        <v>0</v>
      </c>
      <c r="E19" s="57" t="b">
        <v>0</v>
      </c>
      <c r="F19" s="57" t="b">
        <v>0</v>
      </c>
      <c r="G19" s="57" t="b">
        <v>0</v>
      </c>
      <c r="H19" s="57" t="b">
        <v>0</v>
      </c>
      <c r="I19" s="57" t="b">
        <v>0</v>
      </c>
      <c r="J19" s="57" t="b">
        <v>0</v>
      </c>
      <c r="K19" s="14"/>
      <c r="L19" s="9"/>
      <c r="N19" s="69" t="s">
        <v>191</v>
      </c>
      <c r="O19" s="22" t="s">
        <v>41</v>
      </c>
      <c r="P19" s="78">
        <v>0.55000000000000004</v>
      </c>
      <c r="S19" s="34">
        <v>200000</v>
      </c>
      <c r="T19" s="5" t="s">
        <v>63</v>
      </c>
      <c r="U19" s="34">
        <v>15000000</v>
      </c>
      <c r="W19" s="34">
        <v>600000</v>
      </c>
      <c r="X19" s="5" t="s">
        <v>63</v>
      </c>
      <c r="Y19" s="34">
        <f>+U19*2.5</f>
      </c>
      <c r="Z19" s="35">
        <v>2.5</v>
      </c>
    </row>
    <row r="20" spans="1:26" x14ac:dyDescent="0.4">
      <c r="A20" s="134"/>
      <c r="B20" s="8" t="s">
        <v>129</v>
      </c>
      <c r="C20" s="100"/>
      <c r="D20" s="58" t="b">
        <v>0</v>
      </c>
      <c r="E20" s="57" t="b">
        <v>0</v>
      </c>
      <c r="F20" s="57" t="b">
        <v>0</v>
      </c>
      <c r="G20" s="57" t="b">
        <v>0</v>
      </c>
      <c r="H20" s="57" t="b">
        <v>0</v>
      </c>
      <c r="I20" s="57" t="b">
        <v>0</v>
      </c>
      <c r="J20" s="57" t="b">
        <v>0</v>
      </c>
      <c r="K20" s="14"/>
      <c r="L20" s="9"/>
      <c r="S20" s="34"/>
      <c r="U20" s="34"/>
      <c r="W20" s="34"/>
      <c r="Y20" s="34"/>
      <c r="Z20" s="35"/>
    </row>
    <row r="21" spans="1:26" x14ac:dyDescent="0.4">
      <c r="A21" s="135"/>
      <c r="B21" s="8" t="s">
        <v>130</v>
      </c>
      <c r="C21" s="100"/>
      <c r="D21" s="58" t="b">
        <v>0</v>
      </c>
      <c r="E21" s="57" t="b">
        <v>0</v>
      </c>
      <c r="F21" s="57" t="b">
        <v>0</v>
      </c>
      <c r="G21" s="57" t="b">
        <v>0</v>
      </c>
      <c r="H21" s="57" t="b">
        <v>0</v>
      </c>
      <c r="I21" s="57" t="b">
        <v>0</v>
      </c>
      <c r="J21" s="57" t="b">
        <v>0</v>
      </c>
      <c r="K21" s="14" t="s">
        <v>23</v>
      </c>
      <c r="L21" s="9" t="s">
        <v>23</v>
      </c>
      <c r="O21" s="25" t="s">
        <v>46</v>
      </c>
      <c r="P21" s="26"/>
      <c r="S21" s="34"/>
      <c r="U21" s="34"/>
      <c r="W21" s="34"/>
      <c r="Y21" s="34"/>
      <c r="Z21" s="35"/>
    </row>
    <row r="22" spans="1:26" ht="18.75" customHeight="1" x14ac:dyDescent="0.4">
      <c r="A22" s="136" t="s">
        <v>13</v>
      </c>
      <c r="B22" s="6" t="s">
        <v>4</v>
      </c>
      <c r="C22" s="17"/>
      <c r="D22" s="44" t="s">
        <v>22</v>
      </c>
      <c r="E22" s="63">
        <f>IF(E17=FALSE,0,E71/$P$30)</f>
      </c>
      <c r="F22" s="63">
        <f>IF(F17=FALSE,0,F71/$P$30)</f>
      </c>
      <c r="G22" s="63">
        <f>IF(G17=FALSE,0,G71/$P$30)</f>
      </c>
      <c r="H22" s="63">
        <f>IF(H17=FALSE,0,H71/$P$30)</f>
      </c>
      <c r="I22" s="63">
        <f>IF(I17=FALSE,0,I71/$P$30)</f>
      </c>
      <c r="J22" s="63">
        <f>IF(J17=FALSE,0,J71/$P$30)</f>
      </c>
      <c r="K22" s="11"/>
      <c r="L22" s="7"/>
      <c r="N22" s="69" t="inlineStr">
        <is>
          <t xml:space="preserve">CPF：SNS予算÷300円/人（LINE友だち追加広告・仮置き。LINEヤフー公式事例UZUZの約300円）</t>
        </is>
      </c>
      <c r="O22" s="17" t="s">
        <v>42</v>
      </c>
      <c r="P22" s="24">
        <v>0.78</v>
      </c>
      <c r="S22" s="34"/>
      <c r="U22" s="34"/>
      <c r="W22" s="34"/>
      <c r="Y22" s="34"/>
      <c r="Z22" s="35"/>
    </row>
    <row r="23" spans="1:26" ht="19.5" x14ac:dyDescent="0.4">
      <c r="A23" s="134"/>
      <c r="B23" s="6" t="s">
        <v>5</v>
      </c>
      <c r="C23" s="17"/>
      <c r="D23" s="44" t="s">
        <v>22</v>
      </c>
      <c r="E23" s="46">
        <f>IF(E18=FALSE,0,E15*$P$18*0.08*0.08+(E14-E15)*$P$19*0.12*0.12)</f>
      </c>
      <c r="F23" s="46">
        <f>IF(F18=FALSE,0,F15*$P$18*0.08*0.08+(F14-F15)*$P$19*0.12*0.12)</f>
      </c>
      <c r="G23" s="63">
        <f t="shared" ref="G23:J24" si="4">F23*1.01</f>
      </c>
      <c r="H23" s="63">
        <f t="shared" si="4"/>
      </c>
      <c r="I23" s="63">
        <f t="shared" si="4"/>
      </c>
      <c r="J23" s="63">
        <f t="shared" si="4"/>
      </c>
      <c r="K23" s="11"/>
      <c r="L23" s="7"/>
      <c r="N23" s="69" t="inlineStr">
        <is>
          <t xml:space="preserve">離脱防止はOFF：UU1,737では月14人・約2,200円/人でCPF（300円）より割高</t>
        </is>
      </c>
      <c r="O23" s="17" t="s">
        <v>43</v>
      </c>
      <c r="P23" s="24">
        <v>0.1</v>
      </c>
      <c r="Q23" s="5" t="s">
        <v>136</v>
      </c>
      <c r="S23" s="34"/>
      <c r="U23" s="34"/>
      <c r="W23" s="34"/>
      <c r="Y23" s="34"/>
      <c r="Z23" s="35"/>
    </row>
    <row r="24" spans="1:26" ht="19.5" x14ac:dyDescent="0.4">
      <c r="A24" s="134"/>
      <c r="B24" s="6" t="s">
        <v>131</v>
      </c>
      <c r="C24" s="17"/>
      <c r="D24" s="44" t="s">
        <v>22</v>
      </c>
      <c r="E24" s="46">
        <f>+IF(E19=FALSE,0,SUM(H10:H11)*0.15)</f>
      </c>
      <c r="F24" s="63">
        <f>E24*1.01</f>
      </c>
      <c r="G24" s="63">
        <f t="shared" si="4"/>
      </c>
      <c r="H24" s="63">
        <f t="shared" si="4"/>
      </c>
      <c r="I24" s="63">
        <f t="shared" si="4"/>
      </c>
      <c r="J24" s="63">
        <f t="shared" si="4"/>
      </c>
      <c r="K24" s="11"/>
      <c r="L24" s="7"/>
      <c r="N24" s="69" t="s">
        <v>140</v>
      </c>
      <c r="O24" s="22" t="s">
        <v>45</v>
      </c>
      <c r="P24" s="77">
        <v>0.8</v>
      </c>
      <c r="Q24" s="70">
        <v>0.8</v>
      </c>
      <c r="S24" s="34"/>
      <c r="U24" s="34"/>
      <c r="W24" s="34"/>
      <c r="Y24" s="34"/>
      <c r="Z24" s="35"/>
    </row>
    <row r="25" spans="1:26" ht="19.5" x14ac:dyDescent="0.4">
      <c r="A25" s="135"/>
      <c r="B25" s="6" t="s">
        <v>70</v>
      </c>
      <c r="C25" s="17"/>
      <c r="D25" s="44" t="s">
        <v>22</v>
      </c>
      <c r="E25" s="46">
        <f>+IF(E20=FALSE,0,SUM($H$10:$H$11)*0.7*0.3)+IF($E$21=FALSE,0,$K$8*0.15*0.15)</f>
      </c>
      <c r="F25" s="46">
        <f t="shared" ref="F25:J25" si="5">+IF(F20=FALSE,0,SUM($H$10:$H$11)*0.7*0.3)+IF($E$21=FALSE,0,$K$8*0.15*0.15)</f>
      </c>
      <c r="G25" s="46">
        <f t="shared" si="5"/>
      </c>
      <c r="H25" s="46">
        <f t="shared" si="5"/>
      </c>
      <c r="I25" s="46">
        <f t="shared" si="5"/>
      </c>
      <c r="J25" s="46">
        <f t="shared" si="5"/>
      </c>
      <c r="K25" s="11"/>
      <c r="L25" s="7"/>
      <c r="N25" s="69" t="s">
        <v>141</v>
      </c>
      <c r="O25" s="25" t="s">
        <v>47</v>
      </c>
      <c r="P25" s="26"/>
      <c r="S25" s="34"/>
      <c r="U25" s="34"/>
      <c r="W25" s="34"/>
      <c r="Y25" s="34"/>
      <c r="Z25" s="35"/>
    </row>
    <row r="26" spans="1:26" ht="19.5" x14ac:dyDescent="0.4">
      <c r="A26" s="120" t="s">
        <v>17</v>
      </c>
      <c r="B26" s="121"/>
      <c r="C26" s="23"/>
      <c r="D26" s="44" t="s">
        <v>22</v>
      </c>
      <c r="E26" s="46">
        <f>+SUM(E22:E25)+$H$9*$P$16+($H$8-$H$9)*$P$15+IF(P9=FALSE,0,$K$8*0.15*0.08)</f>
      </c>
      <c r="F26" s="46">
        <f t="shared" ref="F26:J26" si="6">+SUM(F22:F25)+$H$9*$P$16+($H$8-$H$9)*$P$15</f>
      </c>
      <c r="G26" s="46">
        <f>+SUM(G22:G25)+$H$9*$P$16+($H$8-$H$9)*$P$15</f>
      </c>
      <c r="H26" s="46">
        <f t="shared" si="6"/>
      </c>
      <c r="I26" s="46">
        <f t="shared" si="6"/>
      </c>
      <c r="J26" s="46">
        <f t="shared" si="6"/>
      </c>
      <c r="K26" s="11"/>
      <c r="L26" s="7"/>
      <c r="N26" s="72" t="s">
        <v>143</v>
      </c>
      <c r="O26" s="17" t="s">
        <v>42</v>
      </c>
      <c r="P26" s="24">
        <v>0.72499999999999998</v>
      </c>
      <c r="S26" s="34"/>
      <c r="U26" s="34"/>
      <c r="W26" s="34"/>
      <c r="Y26" s="34"/>
      <c r="Z26" s="35"/>
    </row>
    <row r="27" spans="1:26" ht="19.5" x14ac:dyDescent="0.4">
      <c r="A27" s="120" t="s">
        <v>16</v>
      </c>
      <c r="B27" s="121"/>
      <c r="C27" s="23"/>
      <c r="D27" s="107">
        <v>0.35</v>
      </c>
      <c r="E27" s="47">
        <v>0.412</v>
      </c>
      <c r="F27" s="47">
        <f>ROUND(E27*1.015,3)</f>
      </c>
      <c r="G27" s="47">
        <f>ROUND(F27*1.015,3)</f>
      </c>
      <c r="H27" s="47">
        <f>ROUND(G27*1.015,3)</f>
      </c>
      <c r="I27" s="47">
        <f>ROUND(H27*1.015,3)</f>
      </c>
      <c r="J27" s="47">
        <f>ROUND(I27*1.015,3)</f>
      </c>
      <c r="K27" s="11"/>
      <c r="L27" s="7"/>
      <c r="N27" t="inlineStr">
        <is>
          <t xml:space="preserve">ブロック率：用済み型（引っ越しが済めば離脱）＋CPF流入で高め。41.2%→月1.5%ずつ上昇（現状35%は仮置き）</t>
        </is>
      </c>
      <c r="O27" s="17" t="s">
        <v>43</v>
      </c>
      <c r="P27" s="24">
        <v>0.12</v>
      </c>
      <c r="Q27" s="5" t="s">
        <v>136</v>
      </c>
      <c r="S27" s="34"/>
      <c r="U27" s="34"/>
      <c r="W27" s="34"/>
      <c r="Y27" s="34"/>
      <c r="Z27" s="35"/>
    </row>
    <row r="28" spans="1:26" ht="19.5" x14ac:dyDescent="0.4">
      <c r="A28" s="137" t="s">
        <v>14</v>
      </c>
      <c r="B28" s="138"/>
      <c r="C28" s="101"/>
      <c r="D28" s="106">
        <v>1241</v>
      </c>
      <c r="E28" s="49">
        <f>+D28+E26</f>
      </c>
      <c r="F28" s="49">
        <f t="shared" ref="F28:J28" si="8">+E28+F26</f>
      </c>
      <c r="G28" s="49">
        <f t="shared" si="8"/>
      </c>
      <c r="H28" s="49">
        <f t="shared" si="8"/>
      </c>
      <c r="I28" s="49">
        <f t="shared" si="8"/>
      </c>
      <c r="J28" s="49">
        <f t="shared" si="8"/>
      </c>
      <c r="K28" s="12"/>
      <c r="L28" s="7"/>
      <c r="O28" s="22" t="s">
        <v>45</v>
      </c>
      <c r="P28" s="77">
        <v>0.2</v>
      </c>
      <c r="Q28" s="70">
        <v>0.8</v>
      </c>
      <c r="S28" s="34"/>
      <c r="U28" s="34"/>
      <c r="W28" s="34"/>
      <c r="Y28" s="34"/>
      <c r="Z28" s="35"/>
    </row>
    <row r="29" spans="1:26" ht="19.5" x14ac:dyDescent="0.4">
      <c r="A29" s="126" t="s">
        <v>15</v>
      </c>
      <c r="B29" s="127"/>
      <c r="C29" s="102"/>
      <c r="D29" s="108">
        <f>+D28*(1-D27)</f>
      </c>
      <c r="E29" s="50">
        <f>+E28*(1-E27)</f>
      </c>
      <c r="F29" s="50">
        <f t="shared" ref="F29:J29" si="9">+F28*(1-F27)</f>
      </c>
      <c r="G29" s="50">
        <f t="shared" si="9"/>
      </c>
      <c r="H29" s="50">
        <f t="shared" si="9"/>
      </c>
      <c r="I29" s="50">
        <f t="shared" si="9"/>
      </c>
      <c r="J29" s="50">
        <f t="shared" si="9"/>
      </c>
      <c r="K29" s="12"/>
      <c r="L29" s="7"/>
      <c r="N29" s="69" t="s">
        <v>159</v>
      </c>
      <c r="S29" s="34"/>
      <c r="U29" s="34"/>
      <c r="W29" s="34"/>
      <c r="Y29" s="34"/>
      <c r="Z29" s="35"/>
    </row>
    <row r="30" spans="1:26" ht="19.5" x14ac:dyDescent="0.4">
      <c r="A30" s="124" t="s">
        <v>24</v>
      </c>
      <c r="B30" s="125"/>
      <c r="C30" s="30"/>
      <c r="D30" s="48">
        <v>0</v>
      </c>
      <c r="E30" s="45">
        <v>4</v>
      </c>
      <c r="F30" s="45">
        <v>4</v>
      </c>
      <c r="G30" s="45">
        <v>4</v>
      </c>
      <c r="H30" s="45">
        <v>4</v>
      </c>
      <c r="I30" s="45">
        <v>4</v>
      </c>
      <c r="J30" s="45">
        <v>4</v>
      </c>
      <c r="K30" s="11"/>
      <c r="L30" s="7"/>
      <c r="N30" s="69" t="s">
        <v>158</v>
      </c>
      <c r="O30" s="17" t="s">
        <v>137</v>
      </c>
      <c r="P30" s="76">
        <v>300</v>
      </c>
      <c r="S30" s="34"/>
      <c r="U30" s="34"/>
      <c r="W30" s="34"/>
      <c r="Y30" s="34"/>
      <c r="Z30" s="35"/>
    </row>
    <row r="31" spans="1:26" ht="19.5" x14ac:dyDescent="0.4">
      <c r="A31" s="120" t="s">
        <v>25</v>
      </c>
      <c r="B31" s="121"/>
      <c r="C31" s="23"/>
      <c r="D31" s="108">
        <f>+D30*D29*0.41*0.07</f>
      </c>
      <c r="E31" s="63">
        <f>+E29*E30*$P$24*$P$22*$P$23*$P$36</f>
      </c>
      <c r="F31" s="63">
        <f>+F29*F30*$P$24*$P$22*$P$23*$P$36</f>
      </c>
      <c r="G31" s="63">
        <f>+G29*G30*$P$24*$P$22*$P$23*$P$36</f>
      </c>
      <c r="H31" s="63">
        <f>+H29*H30*$P$24*$P$22*$P$23*$P$36*$Q$24</f>
      </c>
      <c r="I31" s="63">
        <f>+I29*I30*$P$24*$P$22*$P$23*$P$36*$Q$24</f>
      </c>
      <c r="J31" s="63">
        <f>+J29*J30*$P$24*$P$22*$P$23*$P$36*$Q$24</f>
      </c>
      <c r="K31" s="11"/>
      <c r="L31" s="7"/>
      <c r="S31" s="34"/>
      <c r="U31" s="34"/>
      <c r="W31" s="34"/>
      <c r="Y31" s="34"/>
      <c r="Z31" s="35"/>
    </row>
    <row r="32" spans="1:26" ht="19.5" x14ac:dyDescent="0.4">
      <c r="A32" s="124" t="s">
        <v>31</v>
      </c>
      <c r="B32" s="125"/>
      <c r="C32" s="30"/>
      <c r="D32" s="48">
        <v>0</v>
      </c>
      <c r="E32" s="45">
        <v>10</v>
      </c>
      <c r="F32" s="45">
        <v>10</v>
      </c>
      <c r="G32" s="45">
        <v>10</v>
      </c>
      <c r="H32" s="45">
        <v>10</v>
      </c>
      <c r="I32" s="45">
        <v>10</v>
      </c>
      <c r="J32" s="45">
        <v>10</v>
      </c>
      <c r="K32" s="11"/>
      <c r="L32" s="7"/>
      <c r="N32" s="69" t="s">
        <v>157</v>
      </c>
      <c r="O32" s="17" t="s">
        <v>146</v>
      </c>
      <c r="P32" s="75" t="b">
        <v>1</v>
      </c>
      <c r="Q32" s="73">
        <f>+IF(P32=TRUE,1.1,0.95)</f>
      </c>
      <c r="S32" s="34"/>
      <c r="U32" s="34"/>
      <c r="W32" s="34"/>
      <c r="Z32" s="35"/>
    </row>
    <row r="33" spans="1:17" ht="19.5" x14ac:dyDescent="0.4">
      <c r="A33" s="120" t="s">
        <v>32</v>
      </c>
      <c r="B33" s="121"/>
      <c r="C33" s="23"/>
      <c r="D33" s="44">
        <v>0</v>
      </c>
      <c r="E33" s="63">
        <f>+E29*E32*$P$26*$P$27*$P$28*$P$36</f>
      </c>
      <c r="F33" s="63">
        <f t="shared" ref="F33:G33" si="10">+F29*F32*$P$26*$P$27*$P$28*$P$36</f>
      </c>
      <c r="G33" s="63">
        <f t="shared" si="10"/>
      </c>
      <c r="H33" s="63">
        <f>+H29*H32*$P$26*$P$27*$P$28*$P$36*$Q$28</f>
      </c>
      <c r="I33" s="63">
        <f t="shared" ref="I33:J33" si="11">+I29*I32*$P$26*$P$27*$P$28*$P$36*$Q$28</f>
      </c>
      <c r="J33" s="63">
        <f t="shared" si="11"/>
      </c>
      <c r="K33" s="11"/>
      <c r="L33" s="7"/>
      <c r="O33" s="17" t="s">
        <v>160</v>
      </c>
      <c r="P33" s="75" t="b">
        <v>1</v>
      </c>
      <c r="Q33" s="73">
        <f t="shared" ref="Q33:Q35" si="12">+IF(P33=TRUE,1.1,0.95)</f>
      </c>
    </row>
    <row r="34" spans="1:17" ht="19.5" x14ac:dyDescent="0.4">
      <c r="A34" s="126" t="s">
        <v>27</v>
      </c>
      <c r="B34" s="127"/>
      <c r="C34" s="102"/>
      <c r="D34" s="108">
        <f>+D29*D30</f>
      </c>
      <c r="E34" s="46">
        <f>+E29*E30*$P$24+E29*E32*$P$28</f>
      </c>
      <c r="F34" s="46">
        <f>+F29*F30*$P$24+F29*F32*$P$28</f>
      </c>
      <c r="G34" s="46">
        <f>+G29*G30*$P$24+G29*G32*$P$28</f>
      </c>
      <c r="H34" s="46">
        <f>+H29*H30*$P$24*$Q$24+H29*H32*$P$28*$Q$28</f>
      </c>
      <c r="I34" s="46">
        <f>+I29*I30*$P$24*$Q$24+I29*I32*$P$28*$Q$28</f>
      </c>
      <c r="J34" s="46">
        <f>+J29*J30*$P$24*$Q$24+J29*J32*$P$28*$Q$28</f>
      </c>
      <c r="K34" s="11"/>
      <c r="L34" s="7"/>
      <c r="O34" s="17" t="s">
        <v>161</v>
      </c>
      <c r="P34" s="75" t="b">
        <v>1</v>
      </c>
      <c r="Q34" s="73">
        <f t="shared" si="12"/>
      </c>
    </row>
    <row r="35" spans="1:17" ht="19.5" x14ac:dyDescent="0.4">
      <c r="A35" s="126" t="s">
        <v>26</v>
      </c>
      <c r="B35" s="127"/>
      <c r="C35" s="102"/>
      <c r="D35" s="109">
        <f>+D31*1.02</f>
      </c>
      <c r="E35" s="50">
        <f>+E31+E33+1.05*(E31+E33)</f>
      </c>
      <c r="F35" s="50">
        <f t="shared" ref="F35:J35" si="13">+F31+F33+1.05*(F31+F33)</f>
      </c>
      <c r="G35" s="50">
        <f t="shared" si="13"/>
      </c>
      <c r="H35" s="50">
        <f t="shared" si="13"/>
      </c>
      <c r="I35" s="50">
        <f t="shared" si="13"/>
      </c>
      <c r="J35" s="50">
        <f t="shared" si="13"/>
      </c>
      <c r="K35" s="11"/>
      <c r="L35" s="7"/>
      <c r="O35" s="17" t="s">
        <v>162</v>
      </c>
      <c r="P35" s="75" t="b">
        <v>1</v>
      </c>
      <c r="Q35" s="73">
        <f t="shared" si="12"/>
      </c>
    </row>
    <row r="36" spans="1:17" x14ac:dyDescent="0.4">
      <c r="A36" s="128" t="s">
        <v>7</v>
      </c>
      <c r="B36" s="6">
        <f>+C8</f>
      </c>
      <c r="C36" s="6"/>
      <c r="D36" s="11">
        <v>0</v>
      </c>
      <c r="E36" s="111">
        <f>ROUND(E26*0.25,0)</f>
      </c>
      <c r="F36" s="111">
        <f>ROUND(F26*0.25,0)</f>
      </c>
      <c r="G36" s="111">
        <f>ROUND(G26*0.25,0)</f>
      </c>
      <c r="H36" s="111">
        <f>ROUND(H26*0.25,0)</f>
      </c>
      <c r="I36" s="111">
        <f>ROUND(I26*0.25,0)</f>
      </c>
      <c r="J36" s="111">
        <f>ROUND(J26*0.25,0)</f>
      </c>
      <c r="K36" s="115">
        <f>SUM(E36:J36)</f>
      </c>
      <c r="L36" s="7"/>
      <c r="N36" s="69" t="inlineStr">
        <is>
          <t xml:space="preserve">問い合わせ①＝新規友だち×25%（LINEで物件URLを送る＝問い合わせ。仮置き）</t>
        </is>
      </c>
      <c r="O36" s="17" t="s">
        <v>147</v>
      </c>
      <c r="P36" s="74">
        <f>1*(Q32*Q33*Q34*Q35)</f>
      </c>
      <c r="Q36" s="73"/>
    </row>
    <row r="37" spans="1:17" x14ac:dyDescent="0.4">
      <c r="A37" s="129"/>
      <c r="B37" s="6">
        <f>+C9</f>
      </c>
      <c r="C37" s="6"/>
      <c r="D37" s="11">
        <v>0</v>
      </c>
      <c r="E37" s="111">
        <f>ROUND(E35*0.004,0)</f>
      </c>
      <c r="F37" s="111">
        <f>ROUND(F35*0.005,0)</f>
      </c>
      <c r="G37" s="111">
        <f>ROUND(G35*0.006,0)</f>
      </c>
      <c r="H37" s="111">
        <f>ROUND(H35*0.007,0)</f>
      </c>
      <c r="I37" s="111">
        <f>ROUND(I35*0.008,0)</f>
      </c>
      <c r="J37" s="111">
        <f>ROUND(J35*0.008,0)</f>
      </c>
      <c r="K37" s="115">
        <f>SUM(E37:J37)</f>
      </c>
      <c r="L37" s="7"/>
      <c r="N37" s="69" t="inlineStr">
        <is>
          <t xml:space="preserve">問い合わせ②＝配信クリック×0.4〜0.8%（運用が育つ想定で月ごとに上げる）</t>
        </is>
      </c>
    </row>
    <row r="38" spans="1:17" x14ac:dyDescent="0.4">
      <c r="A38" s="128" t="s">
        <v>10</v>
      </c>
      <c r="B38" s="6">
        <f>+C10</f>
      </c>
      <c r="C38" s="6"/>
      <c r="D38" s="11">
        <v>0</v>
      </c>
      <c r="E38" s="111">
        <v>0</v>
      </c>
      <c r="F38" s="111">
        <v>0</v>
      </c>
      <c r="G38" s="111">
        <v>0</v>
      </c>
      <c r="H38" s="111">
        <v>0</v>
      </c>
      <c r="I38" s="111">
        <v>0</v>
      </c>
      <c r="J38" s="111">
        <v>0</v>
      </c>
      <c r="K38" s="115">
        <f>SUM(E38:J38)</f>
      </c>
      <c r="L38" s="7"/>
      <c r="N38" s="69" t="s">
        <v>135</v>
      </c>
      <c r="O38" s="21" t="s">
        <v>38</v>
      </c>
    </row>
    <row r="39" spans="1:17" x14ac:dyDescent="0.4">
      <c r="A39" s="129"/>
      <c r="B39" s="6">
        <f>+C11</f>
      </c>
      <c r="C39" s="6"/>
      <c r="D39" s="11">
        <v>0</v>
      </c>
      <c r="E39" s="111">
        <v>0</v>
      </c>
      <c r="F39" s="111">
        <v>0</v>
      </c>
      <c r="G39" s="111">
        <v>0</v>
      </c>
      <c r="H39" s="111">
        <v>0</v>
      </c>
      <c r="I39" s="111">
        <v>0</v>
      </c>
      <c r="J39" s="111">
        <v>0</v>
      </c>
      <c r="K39" s="115">
        <f>SUM(E39:J39)</f>
      </c>
      <c r="L39" s="7"/>
      <c r="N39" s="69" t="s">
        <v>135</v>
      </c>
      <c r="O39" s="21" t="s">
        <v>39</v>
      </c>
    </row>
    <row r="40" spans="1:17" x14ac:dyDescent="0.4">
      <c r="A40" s="122" t="s">
        <v>54</v>
      </c>
      <c r="B40" s="123"/>
      <c r="C40" s="97"/>
      <c r="D40" s="11">
        <f t="shared" ref="D40:J40" si="14">+SUM(D36:D39)</f>
      </c>
      <c r="E40" s="10">
        <f t="shared" si="14"/>
      </c>
      <c r="F40" s="10">
        <f t="shared" si="14"/>
      </c>
      <c r="G40" s="10">
        <f t="shared" si="14"/>
      </c>
      <c r="H40" s="10">
        <f t="shared" si="14"/>
      </c>
      <c r="I40" s="10">
        <f t="shared" si="14"/>
      </c>
      <c r="J40" s="10">
        <f t="shared" si="14"/>
      </c>
      <c r="K40" s="115">
        <f>SUM(E40:J40)</f>
      </c>
      <c r="L40" s="7"/>
      <c r="O40" s="17"/>
    </row>
    <row r="41" spans="1:17" x14ac:dyDescent="0.4">
      <c r="B41" s="5" t="s">
        <v>68</v>
      </c>
      <c r="D41" s="18">
        <f t="shared" ref="D41" si="15">+IFERROR(D40/D35,0)</f>
      </c>
      <c r="E41" s="18">
        <f>+IFERROR(E37/E35,0)</f>
      </c>
      <c r="F41" s="18">
        <f>+IFERROR(F37/F35,0)</f>
      </c>
      <c r="G41" s="18">
        <f>+IFERROR(G37/G35,0)</f>
      </c>
      <c r="H41" s="18">
        <f>+IFERROR(H37/H35,0)</f>
      </c>
      <c r="I41" s="18">
        <f>+IFERROR(I37/I35,0)</f>
      </c>
      <c r="J41" s="18">
        <f>+IFERROR(J37/J35,0)</f>
      </c>
      <c r="N41" s="69" t="inlineStr">
        <is>
          <t xml:space="preserve">CVRは②（配信経由）だけで計算。①は友だち追加の直後に物件URLを送る問い合わせで、配信のクリック経由ではない</t>
        </is>
      </c>
    </row>
    <row r="42" spans="1:17" x14ac:dyDescent="0.4">
      <c r="B42" s="29"/>
      <c r="D42" s="18"/>
      <c r="E42" s="116"/>
      <c r="F42" s="116"/>
      <c r="G42" s="116"/>
      <c r="H42" s="116"/>
      <c r="I42" s="116"/>
      <c r="J42" s="116"/>
    </row>
    <row r="43" spans="1:17" x14ac:dyDescent="0.4">
      <c r="A43" s="29" t="s">
        <v>52</v>
      </c>
      <c r="C43" s="5" t="s">
        <v>178</v>
      </c>
      <c r="D43" s="5" t="s">
        <v>179</v>
      </c>
    </row>
    <row r="44" spans="1:17" x14ac:dyDescent="0.4">
      <c r="A44" s="120" t="s">
        <v>28</v>
      </c>
      <c r="B44" s="121"/>
      <c r="C44" s="103"/>
      <c r="D44" s="16" t="s">
        <v>23</v>
      </c>
      <c r="E44" s="31">
        <f>+E75*E76</f>
      </c>
      <c r="F44" s="31">
        <f t="shared" ref="F44:J44" si="17">+F75*F76</f>
      </c>
      <c r="G44" s="31">
        <f t="shared" si="17"/>
      </c>
      <c r="H44" s="31">
        <f t="shared" si="17"/>
      </c>
      <c r="I44" s="31">
        <f t="shared" si="17"/>
      </c>
      <c r="J44" s="31">
        <f t="shared" si="17"/>
      </c>
      <c r="K44" s="11"/>
      <c r="L44" s="7"/>
    </row>
    <row r="45" spans="1:17" x14ac:dyDescent="0.4">
      <c r="A45" s="120" t="s">
        <v>156</v>
      </c>
      <c r="B45" s="121"/>
      <c r="C45" s="104">
        <f>+SUM(C65:C72)</f>
      </c>
      <c r="D45" s="80">
        <f>+SUM(D65:D72)</f>
      </c>
      <c r="E45" s="27">
        <f>SUM(E65:E69)+SUM(E71:E72)</f>
      </c>
      <c r="F45" s="27">
        <f t="shared" ref="F45:J45" si="18">SUM(F65:F69)+SUM(F71:F72)</f>
      </c>
      <c r="G45" s="27">
        <f t="shared" si="18"/>
      </c>
      <c r="H45" s="27">
        <f t="shared" si="18"/>
      </c>
      <c r="I45" s="27">
        <f t="shared" si="18"/>
      </c>
      <c r="J45" s="27">
        <f t="shared" si="18"/>
      </c>
      <c r="K45" s="11"/>
      <c r="L45" s="7"/>
    </row>
    <row r="46" spans="1:17" x14ac:dyDescent="0.4">
      <c r="A46" s="120" t="s">
        <v>18</v>
      </c>
      <c r="B46" s="121"/>
      <c r="C46" s="103"/>
      <c r="D46" s="16" t="s">
        <v>23</v>
      </c>
      <c r="E46" s="28">
        <f>(SUM(E65:E67)+E71)/(E28-D28)</f>
      </c>
      <c r="F46" s="28">
        <f>(SUM(F65:F67)+F71)/(F28-E28)</f>
      </c>
      <c r="G46" s="28">
        <f>(SUM(G65:G67)+G71)/(G28-F28)</f>
      </c>
      <c r="H46" s="28">
        <f>(SUM(H65:H67)+H71)/(H28-G28)</f>
      </c>
      <c r="I46" s="28">
        <f>(SUM(I65:I67)+I71)/(I28-H28)</f>
      </c>
      <c r="J46" s="28">
        <f>(SUM(J65:J67)+J71)/(J28-I28)</f>
      </c>
      <c r="K46" s="11"/>
      <c r="L46" s="7"/>
    </row>
    <row r="47" spans="1:17" x14ac:dyDescent="0.4">
      <c r="A47" s="120" t="s">
        <v>19</v>
      </c>
      <c r="B47" s="121"/>
      <c r="C47" s="103"/>
      <c r="D47" s="16" t="s">
        <v>23</v>
      </c>
      <c r="E47" s="28">
        <f t="shared" ref="E47:I47" si="20">+E51/E35</f>
      </c>
      <c r="F47" s="28">
        <f t="shared" si="20"/>
      </c>
      <c r="G47" s="28">
        <f t="shared" si="20"/>
      </c>
      <c r="H47" s="28">
        <f t="shared" si="20"/>
      </c>
      <c r="I47" s="28">
        <f t="shared" si="20"/>
      </c>
      <c r="J47" s="28">
        <f>+J51/J35</f>
      </c>
      <c r="K47" s="11"/>
      <c r="L47" s="7"/>
    </row>
    <row r="48" spans="1:17" x14ac:dyDescent="0.4">
      <c r="A48" s="120" t="s">
        <v>21</v>
      </c>
      <c r="B48" s="121"/>
      <c r="C48" s="103"/>
      <c r="D48" s="16" t="s">
        <v>23</v>
      </c>
      <c r="E48" s="32">
        <f>+IFERROR(E37/E35,0)</f>
      </c>
      <c r="F48" s="32">
        <f>+IFERROR(F37/F35,0)</f>
      </c>
      <c r="G48" s="32">
        <f>+IFERROR(G37/G35,0)</f>
      </c>
      <c r="H48" s="32">
        <f>+IFERROR(H37/H35,0)</f>
      </c>
      <c r="I48" s="32">
        <f>+IFERROR(I37/I35,0)</f>
      </c>
      <c r="J48" s="32">
        <f>+IFERROR(J37/J35,0)</f>
      </c>
      <c r="K48" s="11"/>
      <c r="L48" s="7"/>
    </row>
    <row r="49" spans="1:12" x14ac:dyDescent="0.4">
      <c r="A49" s="122" t="s">
        <v>20</v>
      </c>
      <c r="B49" s="123"/>
      <c r="C49" s="105"/>
      <c r="D49" s="16" t="s">
        <v>23</v>
      </c>
      <c r="E49" s="28">
        <f>+IFERROR(E51/SUM(E36:E39),0)</f>
      </c>
      <c r="F49" s="28">
        <f t="shared" ref="F49:J49" si="22">+IFERROR(F51/SUM(F36:F39),0)</f>
      </c>
      <c r="G49" s="28">
        <f t="shared" si="22"/>
      </c>
      <c r="H49" s="28">
        <f t="shared" si="22"/>
      </c>
      <c r="I49" s="28">
        <f t="shared" si="22"/>
      </c>
      <c r="J49" s="28">
        <f t="shared" si="22"/>
      </c>
      <c r="K49" s="11"/>
      <c r="L49" s="7"/>
    </row>
    <row r="50" spans="1:12" x14ac:dyDescent="0.4">
      <c r="A50" s="122" t="s">
        <v>132</v>
      </c>
      <c r="B50" s="123"/>
      <c r="C50" s="105"/>
      <c r="D50" s="64" t="s">
        <v>23</v>
      </c>
      <c r="E50" s="65">
        <f>+E36*$D$8+E38*$D$10</f>
      </c>
      <c r="F50" s="65">
        <f t="shared" ref="F50:J50" si="23">+F36*$D$8+F38*$D$10</f>
      </c>
      <c r="G50" s="65">
        <f t="shared" si="23"/>
      </c>
      <c r="H50" s="65">
        <f t="shared" si="23"/>
      </c>
      <c r="I50" s="65">
        <f t="shared" si="23"/>
      </c>
      <c r="J50" s="65">
        <f t="shared" si="23"/>
      </c>
      <c r="K50" s="11"/>
      <c r="L50" s="7"/>
    </row>
    <row r="51" spans="1:12" x14ac:dyDescent="0.4">
      <c r="A51" s="118" t="s">
        <v>71</v>
      </c>
      <c r="B51" s="119"/>
      <c r="C51" s="110">
        <f>+C45</f>
      </c>
      <c r="D51" s="40">
        <f>+D45</f>
      </c>
      <c r="E51" s="40">
        <f>SUM(E45,E50)+E44</f>
      </c>
      <c r="F51" s="40">
        <f t="shared" ref="F51:I51" si="24">SUM(F45,F50)+F44</f>
      </c>
      <c r="G51" s="40">
        <f t="shared" si="24"/>
      </c>
      <c r="H51" s="40">
        <f t="shared" si="24"/>
      </c>
      <c r="I51" s="40">
        <f t="shared" si="24"/>
      </c>
      <c r="J51" s="40">
        <f>SUM(J45,J50)+J44</f>
      </c>
      <c r="K51" s="11"/>
      <c r="L51" s="7"/>
    </row>
    <row r="52" spans="1:12" x14ac:dyDescent="0.4">
      <c r="A52" s="22"/>
      <c r="B52" s="22"/>
      <c r="C52" s="22"/>
      <c r="D52" s="37"/>
      <c r="E52" s="37"/>
      <c r="F52" s="37"/>
      <c r="G52" s="37"/>
      <c r="H52" s="37"/>
      <c r="I52" s="37"/>
      <c r="J52" s="37"/>
    </row>
    <row r="53" spans="1:12" hidden="1" x14ac:dyDescent="0.4">
      <c r="A53" s="29" t="s">
        <v>69</v>
      </c>
    </row>
    <row r="54" spans="1:12" hidden="1" x14ac:dyDescent="0.4">
      <c r="A54" s="120" t="s">
        <v>28</v>
      </c>
      <c r="B54" s="121"/>
      <c r="C54" s="96"/>
      <c r="D54" s="28">
        <f>+D75*D76</f>
      </c>
      <c r="E54" s="28">
        <f t="shared" ref="E54:J54" si="25">+E75*E76</f>
      </c>
      <c r="F54" s="28">
        <f t="shared" si="25"/>
      </c>
      <c r="G54" s="28">
        <f t="shared" si="25"/>
      </c>
      <c r="H54" s="28">
        <f t="shared" si="25"/>
      </c>
      <c r="I54" s="28">
        <f t="shared" si="25"/>
      </c>
      <c r="J54" s="28">
        <f t="shared" si="25"/>
      </c>
      <c r="K54" s="11"/>
      <c r="L54" s="7"/>
    </row>
    <row r="55" spans="1:12" hidden="1" x14ac:dyDescent="0.4">
      <c r="A55" s="120" t="s">
        <v>156</v>
      </c>
      <c r="B55" s="121"/>
      <c r="C55" s="96"/>
      <c r="D55" s="27">
        <f>+SUM(D65:D72)</f>
      </c>
      <c r="E55" s="27">
        <f>SUM(E65:E72)+E54</f>
      </c>
      <c r="F55" s="27">
        <f t="shared" ref="F55:J55" si="26">SUM(F65:F72)+F54</f>
      </c>
      <c r="G55" s="27">
        <f t="shared" si="26"/>
      </c>
      <c r="H55" s="27">
        <f t="shared" si="26"/>
      </c>
      <c r="I55" s="27">
        <f t="shared" si="26"/>
      </c>
      <c r="J55" s="27">
        <f t="shared" si="26"/>
      </c>
      <c r="K55" s="11"/>
      <c r="L55" s="7"/>
    </row>
    <row r="56" spans="1:12" hidden="1" x14ac:dyDescent="0.4">
      <c r="A56" s="120" t="s">
        <v>18</v>
      </c>
      <c r="B56" s="121"/>
      <c r="C56" s="96"/>
      <c r="D56" s="39" t="s">
        <v>23</v>
      </c>
      <c r="E56" s="28">
        <f>(SUM(E65:E67)+E71)/(E28-D28)</f>
      </c>
      <c r="F56" s="28">
        <f>(SUM(F65:F67)+F71)/(F28-E28)</f>
      </c>
      <c r="G56" s="28">
        <f>(SUM(G65:G67)+G71)/(G28-F28)</f>
      </c>
      <c r="H56" s="28">
        <f>(SUM(H65:H67)+H71)/(H28-G28)</f>
      </c>
      <c r="I56" s="28">
        <f>(SUM(I65:I67)+I71)/(I28-H28)</f>
      </c>
      <c r="J56" s="28">
        <f>(SUM(J65:J67)+J71)/(J28-I28)</f>
      </c>
      <c r="K56" s="11"/>
      <c r="L56" s="7"/>
    </row>
    <row r="57" spans="1:12" hidden="1" x14ac:dyDescent="0.4">
      <c r="A57" s="120" t="s">
        <v>19</v>
      </c>
      <c r="B57" s="121"/>
      <c r="C57" s="96"/>
      <c r="D57" s="39" t="s">
        <v>23</v>
      </c>
      <c r="E57" s="28">
        <f>+E61/E35</f>
      </c>
      <c r="F57" s="28">
        <f t="shared" ref="F57:J57" si="28">+F61/F35</f>
      </c>
      <c r="G57" s="28">
        <f t="shared" si="28"/>
      </c>
      <c r="H57" s="28">
        <f t="shared" si="28"/>
      </c>
      <c r="I57" s="28">
        <f t="shared" si="28"/>
      </c>
      <c r="J57" s="28">
        <f t="shared" si="28"/>
      </c>
      <c r="K57" s="11"/>
      <c r="L57" s="7"/>
    </row>
    <row r="58" spans="1:12" hidden="1" x14ac:dyDescent="0.4">
      <c r="A58" s="120" t="s">
        <v>21</v>
      </c>
      <c r="B58" s="121"/>
      <c r="C58" s="96"/>
      <c r="D58" s="39" t="s">
        <v>23</v>
      </c>
      <c r="E58" s="32">
        <f>+IFERROR(E37/E35,0)</f>
      </c>
      <c r="F58" s="32">
        <f>+IFERROR(F37/F35,0)</f>
      </c>
      <c r="G58" s="32">
        <f>+IFERROR(G37/G35,0)</f>
      </c>
      <c r="H58" s="32">
        <f>+IFERROR(H37/H35,0)</f>
      </c>
      <c r="I58" s="32">
        <f>+IFERROR(I37/I35,0)</f>
      </c>
      <c r="J58" s="32">
        <f>+IFERROR(J37/J35,0)</f>
      </c>
      <c r="K58" s="11"/>
      <c r="L58" s="7"/>
    </row>
    <row r="59" spans="1:12" hidden="1" x14ac:dyDescent="0.4">
      <c r="A59" s="122" t="s">
        <v>20</v>
      </c>
      <c r="B59" s="123"/>
      <c r="C59" s="97"/>
      <c r="D59" s="28"/>
      <c r="E59" s="28">
        <f>+IFERROR(E55/E40,0)</f>
      </c>
      <c r="F59" s="28">
        <f t="shared" ref="F59:J59" si="30">+IFERROR(F55/F40,0)</f>
      </c>
      <c r="G59" s="28">
        <f t="shared" si="30"/>
      </c>
      <c r="H59" s="28">
        <f t="shared" si="30"/>
      </c>
      <c r="I59" s="28">
        <f t="shared" si="30"/>
      </c>
      <c r="J59" s="28">
        <f t="shared" si="30"/>
      </c>
      <c r="K59" s="11"/>
      <c r="L59" s="7"/>
    </row>
    <row r="60" spans="1:12" hidden="1" x14ac:dyDescent="0.4">
      <c r="A60" s="122" t="s">
        <v>132</v>
      </c>
      <c r="B60" s="123"/>
      <c r="C60" s="97"/>
      <c r="D60" s="28"/>
      <c r="E60" s="28"/>
      <c r="F60" s="28"/>
      <c r="G60" s="28"/>
      <c r="H60" s="28"/>
      <c r="I60" s="28"/>
      <c r="J60" s="28"/>
      <c r="K60" s="11"/>
      <c r="L60" s="7"/>
    </row>
    <row r="61" spans="1:12" hidden="1" x14ac:dyDescent="0.4">
      <c r="A61" s="118" t="s">
        <v>71</v>
      </c>
      <c r="B61" s="119"/>
      <c r="C61" s="98"/>
      <c r="D61" s="40">
        <f>+D55</f>
      </c>
      <c r="E61" s="40">
        <f>+SUM(E65:E72)+E54</f>
      </c>
      <c r="F61" s="40">
        <f t="shared" ref="F61:J61" si="31">+SUM(F65:F72)+F54</f>
      </c>
      <c r="G61" s="40">
        <f t="shared" si="31"/>
      </c>
      <c r="H61" s="40">
        <f t="shared" si="31"/>
      </c>
      <c r="I61" s="40">
        <f t="shared" si="31"/>
      </c>
      <c r="J61" s="40">
        <f t="shared" si="31"/>
      </c>
      <c r="K61" s="11"/>
      <c r="L61" s="7"/>
    </row>
    <row r="62" spans="1:12" hidden="1" x14ac:dyDescent="0.4"/>
    <row r="64" spans="1:12" x14ac:dyDescent="0.4">
      <c r="C64" s="5" t="s">
        <v>178</v>
      </c>
      <c r="D64" s="5" t="s">
        <v>179</v>
      </c>
    </row>
    <row r="65" spans="1:16" x14ac:dyDescent="0.4">
      <c r="A65" s="52" t="s">
        <v>29</v>
      </c>
      <c r="B65" s="6" t="s">
        <v>28</v>
      </c>
      <c r="C65" s="90">
        <v>0</v>
      </c>
      <c r="D65" s="51">
        <v>0</v>
      </c>
      <c r="E65" s="28">
        <v>0</v>
      </c>
      <c r="F65" s="28">
        <v>0</v>
      </c>
      <c r="G65" s="28">
        <v>0</v>
      </c>
      <c r="H65" s="28">
        <v>0</v>
      </c>
      <c r="I65" s="28">
        <v>0</v>
      </c>
      <c r="J65" s="28">
        <v>0</v>
      </c>
      <c r="N65" t="inlineStr">
        <is>
          <t xml:space="preserve">従量課金は54行（新料金テーブル）で計算。65行の旧式（2.75円）は二重計上になるため0</t>
        </is>
      </c>
    </row>
    <row r="66" spans="1:16" x14ac:dyDescent="0.4">
      <c r="A66" s="53" t="s">
        <v>51</v>
      </c>
      <c r="B66" s="6" t="s">
        <v>5</v>
      </c>
      <c r="C66" s="90">
        <v>0</v>
      </c>
      <c r="D66" s="51">
        <v>0</v>
      </c>
      <c r="E66" s="28">
        <v>0</v>
      </c>
      <c r="F66" s="28">
        <v>0</v>
      </c>
      <c r="G66" s="28">
        <v>0</v>
      </c>
      <c r="H66" s="28">
        <v>0</v>
      </c>
      <c r="I66" s="28">
        <v>0</v>
      </c>
      <c r="J66" s="28">
        <v>0</v>
      </c>
      <c r="N66" s="69" t="s">
        <v>149</v>
      </c>
    </row>
    <row r="67" spans="1:16" x14ac:dyDescent="0.4">
      <c r="B67" s="6" t="s">
        <v>6</v>
      </c>
      <c r="C67" s="90">
        <v>0</v>
      </c>
      <c r="D67" s="51">
        <v>0</v>
      </c>
      <c r="E67" s="28">
        <v>0</v>
      </c>
      <c r="F67" s="28">
        <v>0</v>
      </c>
      <c r="G67" s="28">
        <v>0</v>
      </c>
      <c r="H67" s="28">
        <v>0</v>
      </c>
      <c r="I67" s="28">
        <v>0</v>
      </c>
      <c r="J67" s="28">
        <v>0</v>
      </c>
      <c r="N67" s="69" t="s">
        <v>148</v>
      </c>
    </row>
    <row r="68" spans="1:16" x14ac:dyDescent="0.4">
      <c r="A68" s="15"/>
      <c r="B68" s="6" t="s">
        <v>49</v>
      </c>
      <c r="C68" s="90">
        <v>0</v>
      </c>
      <c r="D68" s="51">
        <v>30000</v>
      </c>
      <c r="E68" s="28">
        <f t="shared" ref="E68:J68" si="33">IF(E34&lt;5000,5000,15000)</f>
      </c>
      <c r="F68" s="28">
        <f t="shared" si="33"/>
      </c>
      <c r="G68" s="28">
        <f t="shared" si="33"/>
      </c>
      <c r="H68" s="28">
        <f t="shared" si="33"/>
      </c>
      <c r="I68" s="28">
        <f t="shared" si="33"/>
      </c>
      <c r="J68" s="28">
        <f t="shared" si="33"/>
      </c>
      <c r="N68" s="69" t="s">
        <v>155</v>
      </c>
      <c r="O68" s="17" t="s">
        <v>154</v>
      </c>
      <c r="P68" s="75">
        <v>5000</v>
      </c>
    </row>
    <row r="69" spans="1:16" x14ac:dyDescent="0.4">
      <c r="A69" s="15"/>
      <c r="B69" s="6" t="inlineStr">
        <is>
          <t xml:space="preserve">LINE運用コンサル</t>
        </is>
      </c>
      <c r="C69" s="90">
        <v>0</v>
      </c>
      <c r="D69" s="51">
        <v>200000</v>
      </c>
      <c r="E69" s="28">
        <v>100000</v>
      </c>
      <c r="F69" s="28">
        <v>100000</v>
      </c>
      <c r="G69" s="28">
        <v>100000</v>
      </c>
      <c r="H69" s="28">
        <v>100000</v>
      </c>
      <c r="I69" s="28">
        <v>100000</v>
      </c>
      <c r="J69" s="28">
        <v>100000</v>
      </c>
      <c r="N69" s="69" t="inlineStr">
        <is>
          <t xml:space="preserve">LINE運用コンサル：初期20万（あいさつ・リッチメニュー・URL受付の自動応答・CPF設定）／月10万（CPF運用＋企画4本＋ステップ10本）</t>
        </is>
      </c>
      <c r="O69" s="5" t="s">
        <v>53</v>
      </c>
    </row>
    <row r="70" spans="1:16" x14ac:dyDescent="0.4">
      <c r="A70" s="15"/>
      <c r="B70" s="6" t="s">
        <v>58</v>
      </c>
      <c r="C70" s="90">
        <v>0</v>
      </c>
      <c r="D70" s="51">
        <v>0</v>
      </c>
      <c r="E70" s="28">
        <v>0</v>
      </c>
      <c r="F70" s="28">
        <v>0</v>
      </c>
      <c r="G70" s="28">
        <v>0</v>
      </c>
      <c r="H70" s="28">
        <v>0</v>
      </c>
      <c r="I70" s="28">
        <v>0</v>
      </c>
      <c r="J70" s="28">
        <v>0</v>
      </c>
      <c r="N70" s="69" t="s">
        <v>153</v>
      </c>
    </row>
    <row r="71" spans="1:16" x14ac:dyDescent="0.4">
      <c r="A71" s="15"/>
      <c r="B71" s="6" t="inlineStr">
        <is>
          <t xml:space="preserve">CPF広告費（SNS予算）</t>
        </is>
      </c>
      <c r="C71" s="90">
        <v>0</v>
      </c>
      <c r="D71" s="51">
        <v>0</v>
      </c>
      <c r="E71" s="28">
        <v>300000</v>
      </c>
      <c r="F71" s="28">
        <v>300000</v>
      </c>
      <c r="G71" s="28">
        <v>300000</v>
      </c>
      <c r="H71" s="28">
        <v>300000</v>
      </c>
      <c r="I71" s="28">
        <v>300000</v>
      </c>
      <c r="J71" s="28">
        <v>300000</v>
      </c>
      <c r="N71" s="69" t="inlineStr">
        <is>
          <t xml:space="preserve">SNS予算は全額CPF（LINE友だち追加広告）に充当。広告運用手数料は含まない（AD側のSIMに合わせる）</t>
        </is>
      </c>
    </row>
    <row r="72" spans="1:16" x14ac:dyDescent="0.4">
      <c r="A72" s="15"/>
      <c r="B72" s="6" t="s">
        <v>64</v>
      </c>
      <c r="C72" s="90">
        <v>0</v>
      </c>
      <c r="D72" s="51">
        <v>0</v>
      </c>
      <c r="E72" s="28">
        <v>0</v>
      </c>
      <c r="F72" s="28">
        <v>0</v>
      </c>
      <c r="G72" s="28">
        <v>0</v>
      </c>
      <c r="H72" s="28">
        <v>0</v>
      </c>
      <c r="I72" s="28">
        <v>0</v>
      </c>
      <c r="J72" s="28">
        <v>0</v>
      </c>
    </row>
    <row r="73" spans="1:16" x14ac:dyDescent="0.4">
      <c r="A73" s="15"/>
      <c r="B73" s="112" t="s">
        <v>181</v>
      </c>
      <c r="C73" s="113">
        <v>0</v>
      </c>
      <c r="D73" s="114">
        <f>SUM(D65:D72)</f>
      </c>
      <c r="E73" s="114">
        <f t="shared" ref="E73" si="34">SUM(E65:E72)</f>
      </c>
      <c r="F73" s="114">
        <f t="shared" ref="F73" si="35">SUM(F65:F72)</f>
      </c>
      <c r="G73" s="114">
        <f t="shared" ref="G73" si="36">SUM(G65:G72)</f>
      </c>
      <c r="H73" s="114">
        <f t="shared" ref="H73" si="37">SUM(H65:H72)</f>
      </c>
      <c r="I73" s="114">
        <f t="shared" ref="I73" si="38">SUM(I65:I72)</f>
      </c>
      <c r="J73" s="114">
        <f t="shared" ref="J73" si="39">SUM(J65:J72)</f>
      </c>
    </row>
    <row r="74" spans="1:16" x14ac:dyDescent="0.4">
      <c r="A74" s="15"/>
      <c r="B74" s="15"/>
      <c r="C74" s="15"/>
      <c r="D74" s="15"/>
      <c r="E74" s="15"/>
      <c r="F74" s="15"/>
      <c r="G74" s="15"/>
      <c r="H74" s="15"/>
      <c r="I74" s="15"/>
      <c r="J74" s="15"/>
    </row>
    <row r="75" spans="1:16" x14ac:dyDescent="0.4">
      <c r="B75" s="5" t="s">
        <v>65</v>
      </c>
      <c r="D75" s="41">
        <f t="shared" ref="D75:J75" si="40">+IF(D34&lt;30001,0,D34-30000)</f>
      </c>
      <c r="E75" s="41">
        <f t="shared" si="40"/>
      </c>
      <c r="F75" s="41">
        <f t="shared" si="40"/>
      </c>
      <c r="G75" s="41">
        <f t="shared" si="40"/>
      </c>
      <c r="H75" s="41">
        <f t="shared" si="40"/>
      </c>
      <c r="I75" s="41">
        <f t="shared" si="40"/>
      </c>
      <c r="J75" s="41">
        <f t="shared" si="40"/>
      </c>
    </row>
    <row r="76" spans="1:16" x14ac:dyDescent="0.4">
      <c r="B76" s="5" t="s">
        <v>66</v>
      </c>
      <c r="D76" s="5">
        <f>+IF(D75&lt;=$U$18,$Z$18,IF(D75&lt;=$U$19,$Z$19,IF(D75&lt;=$U$20,$Z$20,IF(D75&lt;=$U$21,$Z$21,IF(D75&lt;=$U$22,$Z$22,IF(D75&lt;=$U$23,$Z$23,IF(D75&lt;=$U$24,$Z$24,IF(D75&lt;=$U$25,$Z$25,IF(D75&lt;=$U$26,$Z$26,IF(D75&lt;=$U$27,$Z$27,IF(D75&lt;=$U$28,$Z$28,IF(D75&lt;=$U$29,$Z$29,IF(D75&lt;=$U$30,$Z$30,0)))))))))))))</f>
      </c>
      <c r="E76" s="5">
        <f>+IF(E75&lt;=$U$18,$Z$18,IF(E75&lt;=$U$19,$Z$19,IF(E75&lt;=$U$20,$Z$20,IF(E75&lt;=$U$21,$Z$21,IF(E75&lt;=$U$22,$Z$22,IF(E75&lt;=$U$23,$Z$23,IF(E75&lt;=$U$24,$Z$24,IF(E75&lt;=$U$25,$Z$25,IF(E75&lt;=$U$26,$Z$26,IF(E75&lt;=$U$27,$Z$27,IF(E75&lt;=$U$28,$Z$28,IF(E75&lt;=$U$29,$Z$29,IF(E75&lt;=$U$30,$Z$30,0)))))))))))))</f>
      </c>
      <c r="F76" s="5">
        <f>+IF(F75&lt;=$U$18,$Z$18,IF(F75&lt;=$U$19,$Z$19,IF(F75&lt;=$U$20,$Z$20,IF(F75&lt;=$U$21,$Z$21,IF(F75&lt;=$U$22,$Z$22,IF(F75&lt;=$U$23,$Z$23,IF(F75&lt;=$U$24,$Z$24,IF(F75&lt;=$U$25,$Z$25,IF(F75&lt;=$U$26,$Z$26,IF(F75&lt;=$U$27,$Z$27,IF(F75&lt;=$U$28,$Z$28,IF(F75&lt;=$U$29,$Z$29,IF(F75&lt;=$U$30,$Z$30,0)))))))))))))</f>
      </c>
      <c r="G76" s="5">
        <f>+IF(G75&lt;=$U$18,$Z$18,IF(G75&lt;=$U$19,$Z$19,IF(G75&lt;=$U$20,$Z$20,IF(G75&lt;=$U$21,$Z$21,IF(G75&lt;=$U$22,$Z$22,IF(G75&lt;=$U$23,$Z$23,IF(G75&lt;=$U$24,$Z$24,IF(G75&lt;=$U$25,$Z$25,IF(G75&lt;=$U$26,$Z$26,IF(G75&lt;=$U$27,$Z$27,IF(G75&lt;=$U$28,$Z$28,IF(G75&lt;=$U$29,$Z$29,IF(G75&lt;=$U$30,$Z$30,0)))))))))))))</f>
      </c>
      <c r="H76" s="5">
        <f>+IF(H75&lt;=$U$18,$Z$18,IF(H75&lt;=$U$19,$Z$19,IF(H75&lt;=$U$20,$Z$20,IF(H75&lt;=$U$21,$Z$21,IF(H75&lt;=$U$22,$Z$22,IF(H75&lt;=$U$23,$Z$23,IF(H75&lt;=$U$24,$Z$24,IF(H75&lt;=$U$25,$Z$25,IF(H75&lt;=$U$26,$Z$26,IF(H75&lt;=$U$27,$Z$27,IF(H75&lt;=$U$28,$Z$28,IF(H75&lt;=$U$29,$Z$29,IF(H75&lt;=$U$30,$Z$30,0)))))))))))))</f>
      </c>
      <c r="I76" s="5">
        <f>+IF(I75&lt;=$U$18,$Z$18,IF(I75&lt;=$U$19,$Z$19,IF(I75&lt;=$U$20,$Z$20,IF(I75&lt;=$U$21,$Z$21,IF(I75&lt;=$U$22,$Z$22,IF(I75&lt;=$U$23,$Z$23,IF(I75&lt;=$U$24,$Z$24,IF(I75&lt;=$U$25,$Z$25,IF(I75&lt;=$U$26,$Z$26,IF(I75&lt;=$U$27,$Z$27,IF(I75&lt;=$U$28,$Z$28,IF(I75&lt;=$U$29,$Z$29,IF(I75&lt;=$U$30,$Z$30,0)))))))))))))</f>
      </c>
      <c r="J76" s="5">
        <f>+IF(J75&lt;=$U$18,$Z$18,IF(J75&lt;=$U$19,$Z$19,IF(J75&lt;=$U$20,$Z$20,IF(J75&lt;=$U$21,$Z$21,IF(J75&lt;=$U$22,$Z$22,IF(J75&lt;=$U$23,$Z$23,IF(J75&lt;=$U$24,$Z$24,IF(J75&lt;=$U$25,$Z$25,IF(J75&lt;=$U$26,$Z$26,IF(J75&lt;=$U$27,$Z$27,IF(J75&lt;=$U$28,$Z$28,IF(J75&lt;=$U$29,$Z$29,IF(J75&lt;=$U$30,$Z$30,0)))))))))))))</f>
      </c>
    </row>
  </sheetData>
  <mergeCells count="35">
    <mergeCell ref="A30:B30"/>
    <mergeCell ref="A8:A9"/>
    <mergeCell ref="A10:A11"/>
    <mergeCell ref="A13:B13"/>
    <mergeCell ref="A14:A16"/>
    <mergeCell ref="A17:A21"/>
    <mergeCell ref="A22:A25"/>
    <mergeCell ref="A26:B26"/>
    <mergeCell ref="A27:B27"/>
    <mergeCell ref="A28:B28"/>
    <mergeCell ref="A29:B29"/>
    <mergeCell ref="A47:B47"/>
    <mergeCell ref="A31:B31"/>
    <mergeCell ref="A32:B32"/>
    <mergeCell ref="A33:B33"/>
    <mergeCell ref="A34:B34"/>
    <mergeCell ref="A35:B35"/>
    <mergeCell ref="A36:A37"/>
    <mergeCell ref="A38:A39"/>
    <mergeCell ref="A40:B40"/>
    <mergeCell ref="A44:B44"/>
    <mergeCell ref="A45:B45"/>
    <mergeCell ref="A46:B46"/>
    <mergeCell ref="A61:B61"/>
    <mergeCell ref="A48:B48"/>
    <mergeCell ref="A49:B49"/>
    <mergeCell ref="A50:B50"/>
    <mergeCell ref="A51:B51"/>
    <mergeCell ref="A54:B54"/>
    <mergeCell ref="A55:B55"/>
    <mergeCell ref="A56:B56"/>
    <mergeCell ref="A57:B57"/>
    <mergeCell ref="A58:B58"/>
    <mergeCell ref="A59:B59"/>
    <mergeCell ref="A60:B60"/>
  </mergeCells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ED691-14F5-4A8E-893C-B7BE5E9344BB}">
  <dimension ref="A1:Y35"/>
  <sheetViews>
    <sheetView topLeftCell="D1" zoomScale="76" workbookViewId="0">
      <selection activeCell="X18" sqref="X18"/>
    </sheetView>
  </sheetViews>
  <sheetFormatPr defaultColWidth="9" defaultRowHeight="18.75" x14ac:dyDescent="0.4"/>
  <cols>
    <col min="1" max="1" width="41.75" style="29" customWidth="1"/>
    <col min="2" max="2" width="3" style="5" customWidth="1"/>
    <col min="3" max="6" width="26.125" style="5" customWidth="1"/>
    <col min="7" max="17" width="9" style="5"/>
    <col min="18" max="18" width="10.875" style="5" bestFit="1" customWidth="1"/>
    <col min="19" max="19" width="9" style="5"/>
    <col min="20" max="27" width="14.875" style="5" customWidth="1"/>
    <col min="28" max="16384" width="9" style="5"/>
  </cols>
  <sheetData>
    <row r="1" spans="1:25" x14ac:dyDescent="0.4">
      <c r="E1" s="81" t="s">
        <v>171</v>
      </c>
      <c r="F1" s="81">
        <v>0.6</v>
      </c>
    </row>
    <row r="3" spans="1:25" x14ac:dyDescent="0.4">
      <c r="A3" s="82" t="s">
        <v>86</v>
      </c>
      <c r="B3" s="82"/>
      <c r="C3" s="83" t="s">
        <v>80</v>
      </c>
      <c r="D3" s="84" t="s">
        <v>81</v>
      </c>
      <c r="E3" s="84" t="s">
        <v>82</v>
      </c>
      <c r="F3" s="84"/>
    </row>
    <row r="4" spans="1:25" x14ac:dyDescent="0.4">
      <c r="A4" s="85" t="s">
        <v>166</v>
      </c>
      <c r="B4" s="7"/>
      <c r="C4" s="86">
        <f>+'SIM1_SNS予算30万円'!D24</f>
      </c>
      <c r="D4" s="28">
        <f>+'SIM1_SNS予算30万円'!G51</f>
      </c>
      <c r="E4" s="28">
        <f>+'SIM1_SNS予算30万円'!J51</f>
      </c>
      <c r="F4" s="28"/>
    </row>
    <row r="5" spans="1:25" x14ac:dyDescent="0.4">
      <c r="A5" s="85" t="s">
        <v>167</v>
      </c>
      <c r="B5" s="7"/>
      <c r="C5" s="86">
        <f>+'SIM1_SNS予算30万円'!D25</f>
      </c>
      <c r="D5" s="28">
        <f>+'SIM1_SNS予算30万円'!G61</f>
      </c>
      <c r="E5" s="28">
        <f>+'SIM1_SNS予算30万円'!J61</f>
      </c>
      <c r="F5" s="27"/>
    </row>
    <row r="6" spans="1:25" x14ac:dyDescent="0.4">
      <c r="A6" s="85" t="s">
        <v>83</v>
      </c>
      <c r="B6" s="7"/>
      <c r="C6" s="117">
        <f>+'SIM1_SNS予算30万円'!D28</f>
      </c>
      <c r="D6" s="87">
        <f>+'SIM1_SNS予算30万円'!G28</f>
      </c>
      <c r="E6" s="87">
        <f>+'SIM1_SNS予算30万円'!J28</f>
      </c>
      <c r="F6" s="10"/>
    </row>
    <row r="7" spans="1:25" x14ac:dyDescent="0.4">
      <c r="A7" s="85" t="s">
        <v>84</v>
      </c>
      <c r="B7" s="7"/>
      <c r="C7" s="88">
        <f>+'SIM1_SNS予算30万円'!D27</f>
      </c>
      <c r="D7" s="89">
        <f>+'SIM1_SNS予算30万円'!G27</f>
      </c>
      <c r="E7" s="89">
        <f>+'SIM1_SNS予算30万円'!J27</f>
      </c>
      <c r="F7" s="89"/>
    </row>
    <row r="8" spans="1:25" x14ac:dyDescent="0.4">
      <c r="A8" s="85" t="s">
        <v>85</v>
      </c>
      <c r="B8" s="7"/>
      <c r="C8" s="117">
        <f>+'SIM1_SNS予算30万円'!D29</f>
      </c>
      <c r="D8" s="10">
        <f>+'SIM1_SNS予算30万円'!G29</f>
      </c>
      <c r="E8" s="10">
        <f>+'SIM1_SNS予算30万円'!J29</f>
      </c>
      <c r="F8" s="10"/>
    </row>
    <row r="9" spans="1:25" x14ac:dyDescent="0.4">
      <c r="A9" s="85"/>
      <c r="B9" s="7"/>
      <c r="C9" s="7"/>
      <c r="D9" s="7"/>
      <c r="E9" s="7"/>
      <c r="F9" s="7"/>
    </row>
    <row r="10" spans="1:25" x14ac:dyDescent="0.4">
      <c r="A10" s="85" t="s">
        <v>89</v>
      </c>
      <c r="B10" s="7"/>
      <c r="C10" s="117">
        <f>+'SIM1_SNS予算30万円'!D34</f>
      </c>
      <c r="D10" s="10">
        <f>+'SIM1_SNS予算30万円'!G34</f>
      </c>
      <c r="E10" s="10">
        <f>+'SIM1_SNS予算30万円'!J34</f>
      </c>
      <c r="F10" s="10"/>
    </row>
    <row r="11" spans="1:25" x14ac:dyDescent="0.4">
      <c r="A11" s="85" t="s">
        <v>90</v>
      </c>
      <c r="B11" s="7"/>
      <c r="C11" s="117">
        <f>+'SIM1_SNS予算30万円'!D35</f>
      </c>
      <c r="D11" s="10">
        <f>+'SIM1_SNS予算30万円'!G35</f>
      </c>
      <c r="E11" s="10">
        <f>+'SIM1_SNS予算30万円'!J35</f>
      </c>
      <c r="F11" s="10"/>
    </row>
    <row r="12" spans="1:25" x14ac:dyDescent="0.4">
      <c r="A12" s="85" t="s">
        <v>174</v>
      </c>
      <c r="B12" s="7"/>
      <c r="C12" s="28">
        <f>+IFERROR(C5/C11,0)</f>
      </c>
      <c r="D12" s="28">
        <f>+D4/D11</f>
      </c>
      <c r="E12" s="28">
        <f t="shared" ref="E12" si="0">+E4/E11</f>
      </c>
      <c r="F12" s="28"/>
    </row>
    <row r="13" spans="1:25" x14ac:dyDescent="0.4">
      <c r="A13" s="85" t="s">
        <v>175</v>
      </c>
      <c r="B13" s="7"/>
      <c r="C13" s="28">
        <f>+IFERROR(C6/C12,0)</f>
      </c>
      <c r="D13" s="28">
        <f>+D5/D11</f>
      </c>
      <c r="E13" s="28">
        <f t="shared" ref="E13" si="1">+E5/E11</f>
      </c>
      <c r="F13" s="28"/>
    </row>
    <row r="14" spans="1:25" x14ac:dyDescent="0.4">
      <c r="A14" s="85"/>
      <c r="B14" s="7"/>
      <c r="C14" s="7"/>
      <c r="D14" s="7"/>
      <c r="E14" s="7"/>
      <c r="F14" s="7"/>
      <c r="R14" s="29" t="s">
        <v>48</v>
      </c>
    </row>
    <row r="15" spans="1:25" x14ac:dyDescent="0.4">
      <c r="A15" s="85" t="s">
        <v>87</v>
      </c>
      <c r="B15" s="7"/>
      <c r="C15" s="87">
        <f>+'SIM1_SNS予算30万円'!D16</f>
      </c>
      <c r="D15" s="87">
        <f>+'SIM1_SNS予算30万円'!E16</f>
      </c>
      <c r="E15" s="87">
        <f>+'SIM1_SNS予算30万円'!F16</f>
      </c>
      <c r="F15" s="87"/>
      <c r="R15" s="5" t="s">
        <v>59</v>
      </c>
    </row>
    <row r="16" spans="1:25" x14ac:dyDescent="0.4">
      <c r="A16" s="85" t="s">
        <v>88</v>
      </c>
      <c r="B16" s="7"/>
      <c r="C16" s="87">
        <f>SUM(C17:C20)</f>
      </c>
      <c r="D16" s="87">
        <f>SUM(D17:D20)</f>
      </c>
      <c r="E16" s="87">
        <f>SUM(E17:E20)</f>
      </c>
      <c r="F16" s="87"/>
      <c r="R16" s="5" t="s">
        <v>60</v>
      </c>
      <c r="V16" s="5" t="s">
        <v>61</v>
      </c>
      <c r="Y16" s="35" t="s">
        <v>62</v>
      </c>
    </row>
    <row r="17" spans="1:25" x14ac:dyDescent="0.4">
      <c r="A17" s="85" t="inlineStr">
        <is>
          <t xml:space="preserve">CV①_問い合わせ①（LINEで物件URL送付）</t>
        </is>
      </c>
      <c r="B17" s="7"/>
      <c r="C17" s="87">
        <f>+'SIM1_SNS予算30万円'!D36</f>
      </c>
      <c r="D17" s="87">
        <f>+'SIM1_SNS予算30万円'!G36</f>
      </c>
      <c r="E17" s="87">
        <f>+'SIM1_SNS予算30万円'!J36</f>
      </c>
      <c r="F17" s="10"/>
      <c r="R17" s="5">
        <v>0</v>
      </c>
      <c r="S17" s="5" t="s">
        <v>63</v>
      </c>
      <c r="T17" s="34">
        <v>200000</v>
      </c>
      <c r="V17" s="5">
        <v>0</v>
      </c>
      <c r="W17" s="5" t="s">
        <v>63</v>
      </c>
      <c r="X17" s="34">
        <v>600000</v>
      </c>
      <c r="Y17" s="35">
        <v>3</v>
      </c>
    </row>
    <row r="18" spans="1:25" x14ac:dyDescent="0.4">
      <c r="A18" s="85" t="inlineStr">
        <is>
          <t xml:space="preserve">CV②_問い合わせ②（配信経由）</t>
        </is>
      </c>
      <c r="B18" s="7"/>
      <c r="C18" s="87">
        <f>+'SIM1_SNS予算30万円'!D37</f>
      </c>
      <c r="D18" s="87">
        <f>+'SIM1_SNS予算30万円'!G37</f>
      </c>
      <c r="E18" s="87">
        <f>+'SIM1_SNS予算30万円'!J37</f>
      </c>
      <c r="F18" s="10"/>
      <c r="R18" s="34">
        <v>200000</v>
      </c>
      <c r="S18" s="5" t="s">
        <v>63</v>
      </c>
      <c r="T18" s="34">
        <v>15000000</v>
      </c>
      <c r="V18" s="34">
        <v>600000</v>
      </c>
      <c r="W18" s="5" t="s">
        <v>63</v>
      </c>
      <c r="X18" s="34">
        <f>+T18*2.5</f>
      </c>
      <c r="Y18" s="35">
        <v>2.5</v>
      </c>
    </row>
    <row r="19" spans="1:25" x14ac:dyDescent="0.4">
      <c r="A19" s="85" t="s">
        <v>94</v>
      </c>
      <c r="B19" s="7"/>
      <c r="C19" s="87">
        <f>+'SIM1_SNS予算30万円'!D38</f>
      </c>
      <c r="D19" s="87">
        <f>+'SIM1_SNS予算30万円'!G38</f>
      </c>
      <c r="E19" s="87">
        <f>+'SIM1_SNS予算30万円'!J38</f>
      </c>
      <c r="F19" s="10"/>
      <c r="R19" s="34"/>
      <c r="T19" s="34"/>
      <c r="V19" s="34"/>
      <c r="X19" s="34"/>
      <c r="Y19" s="35"/>
    </row>
    <row r="20" spans="1:25" x14ac:dyDescent="0.4">
      <c r="A20" s="85" t="s">
        <v>93</v>
      </c>
      <c r="B20" s="7"/>
      <c r="C20" s="87">
        <f>+'SIM1_SNS予算30万円'!D39</f>
      </c>
      <c r="D20" s="87">
        <f>+'SIM1_SNS予算30万円'!G39</f>
      </c>
      <c r="E20" s="87">
        <f>+'SIM1_SNS予算30万円'!J39</f>
      </c>
      <c r="F20" s="10"/>
      <c r="R20" s="34"/>
      <c r="T20" s="34"/>
      <c r="V20" s="34"/>
      <c r="X20" s="34"/>
      <c r="Y20" s="35"/>
    </row>
    <row r="21" spans="1:25" x14ac:dyDescent="0.4">
      <c r="A21" s="85"/>
      <c r="B21" s="7"/>
      <c r="C21" s="7"/>
      <c r="D21" s="7"/>
      <c r="E21" s="7"/>
      <c r="F21" s="7"/>
      <c r="R21" s="34"/>
      <c r="T21" s="34"/>
      <c r="V21" s="34"/>
      <c r="X21" s="34"/>
      <c r="Y21" s="35"/>
    </row>
    <row r="22" spans="1:25" x14ac:dyDescent="0.4">
      <c r="A22" s="85" t="s">
        <v>168</v>
      </c>
      <c r="B22" s="7"/>
      <c r="C22" s="90">
        <f>+IFERROR(C4/C16,"--")</f>
      </c>
      <c r="D22" s="90">
        <f t="shared" ref="D22:E22" si="2">+IFERROR(D4/D16,"--")</f>
      </c>
      <c r="E22" s="90">
        <f t="shared" si="2"/>
      </c>
      <c r="F22" s="90"/>
      <c r="R22" s="34"/>
      <c r="T22" s="34"/>
      <c r="V22" s="34"/>
      <c r="X22" s="34"/>
      <c r="Y22" s="35"/>
    </row>
    <row r="23" spans="1:25" x14ac:dyDescent="0.4">
      <c r="A23" s="85" t="s">
        <v>169</v>
      </c>
      <c r="B23" s="7"/>
      <c r="C23" s="90">
        <f>+IFERROR(C5/C16,"--")</f>
      </c>
      <c r="D23" s="90">
        <f t="shared" ref="D23" si="3">+IFERROR(D5/D16,"--")</f>
      </c>
      <c r="E23" s="90">
        <f t="shared" ref="E23" si="4">+IFERROR(E5/E16,"--")</f>
      </c>
      <c r="F23" s="90"/>
      <c r="R23" s="34"/>
      <c r="T23" s="34"/>
      <c r="V23" s="34"/>
      <c r="X23" s="34"/>
      <c r="Y23" s="35"/>
    </row>
    <row r="24" spans="1:25" x14ac:dyDescent="0.4">
      <c r="A24" s="85"/>
      <c r="B24" s="7"/>
      <c r="C24" s="7"/>
      <c r="D24" s="7"/>
      <c r="E24" s="7"/>
      <c r="F24" s="7"/>
      <c r="R24" s="34"/>
      <c r="T24" s="34"/>
      <c r="V24" s="34"/>
      <c r="X24" s="34"/>
      <c r="Y24" s="35"/>
    </row>
    <row r="25" spans="1:25" x14ac:dyDescent="0.4">
      <c r="A25" s="85" t="s">
        <v>176</v>
      </c>
      <c r="B25" s="7"/>
      <c r="C25" s="10">
        <f>15000+C29*C30</f>
      </c>
      <c r="D25" s="10">
        <f>15000+D29*D30</f>
      </c>
      <c r="E25" s="10">
        <f>15000+E29*E30</f>
      </c>
      <c r="F25" s="10"/>
      <c r="R25" s="34"/>
      <c r="T25" s="34"/>
      <c r="V25" s="34"/>
      <c r="X25" s="34"/>
      <c r="Y25" s="35"/>
    </row>
    <row r="26" spans="1:25" x14ac:dyDescent="0.4">
      <c r="R26" s="34"/>
      <c r="T26" s="34"/>
      <c r="V26" s="34"/>
      <c r="X26" s="34"/>
      <c r="Y26" s="35"/>
    </row>
    <row r="27" spans="1:25" x14ac:dyDescent="0.4">
      <c r="R27" s="34"/>
      <c r="T27" s="34"/>
      <c r="V27" s="34"/>
      <c r="X27" s="34"/>
      <c r="Y27" s="35"/>
    </row>
    <row r="28" spans="1:25" x14ac:dyDescent="0.4">
      <c r="R28" s="34"/>
      <c r="T28" s="34"/>
      <c r="V28" s="34"/>
      <c r="X28" s="34"/>
      <c r="Y28" s="35"/>
    </row>
    <row r="29" spans="1:25" x14ac:dyDescent="0.4">
      <c r="A29" s="29" t="s">
        <v>172</v>
      </c>
      <c r="C29" s="5">
        <f>+IF(C10&lt;=30000,0,C10-30000)</f>
      </c>
      <c r="D29" s="91">
        <f>+IF(D10&lt;=30000,0,D10-30000)</f>
      </c>
      <c r="E29" s="91">
        <f>+IF(E10&lt;=30000,0,E10-30000)</f>
      </c>
      <c r="F29" s="91"/>
      <c r="R29" s="34"/>
      <c r="T29" s="34"/>
      <c r="V29" s="34"/>
      <c r="X29" s="34"/>
      <c r="Y29" s="35"/>
    </row>
    <row r="30" spans="1:25" x14ac:dyDescent="0.4">
      <c r="A30" s="29" t="s">
        <v>170</v>
      </c>
      <c r="C30" s="5">
        <f>+IF(C29&lt;=$T$17,$Y$17,IF(C29&lt;=$T$18,$Y$18,IF(C29&lt;=$T$19,$Y$19,IF(C29&lt;=$T$20,$Y$20,IF(C29&lt;=$T$21,$Y$21,IF(C29&lt;=$T$22,$Y$22,IF(C29&lt;=$T$23,$Y$23,IF(C29&lt;=$T$24,$Y$24,IF(C29&lt;=$T$25,$Y$25,IF(C29&lt;=$T$26,$Y$26,IF(C29&lt;=$T$27,$Y$27,IF(C29&lt;=$T$28,$Y$28,IF(C29&lt;=$T$29,$Y$29,0)))))))))))))</f>
      </c>
      <c r="D30" s="5">
        <f>+IF(D29&lt;=$T$17,$Y$17,IF(D29&lt;=$T$18,$Y$18,IF(D29&lt;=$T$19,$Y$19,IF(D29&lt;=$T$20,$Y$20,IF(D29&lt;=$T$21,$Y$21,IF(D29&lt;=$T$22,$Y$22,IF(D29&lt;=$T$23,$Y$23,IF(D29&lt;=$T$24,$Y$24,IF(D29&lt;=$T$25,$Y$25,IF(D29&lt;=$T$26,$Y$26,IF(D29&lt;=$T$27,$Y$27,IF(D29&lt;=$T$28,$Y$28,IF(D29&lt;=$T$29,$Y$29,0)))))))))))))</f>
      </c>
      <c r="E30" s="5">
        <f>+IF(E29&lt;=$T$17,$Y$17,IF(E29&lt;=$T$18,$Y$18,IF(E29&lt;=$T$19,$Y$19,IF(E29&lt;=$T$20,$Y$20,IF(E29&lt;=$T$21,$Y$21,IF(E29&lt;=$T$22,$Y$22,IF(E29&lt;=$T$23,$Y$23,IF(E29&lt;=$T$24,$Y$24,IF(E29&lt;=$T$25,$Y$25,IF(E29&lt;=$T$26,$Y$26,IF(E29&lt;=$T$27,$Y$27,IF(E29&lt;=$T$28,$Y$28,IF(E29&lt;=$T$29,$Y$29,0)))))))))))))</f>
      </c>
      <c r="R30" s="34"/>
      <c r="T30" s="34"/>
      <c r="V30" s="34"/>
      <c r="X30" s="34"/>
      <c r="Y30" s="35"/>
    </row>
    <row r="31" spans="1:25" x14ac:dyDescent="0.4">
      <c r="R31" s="34"/>
      <c r="T31" s="34"/>
      <c r="V31" s="34"/>
      <c r="Y31" s="35"/>
    </row>
    <row r="35" spans="1:6" x14ac:dyDescent="0.4">
      <c r="A35" s="92" t="s">
        <v>125</v>
      </c>
      <c r="B35" s="92"/>
      <c r="C35" s="93" t="s">
        <v>163</v>
      </c>
      <c r="D35" s="94" t="s">
        <v>164</v>
      </c>
      <c r="E35" s="94" t="s">
        <v>165</v>
      </c>
      <c r="F35" s="94" t="s">
        <v>165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A14B7-1E76-4B86-9C33-BD8F21953694}">
  <dimension ref="A2:J42"/>
  <sheetViews>
    <sheetView workbookViewId="0">
      <selection activeCell="B4" sqref="B4"/>
    </sheetView>
  </sheetViews>
  <sheetFormatPr defaultRowHeight="18.75" x14ac:dyDescent="0.4"/>
  <cols>
    <col min="1" max="1" width="14.25" customWidth="1"/>
    <col min="5" max="5" width="14.25" customWidth="1"/>
  </cols>
  <sheetData>
    <row r="2" spans="1:7" x14ac:dyDescent="0.4">
      <c r="A2" s="59" t="s">
        <v>95</v>
      </c>
      <c r="B2" s="59"/>
      <c r="C2" s="59"/>
      <c r="D2" s="59"/>
      <c r="E2" s="59"/>
      <c r="F2" s="59"/>
      <c r="G2" s="59"/>
    </row>
    <row r="3" spans="1:7" x14ac:dyDescent="0.4">
      <c r="A3" s="54" t="s">
        <v>102</v>
      </c>
    </row>
    <row r="4" spans="1:7" x14ac:dyDescent="0.4">
      <c r="A4" t="s">
        <v>100</v>
      </c>
      <c r="B4" t="s">
        <v>101</v>
      </c>
      <c r="E4">
        <v>1000</v>
      </c>
    </row>
    <row r="5" spans="1:7" x14ac:dyDescent="0.4">
      <c r="A5" t="s">
        <v>43</v>
      </c>
      <c r="B5" s="60">
        <v>8.5000000000000006E-2</v>
      </c>
    </row>
    <row r="6" spans="1:7" x14ac:dyDescent="0.4">
      <c r="A6" t="s">
        <v>104</v>
      </c>
      <c r="B6" s="60">
        <v>0.08</v>
      </c>
    </row>
    <row r="7" spans="1:7" x14ac:dyDescent="0.4">
      <c r="E7">
        <f>+E4*B5*B6</f>
      </c>
    </row>
    <row r="8" spans="1:7" x14ac:dyDescent="0.4">
      <c r="A8" s="54" t="s">
        <v>103</v>
      </c>
    </row>
    <row r="9" spans="1:7" x14ac:dyDescent="0.4">
      <c r="A9" t="s">
        <v>100</v>
      </c>
      <c r="B9" t="s">
        <v>101</v>
      </c>
      <c r="E9">
        <v>1000</v>
      </c>
    </row>
    <row r="10" spans="1:7" x14ac:dyDescent="0.4">
      <c r="A10" t="s">
        <v>43</v>
      </c>
      <c r="B10" s="60">
        <v>5.0000000000000001E-3</v>
      </c>
    </row>
    <row r="11" spans="1:7" x14ac:dyDescent="0.4">
      <c r="A11" t="s">
        <v>104</v>
      </c>
      <c r="B11" s="60">
        <v>0.08</v>
      </c>
    </row>
    <row r="12" spans="1:7" x14ac:dyDescent="0.4">
      <c r="E12">
        <f>+E9*B10*B11</f>
      </c>
    </row>
    <row r="13" spans="1:7" x14ac:dyDescent="0.4">
      <c r="A13" s="54" t="s">
        <v>105</v>
      </c>
      <c r="D13" t="s">
        <v>108</v>
      </c>
    </row>
    <row r="14" spans="1:7" x14ac:dyDescent="0.4">
      <c r="A14" t="s">
        <v>106</v>
      </c>
      <c r="B14" t="s">
        <v>101</v>
      </c>
      <c r="E14">
        <v>1000</v>
      </c>
    </row>
    <row r="15" spans="1:7" x14ac:dyDescent="0.4">
      <c r="A15" t="s">
        <v>43</v>
      </c>
      <c r="B15" s="60">
        <v>0.9</v>
      </c>
      <c r="C15" t="s">
        <v>107</v>
      </c>
    </row>
    <row r="16" spans="1:7" x14ac:dyDescent="0.4">
      <c r="A16" t="s">
        <v>104</v>
      </c>
      <c r="B16" s="60">
        <v>0.35</v>
      </c>
    </row>
    <row r="17" spans="1:10" x14ac:dyDescent="0.4">
      <c r="E17">
        <f>+E14*B15*B16</f>
      </c>
    </row>
    <row r="18" spans="1:10" x14ac:dyDescent="0.4">
      <c r="A18" s="54" t="s">
        <v>109</v>
      </c>
      <c r="D18" t="s">
        <v>108</v>
      </c>
    </row>
    <row r="19" spans="1:10" x14ac:dyDescent="0.4">
      <c r="A19" t="s">
        <v>100</v>
      </c>
      <c r="B19" s="60">
        <v>0.7</v>
      </c>
      <c r="C19" t="s">
        <v>101</v>
      </c>
      <c r="E19">
        <v>1000</v>
      </c>
    </row>
    <row r="20" spans="1:10" x14ac:dyDescent="0.4">
      <c r="A20" t="s">
        <v>43</v>
      </c>
      <c r="B20" s="60">
        <v>1</v>
      </c>
    </row>
    <row r="21" spans="1:10" x14ac:dyDescent="0.4">
      <c r="A21" t="s">
        <v>104</v>
      </c>
      <c r="B21" s="60">
        <v>0.2</v>
      </c>
    </row>
    <row r="22" spans="1:10" x14ac:dyDescent="0.4">
      <c r="E22">
        <f>+E19*B20*B21</f>
      </c>
    </row>
    <row r="23" spans="1:10" x14ac:dyDescent="0.4">
      <c r="A23" s="59" t="s">
        <v>96</v>
      </c>
      <c r="B23" s="59"/>
      <c r="C23" s="59" t="s">
        <v>99</v>
      </c>
      <c r="D23" s="59"/>
      <c r="E23" s="59"/>
      <c r="F23" s="59"/>
      <c r="G23" s="59"/>
      <c r="I23" s="67" t="s">
        <v>115</v>
      </c>
      <c r="J23" s="68"/>
    </row>
    <row r="24" spans="1:10" x14ac:dyDescent="0.4">
      <c r="A24" s="54" t="s">
        <v>97</v>
      </c>
      <c r="I24" s="66">
        <v>1</v>
      </c>
      <c r="J24" t="s">
        <v>116</v>
      </c>
    </row>
    <row r="25" spans="1:10" x14ac:dyDescent="0.4">
      <c r="A25" t="s">
        <v>42</v>
      </c>
      <c r="B25" s="61">
        <v>0.8</v>
      </c>
      <c r="I25" s="66">
        <v>2</v>
      </c>
      <c r="J25" t="s">
        <v>117</v>
      </c>
    </row>
    <row r="26" spans="1:10" x14ac:dyDescent="0.4">
      <c r="A26" t="s">
        <v>43</v>
      </c>
      <c r="B26" s="61">
        <v>0.06</v>
      </c>
      <c r="I26" s="66">
        <v>3</v>
      </c>
      <c r="J26" t="s">
        <v>118</v>
      </c>
    </row>
    <row r="27" spans="1:10" x14ac:dyDescent="0.4">
      <c r="A27" t="s">
        <v>98</v>
      </c>
      <c r="B27" s="61">
        <v>3.0000000000000001E-3</v>
      </c>
      <c r="I27" s="66">
        <v>4</v>
      </c>
      <c r="J27" t="s">
        <v>119</v>
      </c>
    </row>
    <row r="29" spans="1:10" x14ac:dyDescent="0.4">
      <c r="A29" s="54" t="s">
        <v>114</v>
      </c>
      <c r="I29" s="67" t="s">
        <v>120</v>
      </c>
      <c r="J29" s="68"/>
    </row>
    <row r="30" spans="1:10" x14ac:dyDescent="0.4">
      <c r="A30" t="s">
        <v>42</v>
      </c>
      <c r="B30" s="61">
        <v>0.75</v>
      </c>
      <c r="I30" s="66">
        <v>1</v>
      </c>
      <c r="J30" t="s">
        <v>121</v>
      </c>
    </row>
    <row r="31" spans="1:10" x14ac:dyDescent="0.4">
      <c r="A31" t="s">
        <v>43</v>
      </c>
      <c r="B31" s="61">
        <v>0.08</v>
      </c>
      <c r="I31" s="66">
        <v>2</v>
      </c>
      <c r="J31" t="s">
        <v>122</v>
      </c>
    </row>
    <row r="32" spans="1:10" x14ac:dyDescent="0.4">
      <c r="A32" t="s">
        <v>98</v>
      </c>
      <c r="B32" s="61">
        <v>6.0000000000000001E-3</v>
      </c>
      <c r="I32" s="66">
        <v>3</v>
      </c>
      <c r="J32" t="s">
        <v>123</v>
      </c>
    </row>
    <row r="33" spans="1:10" x14ac:dyDescent="0.4">
      <c r="I33" s="66">
        <v>4</v>
      </c>
      <c r="J33" t="s">
        <v>124</v>
      </c>
    </row>
    <row r="34" spans="1:10" x14ac:dyDescent="0.4">
      <c r="A34" s="54" t="s">
        <v>110</v>
      </c>
    </row>
    <row r="35" spans="1:10" x14ac:dyDescent="0.4">
      <c r="A35" t="s">
        <v>42</v>
      </c>
      <c r="B35" s="62" t="s">
        <v>23</v>
      </c>
    </row>
    <row r="36" spans="1:10" x14ac:dyDescent="0.4">
      <c r="A36" t="s">
        <v>43</v>
      </c>
      <c r="B36" s="61">
        <v>0.02</v>
      </c>
    </row>
    <row r="37" spans="1:10" x14ac:dyDescent="0.4">
      <c r="A37" t="s">
        <v>98</v>
      </c>
      <c r="B37" s="61">
        <v>4.0000000000000001E-3</v>
      </c>
    </row>
    <row r="39" spans="1:10" x14ac:dyDescent="0.4">
      <c r="A39" s="54" t="s">
        <v>111</v>
      </c>
      <c r="E39" s="54" t="s">
        <v>112</v>
      </c>
    </row>
    <row r="40" spans="1:10" x14ac:dyDescent="0.4">
      <c r="A40" t="s">
        <v>42</v>
      </c>
      <c r="B40" s="62">
        <v>1</v>
      </c>
      <c r="E40" t="s">
        <v>42</v>
      </c>
      <c r="F40" s="62" t="s">
        <v>23</v>
      </c>
    </row>
    <row r="41" spans="1:10" x14ac:dyDescent="0.4">
      <c r="A41" t="s">
        <v>43</v>
      </c>
      <c r="B41" s="61">
        <v>3.5000000000000003E-2</v>
      </c>
      <c r="E41" t="s">
        <v>113</v>
      </c>
      <c r="F41" s="61">
        <v>0.25</v>
      </c>
    </row>
    <row r="42" spans="1:10" x14ac:dyDescent="0.4">
      <c r="A42" t="s">
        <v>98</v>
      </c>
      <c r="B42" s="61">
        <v>6.0000000000000001E-3</v>
      </c>
      <c r="F42" s="61"/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6BD00-7F15-5F52-BB6F-F38F3A7DE08C}">
  <dimension ref="A2:Z76"/>
  <sheetViews>
    <sheetView zoomScale="55" zoomScaleNormal="55" workbookViewId="0"/>
  </sheetViews>
  <sheetFormatPr defaultColWidth="9" defaultRowHeight="18.75" x14ac:dyDescent="0.4"/>
  <cols>
    <col min="1" max="1" width="19.375" style="5" customWidth="1"/>
    <col min="2" max="2" width="29.25" style="5" customWidth="1"/>
    <col min="3" max="12" width="20" style="5" customWidth="1"/>
    <col min="13" max="13" width="2.625" style="5" customWidth="1"/>
    <col min="14" max="14" width="44.5" style="69" customWidth="1"/>
    <col min="15" max="17" width="24.125" style="5" customWidth="1"/>
    <col min="18" max="18" width="2.875" style="5" customWidth="1"/>
    <col min="19" max="19" width="12.125" style="5" customWidth="1"/>
    <col min="20" max="20" width="2.625" style="5" bestFit="1" customWidth="1"/>
    <col min="21" max="21" width="12.125" style="5" customWidth="1"/>
    <col min="22" max="22" width="2.875" style="5" customWidth="1"/>
    <col min="23" max="23" width="12.125" style="5" customWidth="1"/>
    <col min="24" max="24" width="2.625" style="5" bestFit="1" customWidth="1"/>
    <col min="25" max="25" width="12.125" style="5" customWidth="1"/>
    <col min="26" max="16384" width="9" style="5"/>
  </cols>
  <sheetData>
    <row r="2" spans="1:25" x14ac:dyDescent="0.4">
      <c r="A2" s="156" t="s">
        <v>194</v>
      </c>
      <c r="B2" s="157">
        <v>46269</v>
      </c>
    </row>
    <row r="4" spans="1:25" ht="45.75" customHeight="1" x14ac:dyDescent="0.4">
      <c r="A4" s="56" t="inlineStr">
        <is>
          <t xml:space="preserve">株式会社あらうち御中_LINEOA施策提案【SIM】（SNS予算 100万円／月）</t>
        </is>
      </c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</row>
    <row r="5" spans="1:25" s="2" customFormat="1" ht="22.5" x14ac:dyDescent="0.4">
      <c r="A5" s="1"/>
      <c r="B5" s="1"/>
      <c r="C5" s="1"/>
      <c r="D5" s="1"/>
      <c r="N5" s="55" t="s">
        <v>189</v>
      </c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</row>
    <row r="6" spans="1:25" x14ac:dyDescent="0.4"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</row>
    <row r="7" spans="1:25" ht="19.5" thickBot="1" x14ac:dyDescent="0.45">
      <c r="A7" s="29" t="s">
        <v>50</v>
      </c>
      <c r="B7" s="17" t="s">
        <v>55</v>
      </c>
      <c r="C7" s="17" t="s">
        <v>56</v>
      </c>
      <c r="D7" s="17" t="s">
        <v>57</v>
      </c>
    </row>
    <row r="8" spans="1:25" ht="19.5" thickBot="1" x14ac:dyDescent="0.45">
      <c r="A8" s="130" t="s">
        <v>7</v>
      </c>
      <c r="B8" s="19" t="s">
        <v>8</v>
      </c>
      <c r="C8" s="19" t="inlineStr">
        <is>
          <t xml:space="preserve">問い合わせ①（LINEで物件URL送付）</t>
        </is>
      </c>
      <c r="D8" s="33">
        <v>0</v>
      </c>
      <c r="G8" s="143" t="s">
        <v>67</v>
      </c>
      <c r="H8" s="144">
        <v>1737</v>
      </c>
      <c r="I8" s="145"/>
      <c r="J8" s="145" t="s">
        <v>78</v>
      </c>
      <c r="K8" s="152">
        <v>0</v>
      </c>
      <c r="N8" s="69" t="inlineStr">
        <is>
          <t xml:space="preserve">UU 1,737/月・友だち1,241人（2026-10-09 殿村さん提供）。ターゲット＝都内在住の女性オフィスワーカー</t>
        </is>
      </c>
      <c r="O8" s="35" t="s">
        <v>188</v>
      </c>
    </row>
    <row r="9" spans="1:25" ht="19.5" thickBot="1" x14ac:dyDescent="0.45">
      <c r="A9" s="131"/>
      <c r="B9" s="19" t="s">
        <v>9</v>
      </c>
      <c r="C9" s="38" t="inlineStr">
        <is>
          <t xml:space="preserve">問い合わせ②（配信経由）</t>
        </is>
      </c>
      <c r="D9" s="33">
        <v>0</v>
      </c>
      <c r="G9" s="146" t="s">
        <v>177</v>
      </c>
      <c r="H9" s="147">
        <v>0</v>
      </c>
      <c r="I9" s="148"/>
      <c r="J9" s="139"/>
      <c r="K9" s="140"/>
      <c r="N9" s="155" t="s">
        <v>127</v>
      </c>
      <c r="O9" s="153" t="s">
        <v>187</v>
      </c>
      <c r="P9" s="154" t="b">
        <v>0</v>
      </c>
    </row>
    <row r="10" spans="1:25" x14ac:dyDescent="0.4">
      <c r="A10" s="130" t="s">
        <v>10</v>
      </c>
      <c r="B10" s="19" t="s">
        <v>11</v>
      </c>
      <c r="C10" s="19" t="inlineStr">
        <is>
          <t xml:space="preserve">-</t>
        </is>
      </c>
      <c r="D10" s="33">
        <v>0</v>
      </c>
      <c r="G10" s="146" t="s">
        <v>144</v>
      </c>
      <c r="H10" s="147">
        <v>0</v>
      </c>
      <c r="I10" s="148" t="s">
        <v>186</v>
      </c>
      <c r="J10" s="139"/>
      <c r="K10" s="140"/>
      <c r="N10" s="155" t="s">
        <v>128</v>
      </c>
    </row>
    <row r="11" spans="1:25" ht="19.5" thickBot="1" x14ac:dyDescent="0.45">
      <c r="A11" s="131"/>
      <c r="B11" s="19" t="s">
        <v>12</v>
      </c>
      <c r="C11" s="38" t="inlineStr">
        <is>
          <t xml:space="preserve">-</t>
        </is>
      </c>
      <c r="D11" s="33">
        <v>0</v>
      </c>
      <c r="G11" s="149" t="s">
        <v>145</v>
      </c>
      <c r="H11" s="150">
        <v>0</v>
      </c>
      <c r="I11" s="151" t="s">
        <v>185</v>
      </c>
      <c r="J11" s="141"/>
      <c r="K11" s="142"/>
    </row>
    <row r="12" spans="1:25" x14ac:dyDescent="0.4">
      <c r="O12" s="55" t="s">
        <v>79</v>
      </c>
      <c r="P12" s="55"/>
      <c r="Q12" s="55"/>
      <c r="S12" s="55"/>
      <c r="T12" s="55"/>
      <c r="U12" s="55"/>
      <c r="V12" s="55"/>
    </row>
    <row r="13" spans="1:25" x14ac:dyDescent="0.4">
      <c r="A13" s="132" t="s">
        <v>0</v>
      </c>
      <c r="B13" s="132"/>
      <c r="C13" s="95"/>
      <c r="D13" s="13" t="s">
        <v>30</v>
      </c>
      <c r="E13" s="36" t="inlineStr">
        <is>
          <t xml:space="preserve">1か月目</t>
        </is>
      </c>
      <c r="F13" s="36" t="inlineStr">
        <is>
          <t xml:space="preserve">2か月目</t>
        </is>
      </c>
      <c r="G13" s="36" t="inlineStr">
        <is>
          <t xml:space="preserve">3か月目</t>
        </is>
      </c>
      <c r="H13" s="36" t="inlineStr">
        <is>
          <t xml:space="preserve">4か月目</t>
        </is>
      </c>
      <c r="I13" s="36" t="inlineStr">
        <is>
          <t xml:space="preserve">5か月目</t>
        </is>
      </c>
      <c r="J13" s="36" t="inlineStr">
        <is>
          <t xml:space="preserve">6か月目</t>
        </is>
      </c>
      <c r="K13" s="3" t="s">
        <v>1</v>
      </c>
      <c r="L13" s="4" t="s">
        <v>2</v>
      </c>
      <c r="N13" s="71" t="s">
        <v>142</v>
      </c>
      <c r="O13" s="30" t="s">
        <v>44</v>
      </c>
      <c r="P13" s="23"/>
      <c r="Q13" s="23"/>
      <c r="S13" s="23"/>
      <c r="T13" s="23"/>
      <c r="U13" s="23"/>
      <c r="V13" s="23"/>
    </row>
    <row r="14" spans="1:25" ht="19.5" x14ac:dyDescent="0.4">
      <c r="A14" s="133" t="s">
        <v>33</v>
      </c>
      <c r="B14" s="20" t="s">
        <v>37</v>
      </c>
      <c r="C14" s="99"/>
      <c r="D14" s="42">
        <f>+H8</f>
      </c>
      <c r="E14" s="43">
        <f>+D14</f>
      </c>
      <c r="F14" s="43">
        <f t="shared" ref="F14:J14" si="0">+E14</f>
      </c>
      <c r="G14" s="43">
        <f t="shared" si="0"/>
      </c>
      <c r="H14" s="43">
        <f t="shared" si="0"/>
      </c>
      <c r="I14" s="43">
        <f t="shared" si="0"/>
      </c>
      <c r="J14" s="43">
        <f t="shared" si="0"/>
      </c>
      <c r="K14" s="11"/>
      <c r="L14" s="7"/>
    </row>
    <row r="15" spans="1:25" ht="19.5" x14ac:dyDescent="0.4">
      <c r="A15" s="134"/>
      <c r="B15" s="20" t="s">
        <v>36</v>
      </c>
      <c r="C15" s="99"/>
      <c r="D15" s="42">
        <f t="shared" ref="D15" si="1">+H9</f>
      </c>
      <c r="E15" s="43">
        <f t="shared" ref="E15:J16" si="2">+D15</f>
      </c>
      <c r="F15" s="43">
        <f t="shared" si="2"/>
      </c>
      <c r="G15" s="43">
        <f t="shared" si="2"/>
      </c>
      <c r="H15" s="43">
        <f t="shared" si="2"/>
      </c>
      <c r="I15" s="43">
        <f t="shared" si="2"/>
      </c>
      <c r="J15" s="43">
        <f t="shared" si="2"/>
      </c>
      <c r="K15" s="11"/>
      <c r="L15" s="7"/>
      <c r="N15" s="69" t="s">
        <v>193</v>
      </c>
      <c r="O15" s="17" t="s">
        <v>34</v>
      </c>
      <c r="P15" s="79">
        <v>5.0000000000000001E-3</v>
      </c>
      <c r="S15" s="29" t="s">
        <v>48</v>
      </c>
    </row>
    <row r="16" spans="1:25" ht="19.5" x14ac:dyDescent="0.4">
      <c r="A16" s="135"/>
      <c r="B16" s="20" t="s">
        <v>180</v>
      </c>
      <c r="C16" s="99"/>
      <c r="D16" s="42">
        <f>H10</f>
      </c>
      <c r="E16" s="43">
        <f t="shared" si="2"/>
      </c>
      <c r="F16" s="43">
        <f t="shared" si="2"/>
      </c>
      <c r="G16" s="43">
        <f t="shared" si="2"/>
      </c>
      <c r="H16" s="43">
        <f t="shared" si="2"/>
      </c>
      <c r="I16" s="43">
        <f t="shared" si="2"/>
      </c>
      <c r="J16" s="43">
        <f t="shared" si="2"/>
      </c>
      <c r="K16" s="11"/>
      <c r="L16" s="7"/>
      <c r="N16" s="69" t="s">
        <v>192</v>
      </c>
      <c r="O16" s="17" t="s">
        <v>35</v>
      </c>
      <c r="P16" s="79">
        <v>2.5000000000000001E-3</v>
      </c>
      <c r="S16" s="5" t="s">
        <v>59</v>
      </c>
    </row>
    <row r="17" spans="1:26" x14ac:dyDescent="0.4">
      <c r="A17" s="133" t="s">
        <v>3</v>
      </c>
      <c r="B17" s="8" t="s">
        <v>4</v>
      </c>
      <c r="C17" s="100"/>
      <c r="D17" s="58" t="b">
        <v>0</v>
      </c>
      <c r="E17" s="57" t="b">
        <v>1</v>
      </c>
      <c r="F17" s="57" t="b">
        <v>1</v>
      </c>
      <c r="G17" s="57" t="b">
        <v>1</v>
      </c>
      <c r="H17" s="57" t="b">
        <v>1</v>
      </c>
      <c r="I17" s="57" t="b">
        <v>1</v>
      </c>
      <c r="J17" s="57" t="b">
        <v>1</v>
      </c>
      <c r="K17" s="14" t="s">
        <v>23</v>
      </c>
      <c r="L17" s="9" t="s">
        <v>23</v>
      </c>
      <c r="S17" s="5" t="s">
        <v>60</v>
      </c>
      <c r="W17" s="5" t="s">
        <v>61</v>
      </c>
      <c r="Z17" s="35" t="s">
        <v>62</v>
      </c>
    </row>
    <row r="18" spans="1:26" x14ac:dyDescent="0.4">
      <c r="A18" s="134"/>
      <c r="B18" s="8" t="s">
        <v>5</v>
      </c>
      <c r="C18" s="100"/>
      <c r="D18" s="58" t="b">
        <v>0</v>
      </c>
      <c r="E18" s="57" t="b">
        <v>0</v>
      </c>
      <c r="F18" s="57" t="b">
        <v>0</v>
      </c>
      <c r="G18" s="57" t="b">
        <v>0</v>
      </c>
      <c r="H18" s="57" t="b">
        <v>0</v>
      </c>
      <c r="I18" s="57" t="b">
        <v>0</v>
      </c>
      <c r="J18" s="57" t="b">
        <v>0</v>
      </c>
      <c r="K18" s="14" t="s">
        <v>23</v>
      </c>
      <c r="L18" s="9" t="s">
        <v>23</v>
      </c>
      <c r="N18" s="69" t="s">
        <v>191</v>
      </c>
      <c r="O18" s="22" t="s">
        <v>40</v>
      </c>
      <c r="P18" s="78">
        <v>0.65</v>
      </c>
      <c r="S18" s="5">
        <v>0</v>
      </c>
      <c r="T18" s="5" t="s">
        <v>63</v>
      </c>
      <c r="U18" s="34">
        <v>200000</v>
      </c>
      <c r="W18" s="5">
        <v>0</v>
      </c>
      <c r="X18" s="5" t="s">
        <v>63</v>
      </c>
      <c r="Y18" s="34">
        <v>600000</v>
      </c>
      <c r="Z18" s="35">
        <v>3</v>
      </c>
    </row>
    <row r="19" spans="1:26" x14ac:dyDescent="0.4">
      <c r="A19" s="134"/>
      <c r="B19" s="8" t="s">
        <v>131</v>
      </c>
      <c r="C19" s="100"/>
      <c r="D19" s="58" t="b">
        <v>0</v>
      </c>
      <c r="E19" s="57" t="b">
        <v>0</v>
      </c>
      <c r="F19" s="57" t="b">
        <v>0</v>
      </c>
      <c r="G19" s="57" t="b">
        <v>0</v>
      </c>
      <c r="H19" s="57" t="b">
        <v>0</v>
      </c>
      <c r="I19" s="57" t="b">
        <v>0</v>
      </c>
      <c r="J19" s="57" t="b">
        <v>0</v>
      </c>
      <c r="K19" s="14"/>
      <c r="L19" s="9"/>
      <c r="N19" s="69" t="s">
        <v>191</v>
      </c>
      <c r="O19" s="22" t="s">
        <v>41</v>
      </c>
      <c r="P19" s="78">
        <v>0.55000000000000004</v>
      </c>
      <c r="S19" s="34">
        <v>200000</v>
      </c>
      <c r="T19" s="5" t="s">
        <v>63</v>
      </c>
      <c r="U19" s="34">
        <v>15000000</v>
      </c>
      <c r="W19" s="34">
        <v>600000</v>
      </c>
      <c r="X19" s="5" t="s">
        <v>63</v>
      </c>
      <c r="Y19" s="34">
        <f>+U19*2.5</f>
      </c>
      <c r="Z19" s="35">
        <v>2.5</v>
      </c>
    </row>
    <row r="20" spans="1:26" x14ac:dyDescent="0.4">
      <c r="A20" s="134"/>
      <c r="B20" s="8" t="s">
        <v>129</v>
      </c>
      <c r="C20" s="100"/>
      <c r="D20" s="58" t="b">
        <v>0</v>
      </c>
      <c r="E20" s="57" t="b">
        <v>0</v>
      </c>
      <c r="F20" s="57" t="b">
        <v>0</v>
      </c>
      <c r="G20" s="57" t="b">
        <v>0</v>
      </c>
      <c r="H20" s="57" t="b">
        <v>0</v>
      </c>
      <c r="I20" s="57" t="b">
        <v>0</v>
      </c>
      <c r="J20" s="57" t="b">
        <v>0</v>
      </c>
      <c r="K20" s="14"/>
      <c r="L20" s="9"/>
      <c r="S20" s="34"/>
      <c r="U20" s="34"/>
      <c r="W20" s="34"/>
      <c r="Y20" s="34"/>
      <c r="Z20" s="35"/>
    </row>
    <row r="21" spans="1:26" x14ac:dyDescent="0.4">
      <c r="A21" s="135"/>
      <c r="B21" s="8" t="s">
        <v>130</v>
      </c>
      <c r="C21" s="100"/>
      <c r="D21" s="58" t="b">
        <v>0</v>
      </c>
      <c r="E21" s="57" t="b">
        <v>0</v>
      </c>
      <c r="F21" s="57" t="b">
        <v>0</v>
      </c>
      <c r="G21" s="57" t="b">
        <v>0</v>
      </c>
      <c r="H21" s="57" t="b">
        <v>0</v>
      </c>
      <c r="I21" s="57" t="b">
        <v>0</v>
      </c>
      <c r="J21" s="57" t="b">
        <v>0</v>
      </c>
      <c r="K21" s="14" t="s">
        <v>23</v>
      </c>
      <c r="L21" s="9" t="s">
        <v>23</v>
      </c>
      <c r="O21" s="25" t="s">
        <v>46</v>
      </c>
      <c r="P21" s="26"/>
      <c r="S21" s="34"/>
      <c r="U21" s="34"/>
      <c r="W21" s="34"/>
      <c r="Y21" s="34"/>
      <c r="Z21" s="35"/>
    </row>
    <row r="22" spans="1:26" ht="18.75" customHeight="1" x14ac:dyDescent="0.4">
      <c r="A22" s="136" t="s">
        <v>13</v>
      </c>
      <c r="B22" s="6" t="s">
        <v>4</v>
      </c>
      <c r="C22" s="17"/>
      <c r="D22" s="44" t="s">
        <v>22</v>
      </c>
      <c r="E22" s="63">
        <f>IF(E17=FALSE,0,E71/$P$30)</f>
      </c>
      <c r="F22" s="63">
        <f>IF(F17=FALSE,0,F71/$P$30)</f>
      </c>
      <c r="G22" s="63">
        <f>IF(G17=FALSE,0,G71/$P$30)</f>
      </c>
      <c r="H22" s="63">
        <f>IF(H17=FALSE,0,H71/$P$30)</f>
      </c>
      <c r="I22" s="63">
        <f>IF(I17=FALSE,0,I71/$P$30)</f>
      </c>
      <c r="J22" s="63">
        <f>IF(J17=FALSE,0,J71/$P$30)</f>
      </c>
      <c r="K22" s="11"/>
      <c r="L22" s="7"/>
      <c r="N22" s="69" t="inlineStr">
        <is>
          <t xml:space="preserve">CPF：SNS予算÷300円/人（LINE友だち追加広告・仮置き。LINEヤフー公式事例UZUZの約300円）</t>
        </is>
      </c>
      <c r="O22" s="17" t="s">
        <v>42</v>
      </c>
      <c r="P22" s="24">
        <v>0.78</v>
      </c>
      <c r="S22" s="34"/>
      <c r="U22" s="34"/>
      <c r="W22" s="34"/>
      <c r="Y22" s="34"/>
      <c r="Z22" s="35"/>
    </row>
    <row r="23" spans="1:26" ht="19.5" x14ac:dyDescent="0.4">
      <c r="A23" s="134"/>
      <c r="B23" s="6" t="s">
        <v>5</v>
      </c>
      <c r="C23" s="17"/>
      <c r="D23" s="44" t="s">
        <v>22</v>
      </c>
      <c r="E23" s="46">
        <f>IF(E18=FALSE,0,E15*$P$18*0.08*0.08+(E14-E15)*$P$19*0.12*0.12)</f>
      </c>
      <c r="F23" s="46">
        <f>IF(F18=FALSE,0,F15*$P$18*0.08*0.08+(F14-F15)*$P$19*0.12*0.12)</f>
      </c>
      <c r="G23" s="63">
        <f t="shared" ref="G23:J24" si="4">F23*1.01</f>
      </c>
      <c r="H23" s="63">
        <f t="shared" si="4"/>
      </c>
      <c r="I23" s="63">
        <f t="shared" si="4"/>
      </c>
      <c r="J23" s="63">
        <f t="shared" si="4"/>
      </c>
      <c r="K23" s="11"/>
      <c r="L23" s="7"/>
      <c r="N23" s="69" t="inlineStr">
        <is>
          <t xml:space="preserve">離脱防止はOFF：UU1,737では月14人・約2,200円/人でCPF（300円）より割高</t>
        </is>
      </c>
      <c r="O23" s="17" t="s">
        <v>43</v>
      </c>
      <c r="P23" s="24">
        <v>0.1</v>
      </c>
      <c r="Q23" s="5" t="s">
        <v>136</v>
      </c>
      <c r="S23" s="34"/>
      <c r="U23" s="34"/>
      <c r="W23" s="34"/>
      <c r="Y23" s="34"/>
      <c r="Z23" s="35"/>
    </row>
    <row r="24" spans="1:26" ht="19.5" x14ac:dyDescent="0.4">
      <c r="A24" s="134"/>
      <c r="B24" s="6" t="s">
        <v>131</v>
      </c>
      <c r="C24" s="17"/>
      <c r="D24" s="44" t="s">
        <v>22</v>
      </c>
      <c r="E24" s="46">
        <f>+IF(E19=FALSE,0,SUM(H10:H11)*0.15)</f>
      </c>
      <c r="F24" s="63">
        <f>E24*1.01</f>
      </c>
      <c r="G24" s="63">
        <f t="shared" si="4"/>
      </c>
      <c r="H24" s="63">
        <f t="shared" si="4"/>
      </c>
      <c r="I24" s="63">
        <f t="shared" si="4"/>
      </c>
      <c r="J24" s="63">
        <f t="shared" si="4"/>
      </c>
      <c r="K24" s="11"/>
      <c r="L24" s="7"/>
      <c r="N24" s="69" t="s">
        <v>140</v>
      </c>
      <c r="O24" s="22" t="s">
        <v>45</v>
      </c>
      <c r="P24" s="77">
        <v>0.8</v>
      </c>
      <c r="Q24" s="70">
        <v>0.8</v>
      </c>
      <c r="S24" s="34"/>
      <c r="U24" s="34"/>
      <c r="W24" s="34"/>
      <c r="Y24" s="34"/>
      <c r="Z24" s="35"/>
    </row>
    <row r="25" spans="1:26" ht="19.5" x14ac:dyDescent="0.4">
      <c r="A25" s="135"/>
      <c r="B25" s="6" t="s">
        <v>70</v>
      </c>
      <c r="C25" s="17"/>
      <c r="D25" s="44" t="s">
        <v>22</v>
      </c>
      <c r="E25" s="46">
        <f>+IF(E20=FALSE,0,SUM($H$10:$H$11)*0.7*0.3)+IF($E$21=FALSE,0,$K$8*0.15*0.15)</f>
      </c>
      <c r="F25" s="46">
        <f t="shared" ref="F25:J25" si="5">+IF(F20=FALSE,0,SUM($H$10:$H$11)*0.7*0.3)+IF($E$21=FALSE,0,$K$8*0.15*0.15)</f>
      </c>
      <c r="G25" s="46">
        <f t="shared" si="5"/>
      </c>
      <c r="H25" s="46">
        <f t="shared" si="5"/>
      </c>
      <c r="I25" s="46">
        <f t="shared" si="5"/>
      </c>
      <c r="J25" s="46">
        <f t="shared" si="5"/>
      </c>
      <c r="K25" s="11"/>
      <c r="L25" s="7"/>
      <c r="N25" s="69" t="s">
        <v>141</v>
      </c>
      <c r="O25" s="25" t="s">
        <v>47</v>
      </c>
      <c r="P25" s="26"/>
      <c r="S25" s="34"/>
      <c r="U25" s="34"/>
      <c r="W25" s="34"/>
      <c r="Y25" s="34"/>
      <c r="Z25" s="35"/>
    </row>
    <row r="26" spans="1:26" ht="19.5" x14ac:dyDescent="0.4">
      <c r="A26" s="120" t="s">
        <v>17</v>
      </c>
      <c r="B26" s="121"/>
      <c r="C26" s="23"/>
      <c r="D26" s="44" t="s">
        <v>22</v>
      </c>
      <c r="E26" s="46">
        <f>+SUM(E22:E25)+$H$9*$P$16+($H$8-$H$9)*$P$15+IF(P9=FALSE,0,$K$8*0.15*0.08)</f>
      </c>
      <c r="F26" s="46">
        <f t="shared" ref="F26:J26" si="6">+SUM(F22:F25)+$H$9*$P$16+($H$8-$H$9)*$P$15</f>
      </c>
      <c r="G26" s="46">
        <f>+SUM(G22:G25)+$H$9*$P$16+($H$8-$H$9)*$P$15</f>
      </c>
      <c r="H26" s="46">
        <f t="shared" si="6"/>
      </c>
      <c r="I26" s="46">
        <f t="shared" si="6"/>
      </c>
      <c r="J26" s="46">
        <f t="shared" si="6"/>
      </c>
      <c r="K26" s="11"/>
      <c r="L26" s="7"/>
      <c r="N26" s="72" t="s">
        <v>143</v>
      </c>
      <c r="O26" s="17" t="s">
        <v>42</v>
      </c>
      <c r="P26" s="24">
        <v>0.72499999999999998</v>
      </c>
      <c r="S26" s="34"/>
      <c r="U26" s="34"/>
      <c r="W26" s="34"/>
      <c r="Y26" s="34"/>
      <c r="Z26" s="35"/>
    </row>
    <row r="27" spans="1:26" ht="19.5" x14ac:dyDescent="0.4">
      <c r="A27" s="120" t="s">
        <v>16</v>
      </c>
      <c r="B27" s="121"/>
      <c r="C27" s="23"/>
      <c r="D27" s="107">
        <v>0.35</v>
      </c>
      <c r="E27" s="47">
        <v>0.412</v>
      </c>
      <c r="F27" s="47">
        <f>ROUND(E27*1.015,3)</f>
      </c>
      <c r="G27" s="47">
        <f>ROUND(F27*1.015,3)</f>
      </c>
      <c r="H27" s="47">
        <f>ROUND(G27*1.015,3)</f>
      </c>
      <c r="I27" s="47">
        <f>ROUND(H27*1.015,3)</f>
      </c>
      <c r="J27" s="47">
        <f>ROUND(I27*1.015,3)</f>
      </c>
      <c r="K27" s="11"/>
      <c r="L27" s="7"/>
      <c r="N27" t="inlineStr">
        <is>
          <t xml:space="preserve">ブロック率：用済み型（引っ越しが済めば離脱）＋CPF流入で高め。41.2%→月1.5%ずつ上昇（現状35%は仮置き）</t>
        </is>
      </c>
      <c r="O27" s="17" t="s">
        <v>43</v>
      </c>
      <c r="P27" s="24">
        <v>0.12</v>
      </c>
      <c r="Q27" s="5" t="s">
        <v>136</v>
      </c>
      <c r="S27" s="34"/>
      <c r="U27" s="34"/>
      <c r="W27" s="34"/>
      <c r="Y27" s="34"/>
      <c r="Z27" s="35"/>
    </row>
    <row r="28" spans="1:26" ht="19.5" x14ac:dyDescent="0.4">
      <c r="A28" s="137" t="s">
        <v>14</v>
      </c>
      <c r="B28" s="138"/>
      <c r="C28" s="101"/>
      <c r="D28" s="106">
        <v>1241</v>
      </c>
      <c r="E28" s="49">
        <f>+D28+E26</f>
      </c>
      <c r="F28" s="49">
        <f t="shared" ref="F28:J28" si="8">+E28+F26</f>
      </c>
      <c r="G28" s="49">
        <f t="shared" si="8"/>
      </c>
      <c r="H28" s="49">
        <f t="shared" si="8"/>
      </c>
      <c r="I28" s="49">
        <f t="shared" si="8"/>
      </c>
      <c r="J28" s="49">
        <f t="shared" si="8"/>
      </c>
      <c r="K28" s="12"/>
      <c r="L28" s="7"/>
      <c r="O28" s="22" t="s">
        <v>45</v>
      </c>
      <c r="P28" s="77">
        <v>0.2</v>
      </c>
      <c r="Q28" s="70">
        <v>0.8</v>
      </c>
      <c r="S28" s="34"/>
      <c r="U28" s="34"/>
      <c r="W28" s="34"/>
      <c r="Y28" s="34"/>
      <c r="Z28" s="35"/>
    </row>
    <row r="29" spans="1:26" ht="19.5" x14ac:dyDescent="0.4">
      <c r="A29" s="126" t="s">
        <v>15</v>
      </c>
      <c r="B29" s="127"/>
      <c r="C29" s="102"/>
      <c r="D29" s="108">
        <f>+D28*(1-D27)</f>
      </c>
      <c r="E29" s="50">
        <f>+E28*(1-E27)</f>
      </c>
      <c r="F29" s="50">
        <f t="shared" ref="F29:J29" si="9">+F28*(1-F27)</f>
      </c>
      <c r="G29" s="50">
        <f t="shared" si="9"/>
      </c>
      <c r="H29" s="50">
        <f t="shared" si="9"/>
      </c>
      <c r="I29" s="50">
        <f t="shared" si="9"/>
      </c>
      <c r="J29" s="50">
        <f t="shared" si="9"/>
      </c>
      <c r="K29" s="12"/>
      <c r="L29" s="7"/>
      <c r="N29" s="69" t="s">
        <v>159</v>
      </c>
      <c r="S29" s="34"/>
      <c r="U29" s="34"/>
      <c r="W29" s="34"/>
      <c r="Y29" s="34"/>
      <c r="Z29" s="35"/>
    </row>
    <row r="30" spans="1:26" ht="19.5" x14ac:dyDescent="0.4">
      <c r="A30" s="124" t="s">
        <v>24</v>
      </c>
      <c r="B30" s="125"/>
      <c r="C30" s="30"/>
      <c r="D30" s="48">
        <v>0</v>
      </c>
      <c r="E30" s="45">
        <v>4</v>
      </c>
      <c r="F30" s="45">
        <v>4</v>
      </c>
      <c r="G30" s="45">
        <v>4</v>
      </c>
      <c r="H30" s="45">
        <v>4</v>
      </c>
      <c r="I30" s="45">
        <v>4</v>
      </c>
      <c r="J30" s="45">
        <v>4</v>
      </c>
      <c r="K30" s="11"/>
      <c r="L30" s="7"/>
      <c r="N30" s="69" t="s">
        <v>158</v>
      </c>
      <c r="O30" s="17" t="s">
        <v>137</v>
      </c>
      <c r="P30" s="76">
        <v>300</v>
      </c>
      <c r="S30" s="34"/>
      <c r="U30" s="34"/>
      <c r="W30" s="34"/>
      <c r="Y30" s="34"/>
      <c r="Z30" s="35"/>
    </row>
    <row r="31" spans="1:26" ht="19.5" x14ac:dyDescent="0.4">
      <c r="A31" s="120" t="s">
        <v>25</v>
      </c>
      <c r="B31" s="121"/>
      <c r="C31" s="23"/>
      <c r="D31" s="108">
        <f>+D30*D29*0.41*0.07</f>
      </c>
      <c r="E31" s="63">
        <f>+E29*E30*$P$24*$P$22*$P$23*$P$36</f>
      </c>
      <c r="F31" s="63">
        <f>+F29*F30*$P$24*$P$22*$P$23*$P$36</f>
      </c>
      <c r="G31" s="63">
        <f>+G29*G30*$P$24*$P$22*$P$23*$P$36</f>
      </c>
      <c r="H31" s="63">
        <f>+H29*H30*$P$24*$P$22*$P$23*$P$36*$Q$24</f>
      </c>
      <c r="I31" s="63">
        <f>+I29*I30*$P$24*$P$22*$P$23*$P$36*$Q$24</f>
      </c>
      <c r="J31" s="63">
        <f>+J29*J30*$P$24*$P$22*$P$23*$P$36*$Q$24</f>
      </c>
      <c r="K31" s="11"/>
      <c r="L31" s="7"/>
      <c r="S31" s="34"/>
      <c r="U31" s="34"/>
      <c r="W31" s="34"/>
      <c r="Y31" s="34"/>
      <c r="Z31" s="35"/>
    </row>
    <row r="32" spans="1:26" ht="19.5" x14ac:dyDescent="0.4">
      <c r="A32" s="124" t="s">
        <v>31</v>
      </c>
      <c r="B32" s="125"/>
      <c r="C32" s="30"/>
      <c r="D32" s="48">
        <v>0</v>
      </c>
      <c r="E32" s="45">
        <v>10</v>
      </c>
      <c r="F32" s="45">
        <v>10</v>
      </c>
      <c r="G32" s="45">
        <v>10</v>
      </c>
      <c r="H32" s="45">
        <v>10</v>
      </c>
      <c r="I32" s="45">
        <v>10</v>
      </c>
      <c r="J32" s="45">
        <v>10</v>
      </c>
      <c r="K32" s="11"/>
      <c r="L32" s="7"/>
      <c r="N32" s="69" t="s">
        <v>157</v>
      </c>
      <c r="O32" s="17" t="s">
        <v>146</v>
      </c>
      <c r="P32" s="75" t="b">
        <v>1</v>
      </c>
      <c r="Q32" s="73">
        <f>+IF(P32=TRUE,1.1,0.95)</f>
      </c>
      <c r="S32" s="34"/>
      <c r="U32" s="34"/>
      <c r="W32" s="34"/>
      <c r="Z32" s="35"/>
    </row>
    <row r="33" spans="1:17" ht="19.5" x14ac:dyDescent="0.4">
      <c r="A33" s="120" t="s">
        <v>32</v>
      </c>
      <c r="B33" s="121"/>
      <c r="C33" s="23"/>
      <c r="D33" s="44">
        <v>0</v>
      </c>
      <c r="E33" s="63">
        <f>+E29*E32*$P$26*$P$27*$P$28*$P$36</f>
      </c>
      <c r="F33" s="63">
        <f t="shared" ref="F33:G33" si="10">+F29*F32*$P$26*$P$27*$P$28*$P$36</f>
      </c>
      <c r="G33" s="63">
        <f t="shared" si="10"/>
      </c>
      <c r="H33" s="63">
        <f>+H29*H32*$P$26*$P$27*$P$28*$P$36*$Q$28</f>
      </c>
      <c r="I33" s="63">
        <f t="shared" ref="I33:J33" si="11">+I29*I32*$P$26*$P$27*$P$28*$P$36*$Q$28</f>
      </c>
      <c r="J33" s="63">
        <f t="shared" si="11"/>
      </c>
      <c r="K33" s="11"/>
      <c r="L33" s="7"/>
      <c r="O33" s="17" t="s">
        <v>160</v>
      </c>
      <c r="P33" s="75" t="b">
        <v>1</v>
      </c>
      <c r="Q33" s="73">
        <f t="shared" ref="Q33:Q35" si="12">+IF(P33=TRUE,1.1,0.95)</f>
      </c>
    </row>
    <row r="34" spans="1:17" ht="19.5" x14ac:dyDescent="0.4">
      <c r="A34" s="126" t="s">
        <v>27</v>
      </c>
      <c r="B34" s="127"/>
      <c r="C34" s="102"/>
      <c r="D34" s="108">
        <f>+D29*D30</f>
      </c>
      <c r="E34" s="46">
        <f>+E29*E30*$P$24+E29*E32*$P$28</f>
      </c>
      <c r="F34" s="46">
        <f>+F29*F30*$P$24+F29*F32*$P$28</f>
      </c>
      <c r="G34" s="46">
        <f>+G29*G30*$P$24+G29*G32*$P$28</f>
      </c>
      <c r="H34" s="46">
        <f>+H29*H30*$P$24*$Q$24+H29*H32*$P$28*$Q$28</f>
      </c>
      <c r="I34" s="46">
        <f>+I29*I30*$P$24*$Q$24+I29*I32*$P$28*$Q$28</f>
      </c>
      <c r="J34" s="46">
        <f>+J29*J30*$P$24*$Q$24+J29*J32*$P$28*$Q$28</f>
      </c>
      <c r="K34" s="11"/>
      <c r="L34" s="7"/>
      <c r="O34" s="17" t="s">
        <v>161</v>
      </c>
      <c r="P34" s="75" t="b">
        <v>1</v>
      </c>
      <c r="Q34" s="73">
        <f t="shared" si="12"/>
      </c>
    </row>
    <row r="35" spans="1:17" ht="19.5" x14ac:dyDescent="0.4">
      <c r="A35" s="126" t="s">
        <v>26</v>
      </c>
      <c r="B35" s="127"/>
      <c r="C35" s="102"/>
      <c r="D35" s="109">
        <f>+D31*1.02</f>
      </c>
      <c r="E35" s="50">
        <f>+E31+E33+1.05*(E31+E33)</f>
      </c>
      <c r="F35" s="50">
        <f t="shared" ref="F35:J35" si="13">+F31+F33+1.05*(F31+F33)</f>
      </c>
      <c r="G35" s="50">
        <f t="shared" si="13"/>
      </c>
      <c r="H35" s="50">
        <f t="shared" si="13"/>
      </c>
      <c r="I35" s="50">
        <f t="shared" si="13"/>
      </c>
      <c r="J35" s="50">
        <f t="shared" si="13"/>
      </c>
      <c r="K35" s="11"/>
      <c r="L35" s="7"/>
      <c r="O35" s="17" t="s">
        <v>162</v>
      </c>
      <c r="P35" s="75" t="b">
        <v>1</v>
      </c>
      <c r="Q35" s="73">
        <f t="shared" si="12"/>
      </c>
    </row>
    <row r="36" spans="1:17" x14ac:dyDescent="0.4">
      <c r="A36" s="128" t="s">
        <v>7</v>
      </c>
      <c r="B36" s="6">
        <f>+C8</f>
      </c>
      <c r="C36" s="6"/>
      <c r="D36" s="11">
        <v>0</v>
      </c>
      <c r="E36" s="111">
        <f>ROUND(E26*0.25,0)</f>
      </c>
      <c r="F36" s="111">
        <f>ROUND(F26*0.25,0)</f>
      </c>
      <c r="G36" s="111">
        <f>ROUND(G26*0.25,0)</f>
      </c>
      <c r="H36" s="111">
        <f>ROUND(H26*0.25,0)</f>
      </c>
      <c r="I36" s="111">
        <f>ROUND(I26*0.25,0)</f>
      </c>
      <c r="J36" s="111">
        <f>ROUND(J26*0.25,0)</f>
      </c>
      <c r="K36" s="115">
        <f>SUM(E36:J36)</f>
      </c>
      <c r="L36" s="7"/>
      <c r="N36" s="69" t="inlineStr">
        <is>
          <t xml:space="preserve">問い合わせ①＝新規友だち×25%（LINEで物件URLを送る＝問い合わせ。仮置き）</t>
        </is>
      </c>
      <c r="O36" s="17" t="s">
        <v>147</v>
      </c>
      <c r="P36" s="74">
        <f>1*(Q32*Q33*Q34*Q35)</f>
      </c>
      <c r="Q36" s="73"/>
    </row>
    <row r="37" spans="1:17" x14ac:dyDescent="0.4">
      <c r="A37" s="129"/>
      <c r="B37" s="6">
        <f>+C9</f>
      </c>
      <c r="C37" s="6"/>
      <c r="D37" s="11">
        <v>0</v>
      </c>
      <c r="E37" s="111">
        <f>ROUND(E35*0.004,0)</f>
      </c>
      <c r="F37" s="111">
        <f>ROUND(F35*0.005,0)</f>
      </c>
      <c r="G37" s="111">
        <f>ROUND(G35*0.006,0)</f>
      </c>
      <c r="H37" s="111">
        <f>ROUND(H35*0.007,0)</f>
      </c>
      <c r="I37" s="111">
        <f>ROUND(I35*0.008,0)</f>
      </c>
      <c r="J37" s="111">
        <f>ROUND(J35*0.008,0)</f>
      </c>
      <c r="K37" s="115">
        <f>SUM(E37:J37)</f>
      </c>
      <c r="L37" s="7"/>
      <c r="N37" s="69" t="inlineStr">
        <is>
          <t xml:space="preserve">問い合わせ②＝配信クリック×0.4〜0.8%（運用が育つ想定で月ごとに上げる）</t>
        </is>
      </c>
    </row>
    <row r="38" spans="1:17" x14ac:dyDescent="0.4">
      <c r="A38" s="128" t="s">
        <v>10</v>
      </c>
      <c r="B38" s="6">
        <f>+C10</f>
      </c>
      <c r="C38" s="6"/>
      <c r="D38" s="11">
        <v>0</v>
      </c>
      <c r="E38" s="111">
        <v>0</v>
      </c>
      <c r="F38" s="111">
        <v>0</v>
      </c>
      <c r="G38" s="111">
        <v>0</v>
      </c>
      <c r="H38" s="111">
        <v>0</v>
      </c>
      <c r="I38" s="111">
        <v>0</v>
      </c>
      <c r="J38" s="111">
        <v>0</v>
      </c>
      <c r="K38" s="115">
        <f>SUM(E38:J38)</f>
      </c>
      <c r="L38" s="7"/>
      <c r="N38" s="69" t="s">
        <v>135</v>
      </c>
      <c r="O38" s="21" t="s">
        <v>38</v>
      </c>
    </row>
    <row r="39" spans="1:17" x14ac:dyDescent="0.4">
      <c r="A39" s="129"/>
      <c r="B39" s="6">
        <f>+C11</f>
      </c>
      <c r="C39" s="6"/>
      <c r="D39" s="11">
        <v>0</v>
      </c>
      <c r="E39" s="111">
        <v>0</v>
      </c>
      <c r="F39" s="111">
        <v>0</v>
      </c>
      <c r="G39" s="111">
        <v>0</v>
      </c>
      <c r="H39" s="111">
        <v>0</v>
      </c>
      <c r="I39" s="111">
        <v>0</v>
      </c>
      <c r="J39" s="111">
        <v>0</v>
      </c>
      <c r="K39" s="115">
        <f>SUM(E39:J39)</f>
      </c>
      <c r="L39" s="7"/>
      <c r="N39" s="69" t="s">
        <v>135</v>
      </c>
      <c r="O39" s="21" t="s">
        <v>39</v>
      </c>
    </row>
    <row r="40" spans="1:17" x14ac:dyDescent="0.4">
      <c r="A40" s="122" t="s">
        <v>54</v>
      </c>
      <c r="B40" s="123"/>
      <c r="C40" s="97"/>
      <c r="D40" s="11">
        <f t="shared" ref="D40:J40" si="14">+SUM(D36:D39)</f>
      </c>
      <c r="E40" s="10">
        <f t="shared" si="14"/>
      </c>
      <c r="F40" s="10">
        <f t="shared" si="14"/>
      </c>
      <c r="G40" s="10">
        <f t="shared" si="14"/>
      </c>
      <c r="H40" s="10">
        <f t="shared" si="14"/>
      </c>
      <c r="I40" s="10">
        <f t="shared" si="14"/>
      </c>
      <c r="J40" s="10">
        <f t="shared" si="14"/>
      </c>
      <c r="K40" s="115">
        <f>SUM(E40:J40)</f>
      </c>
      <c r="L40" s="7"/>
      <c r="O40" s="17"/>
    </row>
    <row r="41" spans="1:17" x14ac:dyDescent="0.4">
      <c r="B41" s="5" t="s">
        <v>68</v>
      </c>
      <c r="D41" s="18">
        <f t="shared" ref="D41" si="15">+IFERROR(D40/D35,0)</f>
      </c>
      <c r="E41" s="18">
        <f>+IFERROR(E37/E35,0)</f>
      </c>
      <c r="F41" s="18">
        <f>+IFERROR(F37/F35,0)</f>
      </c>
      <c r="G41" s="18">
        <f>+IFERROR(G37/G35,0)</f>
      </c>
      <c r="H41" s="18">
        <f>+IFERROR(H37/H35,0)</f>
      </c>
      <c r="I41" s="18">
        <f>+IFERROR(I37/I35,0)</f>
      </c>
      <c r="J41" s="18">
        <f>+IFERROR(J37/J35,0)</f>
      </c>
      <c r="N41" s="69" t="inlineStr">
        <is>
          <t xml:space="preserve">CVRは②（配信経由）だけで計算。①は友だち追加の直後に物件URLを送る問い合わせで、配信のクリック経由ではない</t>
        </is>
      </c>
    </row>
    <row r="42" spans="1:17" x14ac:dyDescent="0.4">
      <c r="B42" s="29"/>
      <c r="D42" s="18"/>
      <c r="E42" s="116"/>
      <c r="F42" s="116"/>
      <c r="G42" s="116"/>
      <c r="H42" s="116"/>
      <c r="I42" s="116"/>
      <c r="J42" s="116"/>
    </row>
    <row r="43" spans="1:17" x14ac:dyDescent="0.4">
      <c r="A43" s="29" t="s">
        <v>52</v>
      </c>
      <c r="C43" s="5" t="s">
        <v>178</v>
      </c>
      <c r="D43" s="5" t="s">
        <v>179</v>
      </c>
    </row>
    <row r="44" spans="1:17" x14ac:dyDescent="0.4">
      <c r="A44" s="120" t="s">
        <v>28</v>
      </c>
      <c r="B44" s="121"/>
      <c r="C44" s="103"/>
      <c r="D44" s="16" t="s">
        <v>23</v>
      </c>
      <c r="E44" s="31">
        <f>+E75*E76</f>
      </c>
      <c r="F44" s="31">
        <f t="shared" ref="F44:J44" si="17">+F75*F76</f>
      </c>
      <c r="G44" s="31">
        <f t="shared" si="17"/>
      </c>
      <c r="H44" s="31">
        <f t="shared" si="17"/>
      </c>
      <c r="I44" s="31">
        <f t="shared" si="17"/>
      </c>
      <c r="J44" s="31">
        <f t="shared" si="17"/>
      </c>
      <c r="K44" s="11"/>
      <c r="L44" s="7"/>
    </row>
    <row r="45" spans="1:17" x14ac:dyDescent="0.4">
      <c r="A45" s="120" t="s">
        <v>156</v>
      </c>
      <c r="B45" s="121"/>
      <c r="C45" s="104">
        <f>+SUM(C65:C72)</f>
      </c>
      <c r="D45" s="80">
        <f>+SUM(D65:D72)</f>
      </c>
      <c r="E45" s="27">
        <f>SUM(E65:E69)+SUM(E71:E72)</f>
      </c>
      <c r="F45" s="27">
        <f t="shared" ref="F45:J45" si="18">SUM(F65:F69)+SUM(F71:F72)</f>
      </c>
      <c r="G45" s="27">
        <f t="shared" si="18"/>
      </c>
      <c r="H45" s="27">
        <f t="shared" si="18"/>
      </c>
      <c r="I45" s="27">
        <f t="shared" si="18"/>
      </c>
      <c r="J45" s="27">
        <f t="shared" si="18"/>
      </c>
      <c r="K45" s="11"/>
      <c r="L45" s="7"/>
    </row>
    <row r="46" spans="1:17" x14ac:dyDescent="0.4">
      <c r="A46" s="120" t="s">
        <v>18</v>
      </c>
      <c r="B46" s="121"/>
      <c r="C46" s="103"/>
      <c r="D46" s="16" t="s">
        <v>23</v>
      </c>
      <c r="E46" s="28">
        <f>(SUM(E65:E67)+E71)/(E28-D28)</f>
      </c>
      <c r="F46" s="28">
        <f>(SUM(F65:F67)+F71)/(F28-E28)</f>
      </c>
      <c r="G46" s="28">
        <f>(SUM(G65:G67)+G71)/(G28-F28)</f>
      </c>
      <c r="H46" s="28">
        <f>(SUM(H65:H67)+H71)/(H28-G28)</f>
      </c>
      <c r="I46" s="28">
        <f>(SUM(I65:I67)+I71)/(I28-H28)</f>
      </c>
      <c r="J46" s="28">
        <f>(SUM(J65:J67)+J71)/(J28-I28)</f>
      </c>
      <c r="K46" s="11"/>
      <c r="L46" s="7"/>
    </row>
    <row r="47" spans="1:17" x14ac:dyDescent="0.4">
      <c r="A47" s="120" t="s">
        <v>19</v>
      </c>
      <c r="B47" s="121"/>
      <c r="C47" s="103"/>
      <c r="D47" s="16" t="s">
        <v>23</v>
      </c>
      <c r="E47" s="28">
        <f t="shared" ref="E47:I47" si="20">+E51/E35</f>
      </c>
      <c r="F47" s="28">
        <f t="shared" si="20"/>
      </c>
      <c r="G47" s="28">
        <f t="shared" si="20"/>
      </c>
      <c r="H47" s="28">
        <f t="shared" si="20"/>
      </c>
      <c r="I47" s="28">
        <f t="shared" si="20"/>
      </c>
      <c r="J47" s="28">
        <f>+J51/J35</f>
      </c>
      <c r="K47" s="11"/>
      <c r="L47" s="7"/>
    </row>
    <row r="48" spans="1:17" x14ac:dyDescent="0.4">
      <c r="A48" s="120" t="s">
        <v>21</v>
      </c>
      <c r="B48" s="121"/>
      <c r="C48" s="103"/>
      <c r="D48" s="16" t="s">
        <v>23</v>
      </c>
      <c r="E48" s="32">
        <f>+IFERROR(E37/E35,0)</f>
      </c>
      <c r="F48" s="32">
        <f>+IFERROR(F37/F35,0)</f>
      </c>
      <c r="G48" s="32">
        <f>+IFERROR(G37/G35,0)</f>
      </c>
      <c r="H48" s="32">
        <f>+IFERROR(H37/H35,0)</f>
      </c>
      <c r="I48" s="32">
        <f>+IFERROR(I37/I35,0)</f>
      </c>
      <c r="J48" s="32">
        <f>+IFERROR(J37/J35,0)</f>
      </c>
      <c r="K48" s="11"/>
      <c r="L48" s="7"/>
    </row>
    <row r="49" spans="1:12" x14ac:dyDescent="0.4">
      <c r="A49" s="122" t="s">
        <v>20</v>
      </c>
      <c r="B49" s="123"/>
      <c r="C49" s="105"/>
      <c r="D49" s="16" t="s">
        <v>23</v>
      </c>
      <c r="E49" s="28">
        <f>+IFERROR(E51/SUM(E36:E39),0)</f>
      </c>
      <c r="F49" s="28">
        <f t="shared" ref="F49:J49" si="22">+IFERROR(F51/SUM(F36:F39),0)</f>
      </c>
      <c r="G49" s="28">
        <f t="shared" si="22"/>
      </c>
      <c r="H49" s="28">
        <f t="shared" si="22"/>
      </c>
      <c r="I49" s="28">
        <f t="shared" si="22"/>
      </c>
      <c r="J49" s="28">
        <f t="shared" si="22"/>
      </c>
      <c r="K49" s="11"/>
      <c r="L49" s="7"/>
    </row>
    <row r="50" spans="1:12" x14ac:dyDescent="0.4">
      <c r="A50" s="122" t="s">
        <v>132</v>
      </c>
      <c r="B50" s="123"/>
      <c r="C50" s="105"/>
      <c r="D50" s="64" t="s">
        <v>23</v>
      </c>
      <c r="E50" s="65">
        <f>+E36*$D$8+E38*$D$10</f>
      </c>
      <c r="F50" s="65">
        <f t="shared" ref="F50:J50" si="23">+F36*$D$8+F38*$D$10</f>
      </c>
      <c r="G50" s="65">
        <f t="shared" si="23"/>
      </c>
      <c r="H50" s="65">
        <f t="shared" si="23"/>
      </c>
      <c r="I50" s="65">
        <f t="shared" si="23"/>
      </c>
      <c r="J50" s="65">
        <f t="shared" si="23"/>
      </c>
      <c r="K50" s="11"/>
      <c r="L50" s="7"/>
    </row>
    <row r="51" spans="1:12" x14ac:dyDescent="0.4">
      <c r="A51" s="118" t="s">
        <v>71</v>
      </c>
      <c r="B51" s="119"/>
      <c r="C51" s="110">
        <f>+C45</f>
      </c>
      <c r="D51" s="40">
        <f>+D45</f>
      </c>
      <c r="E51" s="40">
        <f>SUM(E45,E50)+E44</f>
      </c>
      <c r="F51" s="40">
        <f t="shared" ref="F51:I51" si="24">SUM(F45,F50)+F44</f>
      </c>
      <c r="G51" s="40">
        <f t="shared" si="24"/>
      </c>
      <c r="H51" s="40">
        <f t="shared" si="24"/>
      </c>
      <c r="I51" s="40">
        <f t="shared" si="24"/>
      </c>
      <c r="J51" s="40">
        <f>SUM(J45,J50)+J44</f>
      </c>
      <c r="K51" s="11"/>
      <c r="L51" s="7"/>
    </row>
    <row r="52" spans="1:12" x14ac:dyDescent="0.4">
      <c r="A52" s="22"/>
      <c r="B52" s="22"/>
      <c r="C52" s="22"/>
      <c r="D52" s="37"/>
      <c r="E52" s="37"/>
      <c r="F52" s="37"/>
      <c r="G52" s="37"/>
      <c r="H52" s="37"/>
      <c r="I52" s="37"/>
      <c r="J52" s="37"/>
    </row>
    <row r="53" spans="1:12" hidden="1" x14ac:dyDescent="0.4">
      <c r="A53" s="29" t="s">
        <v>69</v>
      </c>
    </row>
    <row r="54" spans="1:12" hidden="1" x14ac:dyDescent="0.4">
      <c r="A54" s="120" t="s">
        <v>28</v>
      </c>
      <c r="B54" s="121"/>
      <c r="C54" s="96"/>
      <c r="D54" s="28">
        <f>+D75*D76</f>
      </c>
      <c r="E54" s="28">
        <f t="shared" ref="E54:J54" si="25">+E75*E76</f>
      </c>
      <c r="F54" s="28">
        <f t="shared" si="25"/>
      </c>
      <c r="G54" s="28">
        <f t="shared" si="25"/>
      </c>
      <c r="H54" s="28">
        <f t="shared" si="25"/>
      </c>
      <c r="I54" s="28">
        <f t="shared" si="25"/>
      </c>
      <c r="J54" s="28">
        <f t="shared" si="25"/>
      </c>
      <c r="K54" s="11"/>
      <c r="L54" s="7"/>
    </row>
    <row r="55" spans="1:12" hidden="1" x14ac:dyDescent="0.4">
      <c r="A55" s="120" t="s">
        <v>156</v>
      </c>
      <c r="B55" s="121"/>
      <c r="C55" s="96"/>
      <c r="D55" s="27">
        <f>+SUM(D65:D72)</f>
      </c>
      <c r="E55" s="27">
        <f>SUM(E65:E72)+E54</f>
      </c>
      <c r="F55" s="27">
        <f t="shared" ref="F55:J55" si="26">SUM(F65:F72)+F54</f>
      </c>
      <c r="G55" s="27">
        <f t="shared" si="26"/>
      </c>
      <c r="H55" s="27">
        <f t="shared" si="26"/>
      </c>
      <c r="I55" s="27">
        <f t="shared" si="26"/>
      </c>
      <c r="J55" s="27">
        <f t="shared" si="26"/>
      </c>
      <c r="K55" s="11"/>
      <c r="L55" s="7"/>
    </row>
    <row r="56" spans="1:12" hidden="1" x14ac:dyDescent="0.4">
      <c r="A56" s="120" t="s">
        <v>18</v>
      </c>
      <c r="B56" s="121"/>
      <c r="C56" s="96"/>
      <c r="D56" s="39" t="s">
        <v>23</v>
      </c>
      <c r="E56" s="28">
        <f>(SUM(E65:E67)+E71)/(E28-D28)</f>
      </c>
      <c r="F56" s="28">
        <f>(SUM(F65:F67)+F71)/(F28-E28)</f>
      </c>
      <c r="G56" s="28">
        <f>(SUM(G65:G67)+G71)/(G28-F28)</f>
      </c>
      <c r="H56" s="28">
        <f>(SUM(H65:H67)+H71)/(H28-G28)</f>
      </c>
      <c r="I56" s="28">
        <f>(SUM(I65:I67)+I71)/(I28-H28)</f>
      </c>
      <c r="J56" s="28">
        <f>(SUM(J65:J67)+J71)/(J28-I28)</f>
      </c>
      <c r="K56" s="11"/>
      <c r="L56" s="7"/>
    </row>
    <row r="57" spans="1:12" hidden="1" x14ac:dyDescent="0.4">
      <c r="A57" s="120" t="s">
        <v>19</v>
      </c>
      <c r="B57" s="121"/>
      <c r="C57" s="96"/>
      <c r="D57" s="39" t="s">
        <v>23</v>
      </c>
      <c r="E57" s="28">
        <f>+E61/E35</f>
      </c>
      <c r="F57" s="28">
        <f t="shared" ref="F57:J57" si="28">+F61/F35</f>
      </c>
      <c r="G57" s="28">
        <f t="shared" si="28"/>
      </c>
      <c r="H57" s="28">
        <f t="shared" si="28"/>
      </c>
      <c r="I57" s="28">
        <f t="shared" si="28"/>
      </c>
      <c r="J57" s="28">
        <f t="shared" si="28"/>
      </c>
      <c r="K57" s="11"/>
      <c r="L57" s="7"/>
    </row>
    <row r="58" spans="1:12" hidden="1" x14ac:dyDescent="0.4">
      <c r="A58" s="120" t="s">
        <v>21</v>
      </c>
      <c r="B58" s="121"/>
      <c r="C58" s="96"/>
      <c r="D58" s="39" t="s">
        <v>23</v>
      </c>
      <c r="E58" s="32">
        <f>+IFERROR(E37/E35,0)</f>
      </c>
      <c r="F58" s="32">
        <f>+IFERROR(F37/F35,0)</f>
      </c>
      <c r="G58" s="32">
        <f>+IFERROR(G37/G35,0)</f>
      </c>
      <c r="H58" s="32">
        <f>+IFERROR(H37/H35,0)</f>
      </c>
      <c r="I58" s="32">
        <f>+IFERROR(I37/I35,0)</f>
      </c>
      <c r="J58" s="32">
        <f>+IFERROR(J37/J35,0)</f>
      </c>
      <c r="K58" s="11"/>
      <c r="L58" s="7"/>
    </row>
    <row r="59" spans="1:12" hidden="1" x14ac:dyDescent="0.4">
      <c r="A59" s="122" t="s">
        <v>20</v>
      </c>
      <c r="B59" s="123"/>
      <c r="C59" s="97"/>
      <c r="D59" s="28"/>
      <c r="E59" s="28">
        <f>+IFERROR(E55/E40,0)</f>
      </c>
      <c r="F59" s="28">
        <f t="shared" ref="F59:J59" si="30">+IFERROR(F55/F40,0)</f>
      </c>
      <c r="G59" s="28">
        <f t="shared" si="30"/>
      </c>
      <c r="H59" s="28">
        <f t="shared" si="30"/>
      </c>
      <c r="I59" s="28">
        <f t="shared" si="30"/>
      </c>
      <c r="J59" s="28">
        <f t="shared" si="30"/>
      </c>
      <c r="K59" s="11"/>
      <c r="L59" s="7"/>
    </row>
    <row r="60" spans="1:12" hidden="1" x14ac:dyDescent="0.4">
      <c r="A60" s="122" t="s">
        <v>132</v>
      </c>
      <c r="B60" s="123"/>
      <c r="C60" s="97"/>
      <c r="D60" s="28"/>
      <c r="E60" s="28"/>
      <c r="F60" s="28"/>
      <c r="G60" s="28"/>
      <c r="H60" s="28"/>
      <c r="I60" s="28"/>
      <c r="J60" s="28"/>
      <c r="K60" s="11"/>
      <c r="L60" s="7"/>
    </row>
    <row r="61" spans="1:12" hidden="1" x14ac:dyDescent="0.4">
      <c r="A61" s="118" t="s">
        <v>71</v>
      </c>
      <c r="B61" s="119"/>
      <c r="C61" s="98"/>
      <c r="D61" s="40">
        <f>+D55</f>
      </c>
      <c r="E61" s="40">
        <f>+SUM(E65:E72)+E54</f>
      </c>
      <c r="F61" s="40">
        <f t="shared" ref="F61:J61" si="31">+SUM(F65:F72)+F54</f>
      </c>
      <c r="G61" s="40">
        <f t="shared" si="31"/>
      </c>
      <c r="H61" s="40">
        <f t="shared" si="31"/>
      </c>
      <c r="I61" s="40">
        <f t="shared" si="31"/>
      </c>
      <c r="J61" s="40">
        <f t="shared" si="31"/>
      </c>
      <c r="K61" s="11"/>
      <c r="L61" s="7"/>
    </row>
    <row r="62" spans="1:12" hidden="1" x14ac:dyDescent="0.4"/>
    <row r="64" spans="1:12" x14ac:dyDescent="0.4">
      <c r="C64" s="5" t="s">
        <v>178</v>
      </c>
      <c r="D64" s="5" t="s">
        <v>179</v>
      </c>
    </row>
    <row r="65" spans="1:16" x14ac:dyDescent="0.4">
      <c r="A65" s="52" t="s">
        <v>29</v>
      </c>
      <c r="B65" s="6" t="s">
        <v>28</v>
      </c>
      <c r="C65" s="90">
        <v>0</v>
      </c>
      <c r="D65" s="51">
        <v>0</v>
      </c>
      <c r="E65" s="28">
        <v>0</v>
      </c>
      <c r="F65" s="28">
        <v>0</v>
      </c>
      <c r="G65" s="28">
        <v>0</v>
      </c>
      <c r="H65" s="28">
        <v>0</v>
      </c>
      <c r="I65" s="28">
        <v>0</v>
      </c>
      <c r="J65" s="28">
        <v>0</v>
      </c>
      <c r="N65" t="inlineStr">
        <is>
          <t xml:space="preserve">従量課金は54行（新料金テーブル）で計算。65行の旧式（2.75円）は二重計上になるため0</t>
        </is>
      </c>
    </row>
    <row r="66" spans="1:16" x14ac:dyDescent="0.4">
      <c r="A66" s="53" t="s">
        <v>51</v>
      </c>
      <c r="B66" s="6" t="s">
        <v>5</v>
      </c>
      <c r="C66" s="90">
        <v>0</v>
      </c>
      <c r="D66" s="51">
        <v>0</v>
      </c>
      <c r="E66" s="28">
        <v>0</v>
      </c>
      <c r="F66" s="28">
        <v>0</v>
      </c>
      <c r="G66" s="28">
        <v>0</v>
      </c>
      <c r="H66" s="28">
        <v>0</v>
      </c>
      <c r="I66" s="28">
        <v>0</v>
      </c>
      <c r="J66" s="28">
        <v>0</v>
      </c>
      <c r="N66" s="69" t="s">
        <v>149</v>
      </c>
    </row>
    <row r="67" spans="1:16" x14ac:dyDescent="0.4">
      <c r="B67" s="6" t="s">
        <v>6</v>
      </c>
      <c r="C67" s="90">
        <v>0</v>
      </c>
      <c r="D67" s="51">
        <v>0</v>
      </c>
      <c r="E67" s="28">
        <v>0</v>
      </c>
      <c r="F67" s="28">
        <v>0</v>
      </c>
      <c r="G67" s="28">
        <v>0</v>
      </c>
      <c r="H67" s="28">
        <v>0</v>
      </c>
      <c r="I67" s="28">
        <v>0</v>
      </c>
      <c r="J67" s="28">
        <v>0</v>
      </c>
      <c r="N67" s="69" t="s">
        <v>148</v>
      </c>
    </row>
    <row r="68" spans="1:16" x14ac:dyDescent="0.4">
      <c r="A68" s="15"/>
      <c r="B68" s="6" t="s">
        <v>49</v>
      </c>
      <c r="C68" s="90">
        <v>0</v>
      </c>
      <c r="D68" s="51">
        <v>30000</v>
      </c>
      <c r="E68" s="28">
        <f t="shared" ref="E68:J68" si="33">IF(E34&lt;5000,5000,15000)</f>
      </c>
      <c r="F68" s="28">
        <f t="shared" si="33"/>
      </c>
      <c r="G68" s="28">
        <f t="shared" si="33"/>
      </c>
      <c r="H68" s="28">
        <f t="shared" si="33"/>
      </c>
      <c r="I68" s="28">
        <f t="shared" si="33"/>
      </c>
      <c r="J68" s="28">
        <f t="shared" si="33"/>
      </c>
      <c r="N68" s="69" t="s">
        <v>155</v>
      </c>
      <c r="O68" s="17" t="s">
        <v>154</v>
      </c>
      <c r="P68" s="75">
        <v>5000</v>
      </c>
    </row>
    <row r="69" spans="1:16" x14ac:dyDescent="0.4">
      <c r="A69" s="15"/>
      <c r="B69" s="6" t="inlineStr">
        <is>
          <t xml:space="preserve">LINE運用コンサル</t>
        </is>
      </c>
      <c r="C69" s="90">
        <v>0</v>
      </c>
      <c r="D69" s="51">
        <v>200000</v>
      </c>
      <c r="E69" s="28">
        <v>100000</v>
      </c>
      <c r="F69" s="28">
        <v>100000</v>
      </c>
      <c r="G69" s="28">
        <v>100000</v>
      </c>
      <c r="H69" s="28">
        <v>100000</v>
      </c>
      <c r="I69" s="28">
        <v>100000</v>
      </c>
      <c r="J69" s="28">
        <v>100000</v>
      </c>
      <c r="N69" s="69" t="inlineStr">
        <is>
          <t xml:space="preserve">LINE運用コンサル：初期20万（あいさつ・リッチメニュー・URL受付の自動応答・CPF設定）／月10万（CPF運用＋企画4本＋ステップ10本）</t>
        </is>
      </c>
      <c r="O69" s="5" t="s">
        <v>53</v>
      </c>
    </row>
    <row r="70" spans="1:16" x14ac:dyDescent="0.4">
      <c r="A70" s="15"/>
      <c r="B70" s="6" t="s">
        <v>58</v>
      </c>
      <c r="C70" s="90">
        <v>0</v>
      </c>
      <c r="D70" s="51">
        <v>0</v>
      </c>
      <c r="E70" s="28">
        <v>0</v>
      </c>
      <c r="F70" s="28">
        <v>0</v>
      </c>
      <c r="G70" s="28">
        <v>0</v>
      </c>
      <c r="H70" s="28">
        <v>0</v>
      </c>
      <c r="I70" s="28">
        <v>0</v>
      </c>
      <c r="J70" s="28">
        <v>0</v>
      </c>
      <c r="N70" s="69" t="s">
        <v>153</v>
      </c>
    </row>
    <row r="71" spans="1:16" x14ac:dyDescent="0.4">
      <c r="A71" s="15"/>
      <c r="B71" s="6" t="inlineStr">
        <is>
          <t xml:space="preserve">CPF広告費（SNS予算）</t>
        </is>
      </c>
      <c r="C71" s="90">
        <v>0</v>
      </c>
      <c r="D71" s="51">
        <v>0</v>
      </c>
      <c r="E71" s="28">
        <v>1000000</v>
      </c>
      <c r="F71" s="28">
        <v>1000000</v>
      </c>
      <c r="G71" s="28">
        <v>1000000</v>
      </c>
      <c r="H71" s="28">
        <v>1000000</v>
      </c>
      <c r="I71" s="28">
        <v>1000000</v>
      </c>
      <c r="J71" s="28">
        <v>1000000</v>
      </c>
      <c r="N71" s="69" t="inlineStr">
        <is>
          <t xml:space="preserve">SNS予算は全額CPF（LINE友だち追加広告）に充当。広告運用手数料は含まない（AD側のSIMに合わせる）</t>
        </is>
      </c>
    </row>
    <row r="72" spans="1:16" x14ac:dyDescent="0.4">
      <c r="A72" s="15"/>
      <c r="B72" s="6" t="s">
        <v>64</v>
      </c>
      <c r="C72" s="90">
        <v>0</v>
      </c>
      <c r="D72" s="51">
        <v>0</v>
      </c>
      <c r="E72" s="28">
        <v>0</v>
      </c>
      <c r="F72" s="28">
        <v>0</v>
      </c>
      <c r="G72" s="28">
        <v>0</v>
      </c>
      <c r="H72" s="28">
        <v>0</v>
      </c>
      <c r="I72" s="28">
        <v>0</v>
      </c>
      <c r="J72" s="28">
        <v>0</v>
      </c>
    </row>
    <row r="73" spans="1:16" x14ac:dyDescent="0.4">
      <c r="A73" s="15"/>
      <c r="B73" s="112" t="s">
        <v>181</v>
      </c>
      <c r="C73" s="113">
        <v>0</v>
      </c>
      <c r="D73" s="114">
        <f>SUM(D65:D72)</f>
      </c>
      <c r="E73" s="114">
        <f t="shared" ref="E73" si="34">SUM(E65:E72)</f>
      </c>
      <c r="F73" s="114">
        <f t="shared" ref="F73" si="35">SUM(F65:F72)</f>
      </c>
      <c r="G73" s="114">
        <f t="shared" ref="G73" si="36">SUM(G65:G72)</f>
      </c>
      <c r="H73" s="114">
        <f t="shared" ref="H73" si="37">SUM(H65:H72)</f>
      </c>
      <c r="I73" s="114">
        <f t="shared" ref="I73" si="38">SUM(I65:I72)</f>
      </c>
      <c r="J73" s="114">
        <f t="shared" ref="J73" si="39">SUM(J65:J72)</f>
      </c>
    </row>
    <row r="74" spans="1:16" x14ac:dyDescent="0.4">
      <c r="A74" s="15"/>
      <c r="B74" s="15"/>
      <c r="C74" s="15"/>
      <c r="D74" s="15"/>
      <c r="E74" s="15"/>
      <c r="F74" s="15"/>
      <c r="G74" s="15"/>
      <c r="H74" s="15"/>
      <c r="I74" s="15"/>
      <c r="J74" s="15"/>
    </row>
    <row r="75" spans="1:16" x14ac:dyDescent="0.4">
      <c r="B75" s="5" t="s">
        <v>65</v>
      </c>
      <c r="D75" s="41">
        <f t="shared" ref="D75:J75" si="40">+IF(D34&lt;30001,0,D34-30000)</f>
      </c>
      <c r="E75" s="41">
        <f t="shared" si="40"/>
      </c>
      <c r="F75" s="41">
        <f t="shared" si="40"/>
      </c>
      <c r="G75" s="41">
        <f t="shared" si="40"/>
      </c>
      <c r="H75" s="41">
        <f t="shared" si="40"/>
      </c>
      <c r="I75" s="41">
        <f t="shared" si="40"/>
      </c>
      <c r="J75" s="41">
        <f t="shared" si="40"/>
      </c>
    </row>
    <row r="76" spans="1:16" x14ac:dyDescent="0.4">
      <c r="B76" s="5" t="s">
        <v>66</v>
      </c>
      <c r="D76" s="5">
        <f>+IF(D75&lt;=$U$18,$Z$18,IF(D75&lt;=$U$19,$Z$19,IF(D75&lt;=$U$20,$Z$20,IF(D75&lt;=$U$21,$Z$21,IF(D75&lt;=$U$22,$Z$22,IF(D75&lt;=$U$23,$Z$23,IF(D75&lt;=$U$24,$Z$24,IF(D75&lt;=$U$25,$Z$25,IF(D75&lt;=$U$26,$Z$26,IF(D75&lt;=$U$27,$Z$27,IF(D75&lt;=$U$28,$Z$28,IF(D75&lt;=$U$29,$Z$29,IF(D75&lt;=$U$30,$Z$30,0)))))))))))))</f>
      </c>
      <c r="E76" s="5">
        <f>+IF(E75&lt;=$U$18,$Z$18,IF(E75&lt;=$U$19,$Z$19,IF(E75&lt;=$U$20,$Z$20,IF(E75&lt;=$U$21,$Z$21,IF(E75&lt;=$U$22,$Z$22,IF(E75&lt;=$U$23,$Z$23,IF(E75&lt;=$U$24,$Z$24,IF(E75&lt;=$U$25,$Z$25,IF(E75&lt;=$U$26,$Z$26,IF(E75&lt;=$U$27,$Z$27,IF(E75&lt;=$U$28,$Z$28,IF(E75&lt;=$U$29,$Z$29,IF(E75&lt;=$U$30,$Z$30,0)))))))))))))</f>
      </c>
      <c r="F76" s="5">
        <f>+IF(F75&lt;=$U$18,$Z$18,IF(F75&lt;=$U$19,$Z$19,IF(F75&lt;=$U$20,$Z$20,IF(F75&lt;=$U$21,$Z$21,IF(F75&lt;=$U$22,$Z$22,IF(F75&lt;=$U$23,$Z$23,IF(F75&lt;=$U$24,$Z$24,IF(F75&lt;=$U$25,$Z$25,IF(F75&lt;=$U$26,$Z$26,IF(F75&lt;=$U$27,$Z$27,IF(F75&lt;=$U$28,$Z$28,IF(F75&lt;=$U$29,$Z$29,IF(F75&lt;=$U$30,$Z$30,0)))))))))))))</f>
      </c>
      <c r="G76" s="5">
        <f>+IF(G75&lt;=$U$18,$Z$18,IF(G75&lt;=$U$19,$Z$19,IF(G75&lt;=$U$20,$Z$20,IF(G75&lt;=$U$21,$Z$21,IF(G75&lt;=$U$22,$Z$22,IF(G75&lt;=$U$23,$Z$23,IF(G75&lt;=$U$24,$Z$24,IF(G75&lt;=$U$25,$Z$25,IF(G75&lt;=$U$26,$Z$26,IF(G75&lt;=$U$27,$Z$27,IF(G75&lt;=$U$28,$Z$28,IF(G75&lt;=$U$29,$Z$29,IF(G75&lt;=$U$30,$Z$30,0)))))))))))))</f>
      </c>
      <c r="H76" s="5">
        <f>+IF(H75&lt;=$U$18,$Z$18,IF(H75&lt;=$U$19,$Z$19,IF(H75&lt;=$U$20,$Z$20,IF(H75&lt;=$U$21,$Z$21,IF(H75&lt;=$U$22,$Z$22,IF(H75&lt;=$U$23,$Z$23,IF(H75&lt;=$U$24,$Z$24,IF(H75&lt;=$U$25,$Z$25,IF(H75&lt;=$U$26,$Z$26,IF(H75&lt;=$U$27,$Z$27,IF(H75&lt;=$U$28,$Z$28,IF(H75&lt;=$U$29,$Z$29,IF(H75&lt;=$U$30,$Z$30,0)))))))))))))</f>
      </c>
      <c r="I76" s="5">
        <f>+IF(I75&lt;=$U$18,$Z$18,IF(I75&lt;=$U$19,$Z$19,IF(I75&lt;=$U$20,$Z$20,IF(I75&lt;=$U$21,$Z$21,IF(I75&lt;=$U$22,$Z$22,IF(I75&lt;=$U$23,$Z$23,IF(I75&lt;=$U$24,$Z$24,IF(I75&lt;=$U$25,$Z$25,IF(I75&lt;=$U$26,$Z$26,IF(I75&lt;=$U$27,$Z$27,IF(I75&lt;=$U$28,$Z$28,IF(I75&lt;=$U$29,$Z$29,IF(I75&lt;=$U$30,$Z$30,0)))))))))))))</f>
      </c>
      <c r="J76" s="5">
        <f>+IF(J75&lt;=$U$18,$Z$18,IF(J75&lt;=$U$19,$Z$19,IF(J75&lt;=$U$20,$Z$20,IF(J75&lt;=$U$21,$Z$21,IF(J75&lt;=$U$22,$Z$22,IF(J75&lt;=$U$23,$Z$23,IF(J75&lt;=$U$24,$Z$24,IF(J75&lt;=$U$25,$Z$25,IF(J75&lt;=$U$26,$Z$26,IF(J75&lt;=$U$27,$Z$27,IF(J75&lt;=$U$28,$Z$28,IF(J75&lt;=$U$29,$Z$29,IF(J75&lt;=$U$30,$Z$30,0)))))))))))))</f>
      </c>
    </row>
  </sheetData>
  <mergeCells count="35">
    <mergeCell ref="A30:B30"/>
    <mergeCell ref="A8:A9"/>
    <mergeCell ref="A10:A11"/>
    <mergeCell ref="A13:B13"/>
    <mergeCell ref="A14:A16"/>
    <mergeCell ref="A17:A21"/>
    <mergeCell ref="A22:A25"/>
    <mergeCell ref="A26:B26"/>
    <mergeCell ref="A27:B27"/>
    <mergeCell ref="A28:B28"/>
    <mergeCell ref="A29:B29"/>
    <mergeCell ref="A47:B47"/>
    <mergeCell ref="A31:B31"/>
    <mergeCell ref="A32:B32"/>
    <mergeCell ref="A33:B33"/>
    <mergeCell ref="A34:B34"/>
    <mergeCell ref="A35:B35"/>
    <mergeCell ref="A36:A37"/>
    <mergeCell ref="A38:A39"/>
    <mergeCell ref="A40:B40"/>
    <mergeCell ref="A44:B44"/>
    <mergeCell ref="A45:B45"/>
    <mergeCell ref="A46:B46"/>
    <mergeCell ref="A61:B61"/>
    <mergeCell ref="A48:B48"/>
    <mergeCell ref="A49:B49"/>
    <mergeCell ref="A50:B50"/>
    <mergeCell ref="A51:B51"/>
    <mergeCell ref="A54:B54"/>
    <mergeCell ref="A55:B55"/>
    <mergeCell ref="A56:B56"/>
    <mergeCell ref="A57:B57"/>
    <mergeCell ref="A58:B58"/>
    <mergeCell ref="A59:B59"/>
    <mergeCell ref="A60:B60"/>
  </mergeCells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CC1BC-C114-54B6-B739-149E071529F5}">
  <dimension ref="A1:Y35"/>
  <sheetViews>
    <sheetView topLeftCell="D1" zoomScale="76" workbookViewId="0">
      <selection activeCell="X18" sqref="X18"/>
    </sheetView>
  </sheetViews>
  <sheetFormatPr defaultColWidth="9" defaultRowHeight="18.75" x14ac:dyDescent="0.4"/>
  <cols>
    <col min="1" max="1" width="41.75" style="29" customWidth="1"/>
    <col min="2" max="2" width="3" style="5" customWidth="1"/>
    <col min="3" max="6" width="26.125" style="5" customWidth="1"/>
    <col min="7" max="17" width="9" style="5"/>
    <col min="18" max="18" width="10.875" style="5" bestFit="1" customWidth="1"/>
    <col min="19" max="19" width="9" style="5"/>
    <col min="20" max="27" width="14.875" style="5" customWidth="1"/>
    <col min="28" max="16384" width="9" style="5"/>
  </cols>
  <sheetData>
    <row r="1" spans="1:25" x14ac:dyDescent="0.4">
      <c r="E1" s="81" t="s">
        <v>171</v>
      </c>
      <c r="F1" s="81">
        <v>0.6</v>
      </c>
    </row>
    <row r="3" spans="1:25" x14ac:dyDescent="0.4">
      <c r="A3" s="82" t="s">
        <v>86</v>
      </c>
      <c r="B3" s="82"/>
      <c r="C3" s="83" t="s">
        <v>80</v>
      </c>
      <c r="D3" s="84" t="s">
        <v>81</v>
      </c>
      <c r="E3" s="84" t="s">
        <v>82</v>
      </c>
      <c r="F3" s="84"/>
    </row>
    <row r="4" spans="1:25" x14ac:dyDescent="0.4">
      <c r="A4" s="85" t="s">
        <v>166</v>
      </c>
      <c r="B4" s="7"/>
      <c r="C4" s="86">
        <f>+'SIM2_SNS予算100万円'!D24</f>
      </c>
      <c r="D4" s="28">
        <f>+'SIM2_SNS予算100万円'!G51</f>
      </c>
      <c r="E4" s="28">
        <f>+'SIM2_SNS予算100万円'!J51</f>
      </c>
      <c r="F4" s="28"/>
    </row>
    <row r="5" spans="1:25" x14ac:dyDescent="0.4">
      <c r="A5" s="85" t="s">
        <v>167</v>
      </c>
      <c r="B5" s="7"/>
      <c r="C5" s="86">
        <f>+'SIM2_SNS予算100万円'!D25</f>
      </c>
      <c r="D5" s="28">
        <f>+'SIM2_SNS予算100万円'!G61</f>
      </c>
      <c r="E5" s="28">
        <f>+'SIM2_SNS予算100万円'!J61</f>
      </c>
      <c r="F5" s="27"/>
    </row>
    <row r="6" spans="1:25" x14ac:dyDescent="0.4">
      <c r="A6" s="85" t="s">
        <v>83</v>
      </c>
      <c r="B6" s="7"/>
      <c r="C6" s="117">
        <f>+'SIM2_SNS予算100万円'!D28</f>
      </c>
      <c r="D6" s="87">
        <f>+'SIM2_SNS予算100万円'!G28</f>
      </c>
      <c r="E6" s="87">
        <f>+'SIM2_SNS予算100万円'!J28</f>
      </c>
      <c r="F6" s="10"/>
    </row>
    <row r="7" spans="1:25" x14ac:dyDescent="0.4">
      <c r="A7" s="85" t="s">
        <v>84</v>
      </c>
      <c r="B7" s="7"/>
      <c r="C7" s="88">
        <f>+'SIM2_SNS予算100万円'!D27</f>
      </c>
      <c r="D7" s="89">
        <f>+'SIM2_SNS予算100万円'!G27</f>
      </c>
      <c r="E7" s="89">
        <f>+'SIM2_SNS予算100万円'!J27</f>
      </c>
      <c r="F7" s="89"/>
    </row>
    <row r="8" spans="1:25" x14ac:dyDescent="0.4">
      <c r="A8" s="85" t="s">
        <v>85</v>
      </c>
      <c r="B8" s="7"/>
      <c r="C8" s="117">
        <f>+'SIM2_SNS予算100万円'!D29</f>
      </c>
      <c r="D8" s="10">
        <f>+'SIM2_SNS予算100万円'!G29</f>
      </c>
      <c r="E8" s="10">
        <f>+'SIM2_SNS予算100万円'!J29</f>
      </c>
      <c r="F8" s="10"/>
    </row>
    <row r="9" spans="1:25" x14ac:dyDescent="0.4">
      <c r="A9" s="85"/>
      <c r="B9" s="7"/>
      <c r="C9" s="7"/>
      <c r="D9" s="7"/>
      <c r="E9" s="7"/>
      <c r="F9" s="7"/>
    </row>
    <row r="10" spans="1:25" x14ac:dyDescent="0.4">
      <c r="A10" s="85" t="s">
        <v>89</v>
      </c>
      <c r="B10" s="7"/>
      <c r="C10" s="117">
        <f>+'SIM2_SNS予算100万円'!D34</f>
      </c>
      <c r="D10" s="10">
        <f>+'SIM2_SNS予算100万円'!G34</f>
      </c>
      <c r="E10" s="10">
        <f>+'SIM2_SNS予算100万円'!J34</f>
      </c>
      <c r="F10" s="10"/>
    </row>
    <row r="11" spans="1:25" x14ac:dyDescent="0.4">
      <c r="A11" s="85" t="s">
        <v>90</v>
      </c>
      <c r="B11" s="7"/>
      <c r="C11" s="117">
        <f>+'SIM2_SNS予算100万円'!D35</f>
      </c>
      <c r="D11" s="10">
        <f>+'SIM2_SNS予算100万円'!G35</f>
      </c>
      <c r="E11" s="10">
        <f>+'SIM2_SNS予算100万円'!J35</f>
      </c>
      <c r="F11" s="10"/>
    </row>
    <row r="12" spans="1:25" x14ac:dyDescent="0.4">
      <c r="A12" s="85" t="s">
        <v>174</v>
      </c>
      <c r="B12" s="7"/>
      <c r="C12" s="28">
        <f>+IFERROR(C5/C11,0)</f>
      </c>
      <c r="D12" s="28">
        <f>+D4/D11</f>
      </c>
      <c r="E12" s="28">
        <f t="shared" ref="E12" si="0">+E4/E11</f>
      </c>
      <c r="F12" s="28"/>
    </row>
    <row r="13" spans="1:25" x14ac:dyDescent="0.4">
      <c r="A13" s="85" t="s">
        <v>175</v>
      </c>
      <c r="B13" s="7"/>
      <c r="C13" s="28">
        <f>+IFERROR(C6/C12,0)</f>
      </c>
      <c r="D13" s="28">
        <f>+D5/D11</f>
      </c>
      <c r="E13" s="28">
        <f t="shared" ref="E13" si="1">+E5/E11</f>
      </c>
      <c r="F13" s="28"/>
    </row>
    <row r="14" spans="1:25" x14ac:dyDescent="0.4">
      <c r="A14" s="85"/>
      <c r="B14" s="7"/>
      <c r="C14" s="7"/>
      <c r="D14" s="7"/>
      <c r="E14" s="7"/>
      <c r="F14" s="7"/>
      <c r="R14" s="29" t="s">
        <v>48</v>
      </c>
    </row>
    <row r="15" spans="1:25" x14ac:dyDescent="0.4">
      <c r="A15" s="85" t="s">
        <v>87</v>
      </c>
      <c r="B15" s="7"/>
      <c r="C15" s="87">
        <f>+'SIM2_SNS予算100万円'!D16</f>
      </c>
      <c r="D15" s="87">
        <f>+'SIM2_SNS予算100万円'!E16</f>
      </c>
      <c r="E15" s="87">
        <f>+'SIM2_SNS予算100万円'!F16</f>
      </c>
      <c r="F15" s="87"/>
      <c r="R15" s="5" t="s">
        <v>59</v>
      </c>
    </row>
    <row r="16" spans="1:25" x14ac:dyDescent="0.4">
      <c r="A16" s="85" t="s">
        <v>88</v>
      </c>
      <c r="B16" s="7"/>
      <c r="C16" s="87">
        <f>SUM(C17:C20)</f>
      </c>
      <c r="D16" s="87">
        <f>SUM(D17:D20)</f>
      </c>
      <c r="E16" s="87">
        <f>SUM(E17:E20)</f>
      </c>
      <c r="F16" s="87"/>
      <c r="R16" s="5" t="s">
        <v>60</v>
      </c>
      <c r="V16" s="5" t="s">
        <v>61</v>
      </c>
      <c r="Y16" s="35" t="s">
        <v>62</v>
      </c>
    </row>
    <row r="17" spans="1:25" x14ac:dyDescent="0.4">
      <c r="A17" s="85" t="inlineStr">
        <is>
          <t xml:space="preserve">CV①_問い合わせ①（LINEで物件URL送付）</t>
        </is>
      </c>
      <c r="B17" s="7"/>
      <c r="C17" s="87">
        <f>+'SIM2_SNS予算100万円'!D36</f>
      </c>
      <c r="D17" s="87">
        <f>+'SIM2_SNS予算100万円'!G36</f>
      </c>
      <c r="E17" s="87">
        <f>+'SIM2_SNS予算100万円'!J36</f>
      </c>
      <c r="F17" s="10"/>
      <c r="R17" s="5">
        <v>0</v>
      </c>
      <c r="S17" s="5" t="s">
        <v>63</v>
      </c>
      <c r="T17" s="34">
        <v>200000</v>
      </c>
      <c r="V17" s="5">
        <v>0</v>
      </c>
      <c r="W17" s="5" t="s">
        <v>63</v>
      </c>
      <c r="X17" s="34">
        <v>600000</v>
      </c>
      <c r="Y17" s="35">
        <v>3</v>
      </c>
    </row>
    <row r="18" spans="1:25" x14ac:dyDescent="0.4">
      <c r="A18" s="85" t="inlineStr">
        <is>
          <t xml:space="preserve">CV②_問い合わせ②（配信経由）</t>
        </is>
      </c>
      <c r="B18" s="7"/>
      <c r="C18" s="87">
        <f>+'SIM2_SNS予算100万円'!D37</f>
      </c>
      <c r="D18" s="87">
        <f>+'SIM2_SNS予算100万円'!G37</f>
      </c>
      <c r="E18" s="87">
        <f>+'SIM2_SNS予算100万円'!J37</f>
      </c>
      <c r="F18" s="10"/>
      <c r="R18" s="34">
        <v>200000</v>
      </c>
      <c r="S18" s="5" t="s">
        <v>63</v>
      </c>
      <c r="T18" s="34">
        <v>15000000</v>
      </c>
      <c r="V18" s="34">
        <v>600000</v>
      </c>
      <c r="W18" s="5" t="s">
        <v>63</v>
      </c>
      <c r="X18" s="34">
        <f>+T18*2.5</f>
      </c>
      <c r="Y18" s="35">
        <v>2.5</v>
      </c>
    </row>
    <row r="19" spans="1:25" x14ac:dyDescent="0.4">
      <c r="A19" s="85" t="s">
        <v>94</v>
      </c>
      <c r="B19" s="7"/>
      <c r="C19" s="87">
        <f>+'SIM2_SNS予算100万円'!D38</f>
      </c>
      <c r="D19" s="87">
        <f>+'SIM2_SNS予算100万円'!G38</f>
      </c>
      <c r="E19" s="87">
        <f>+'SIM2_SNS予算100万円'!J38</f>
      </c>
      <c r="F19" s="10"/>
      <c r="R19" s="34"/>
      <c r="T19" s="34"/>
      <c r="V19" s="34"/>
      <c r="X19" s="34"/>
      <c r="Y19" s="35"/>
    </row>
    <row r="20" spans="1:25" x14ac:dyDescent="0.4">
      <c r="A20" s="85" t="s">
        <v>93</v>
      </c>
      <c r="B20" s="7"/>
      <c r="C20" s="87">
        <f>+'SIM2_SNS予算100万円'!D39</f>
      </c>
      <c r="D20" s="87">
        <f>+'SIM2_SNS予算100万円'!G39</f>
      </c>
      <c r="E20" s="87">
        <f>+'SIM2_SNS予算100万円'!J39</f>
      </c>
      <c r="F20" s="10"/>
      <c r="R20" s="34"/>
      <c r="T20" s="34"/>
      <c r="V20" s="34"/>
      <c r="X20" s="34"/>
      <c r="Y20" s="35"/>
    </row>
    <row r="21" spans="1:25" x14ac:dyDescent="0.4">
      <c r="A21" s="85"/>
      <c r="B21" s="7"/>
      <c r="C21" s="7"/>
      <c r="D21" s="7"/>
      <c r="E21" s="7"/>
      <c r="F21" s="7"/>
      <c r="R21" s="34"/>
      <c r="T21" s="34"/>
      <c r="V21" s="34"/>
      <c r="X21" s="34"/>
      <c r="Y21" s="35"/>
    </row>
    <row r="22" spans="1:25" x14ac:dyDescent="0.4">
      <c r="A22" s="85" t="s">
        <v>168</v>
      </c>
      <c r="B22" s="7"/>
      <c r="C22" s="90">
        <f>+IFERROR(C4/C16,"--")</f>
      </c>
      <c r="D22" s="90">
        <f t="shared" ref="D22:E22" si="2">+IFERROR(D4/D16,"--")</f>
      </c>
      <c r="E22" s="90">
        <f t="shared" si="2"/>
      </c>
      <c r="F22" s="90"/>
      <c r="R22" s="34"/>
      <c r="T22" s="34"/>
      <c r="V22" s="34"/>
      <c r="X22" s="34"/>
      <c r="Y22" s="35"/>
    </row>
    <row r="23" spans="1:25" x14ac:dyDescent="0.4">
      <c r="A23" s="85" t="s">
        <v>169</v>
      </c>
      <c r="B23" s="7"/>
      <c r="C23" s="90">
        <f>+IFERROR(C5/C16,"--")</f>
      </c>
      <c r="D23" s="90">
        <f t="shared" ref="D23" si="3">+IFERROR(D5/D16,"--")</f>
      </c>
      <c r="E23" s="90">
        <f t="shared" ref="E23" si="4">+IFERROR(E5/E16,"--")</f>
      </c>
      <c r="F23" s="90"/>
      <c r="R23" s="34"/>
      <c r="T23" s="34"/>
      <c r="V23" s="34"/>
      <c r="X23" s="34"/>
      <c r="Y23" s="35"/>
    </row>
    <row r="24" spans="1:25" x14ac:dyDescent="0.4">
      <c r="A24" s="85"/>
      <c r="B24" s="7"/>
      <c r="C24" s="7"/>
      <c r="D24" s="7"/>
      <c r="E24" s="7"/>
      <c r="F24" s="7"/>
      <c r="R24" s="34"/>
      <c r="T24" s="34"/>
      <c r="V24" s="34"/>
      <c r="X24" s="34"/>
      <c r="Y24" s="35"/>
    </row>
    <row r="25" spans="1:25" x14ac:dyDescent="0.4">
      <c r="A25" s="85" t="s">
        <v>176</v>
      </c>
      <c r="B25" s="7"/>
      <c r="C25" s="10">
        <f>15000+C29*C30</f>
      </c>
      <c r="D25" s="10">
        <f>15000+D29*D30</f>
      </c>
      <c r="E25" s="10">
        <f>15000+E29*E30</f>
      </c>
      <c r="F25" s="10"/>
      <c r="R25" s="34"/>
      <c r="T25" s="34"/>
      <c r="V25" s="34"/>
      <c r="X25" s="34"/>
      <c r="Y25" s="35"/>
    </row>
    <row r="26" spans="1:25" x14ac:dyDescent="0.4">
      <c r="R26" s="34"/>
      <c r="T26" s="34"/>
      <c r="V26" s="34"/>
      <c r="X26" s="34"/>
      <c r="Y26" s="35"/>
    </row>
    <row r="27" spans="1:25" x14ac:dyDescent="0.4">
      <c r="R27" s="34"/>
      <c r="T27" s="34"/>
      <c r="V27" s="34"/>
      <c r="X27" s="34"/>
      <c r="Y27" s="35"/>
    </row>
    <row r="28" spans="1:25" x14ac:dyDescent="0.4">
      <c r="R28" s="34"/>
      <c r="T28" s="34"/>
      <c r="V28" s="34"/>
      <c r="X28" s="34"/>
      <c r="Y28" s="35"/>
    </row>
    <row r="29" spans="1:25" x14ac:dyDescent="0.4">
      <c r="A29" s="29" t="s">
        <v>172</v>
      </c>
      <c r="C29" s="5">
        <f>+IF(C10&lt;=30000,0,C10-30000)</f>
      </c>
      <c r="D29" s="91">
        <f>+IF(D10&lt;=30000,0,D10-30000)</f>
      </c>
      <c r="E29" s="91">
        <f>+IF(E10&lt;=30000,0,E10-30000)</f>
      </c>
      <c r="F29" s="91"/>
      <c r="R29" s="34"/>
      <c r="T29" s="34"/>
      <c r="V29" s="34"/>
      <c r="X29" s="34"/>
      <c r="Y29" s="35"/>
    </row>
    <row r="30" spans="1:25" x14ac:dyDescent="0.4">
      <c r="A30" s="29" t="s">
        <v>170</v>
      </c>
      <c r="C30" s="5">
        <f>+IF(C29&lt;=$T$17,$Y$17,IF(C29&lt;=$T$18,$Y$18,IF(C29&lt;=$T$19,$Y$19,IF(C29&lt;=$T$20,$Y$20,IF(C29&lt;=$T$21,$Y$21,IF(C29&lt;=$T$22,$Y$22,IF(C29&lt;=$T$23,$Y$23,IF(C29&lt;=$T$24,$Y$24,IF(C29&lt;=$T$25,$Y$25,IF(C29&lt;=$T$26,$Y$26,IF(C29&lt;=$T$27,$Y$27,IF(C29&lt;=$T$28,$Y$28,IF(C29&lt;=$T$29,$Y$29,0)))))))))))))</f>
      </c>
      <c r="D30" s="5">
        <f>+IF(D29&lt;=$T$17,$Y$17,IF(D29&lt;=$T$18,$Y$18,IF(D29&lt;=$T$19,$Y$19,IF(D29&lt;=$T$20,$Y$20,IF(D29&lt;=$T$21,$Y$21,IF(D29&lt;=$T$22,$Y$22,IF(D29&lt;=$T$23,$Y$23,IF(D29&lt;=$T$24,$Y$24,IF(D29&lt;=$T$25,$Y$25,IF(D29&lt;=$T$26,$Y$26,IF(D29&lt;=$T$27,$Y$27,IF(D29&lt;=$T$28,$Y$28,IF(D29&lt;=$T$29,$Y$29,0)))))))))))))</f>
      </c>
      <c r="E30" s="5">
        <f>+IF(E29&lt;=$T$17,$Y$17,IF(E29&lt;=$T$18,$Y$18,IF(E29&lt;=$T$19,$Y$19,IF(E29&lt;=$T$20,$Y$20,IF(E29&lt;=$T$21,$Y$21,IF(E29&lt;=$T$22,$Y$22,IF(E29&lt;=$T$23,$Y$23,IF(E29&lt;=$T$24,$Y$24,IF(E29&lt;=$T$25,$Y$25,IF(E29&lt;=$T$26,$Y$26,IF(E29&lt;=$T$27,$Y$27,IF(E29&lt;=$T$28,$Y$28,IF(E29&lt;=$T$29,$Y$29,0)))))))))))))</f>
      </c>
      <c r="R30" s="34"/>
      <c r="T30" s="34"/>
      <c r="V30" s="34"/>
      <c r="X30" s="34"/>
      <c r="Y30" s="35"/>
    </row>
    <row r="31" spans="1:25" x14ac:dyDescent="0.4">
      <c r="R31" s="34"/>
      <c r="T31" s="34"/>
      <c r="V31" s="34"/>
      <c r="Y31" s="35"/>
    </row>
    <row r="35" spans="1:6" x14ac:dyDescent="0.4">
      <c r="A35" s="92" t="s">
        <v>125</v>
      </c>
      <c r="B35" s="92"/>
      <c r="C35" s="93" t="s">
        <v>163</v>
      </c>
      <c r="D35" s="94" t="s">
        <v>164</v>
      </c>
      <c r="E35" s="94" t="s">
        <v>165</v>
      </c>
      <c r="F35" s="94" t="s">
        <v>165</v>
      </c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9deb97c-193b-473b-ac92-dc976e68b6a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357D3FFD3874644B9B63D306D91E343" ma:contentTypeVersion="5" ma:contentTypeDescription="新しいドキュメントを作成します。" ma:contentTypeScope="" ma:versionID="bfcf90751a1be541a10eb2cf2bfdf12b">
  <xsd:schema xmlns:xsd="http://www.w3.org/2001/XMLSchema" xmlns:xs="http://www.w3.org/2001/XMLSchema" xmlns:p="http://schemas.microsoft.com/office/2006/metadata/properties" xmlns:ns3="79deb97c-193b-473b-ac92-dc976e68b6a4" targetNamespace="http://schemas.microsoft.com/office/2006/metadata/properties" ma:root="true" ma:fieldsID="9df8bde209fb52400f7491d2ba74e6ee" ns3:_="">
    <xsd:import namespace="79deb97c-193b-473b-ac92-dc976e68b6a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deb97c-193b-473b-ac92-dc976e68b6a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10C7DA8-EA1E-4EA4-BD5C-CCDDE9E9CCA3}">
  <ds:schemaRefs>
    <ds:schemaRef ds:uri="http://purl.org/dc/elements/1.1/"/>
    <ds:schemaRef ds:uri="79deb97c-193b-473b-ac92-dc976e68b6a4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2CA9CD83-13A7-4B09-B9AB-AAF5EBC76B4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519B170-E350-4E75-B7A7-F72CE5062C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deb97c-193b-473b-ac92-dc976e68b6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SIM1_SNS予算30万円</vt:lpstr>
      <vt:lpstr>SIM1_比較</vt:lpstr>
      <vt:lpstr>SIM2_SNS予算100万円</vt:lpstr>
      <vt:lpstr>SIM2_比較</vt:lpstr>
      <vt:lpstr>SIM考え方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佐村 徳人</dc:creator>
  <cp:lastModifiedBy>佐村 徳人</cp:lastModifiedBy>
  <dcterms:created xsi:type="dcterms:W3CDTF">2025-11-21T11:18:04Z</dcterms:created>
  <dcterms:modified xsi:type="dcterms:W3CDTF">2026-09-04T07:26:53Z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0x010100C357D3FFD3874644B9B63D306D91E343</vt:lpwstr>
  </property>
</Properties>
</file>
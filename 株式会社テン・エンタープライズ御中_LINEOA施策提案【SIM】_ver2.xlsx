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005" yWindow="-16320" windowWidth="29040" windowHeight="15720" tabRatio="600" firstSheet="0" activeTab="0" autoFilterDateGrouping="1"/>
  </bookViews>
  <sheets>
    <sheet xmlns:r="http://schemas.openxmlformats.org/officeDocument/2006/relationships" name="SIM①" sheetId="1" state="visible" r:id="rId1"/>
    <sheet xmlns:r="http://schemas.openxmlformats.org/officeDocument/2006/relationships" name="SIM①_比較" sheetId="2" state="visible" r:id="rId2"/>
    <sheet xmlns:r="http://schemas.openxmlformats.org/officeDocument/2006/relationships" name="SIM考え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5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0" fontId="8" fillId="8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5" applyAlignment="1" pivotButton="0" quotePrefix="0" xfId="0">
      <alignment horizontal="center" vertical="center" wrapText="1" readingOrder="1"/>
    </xf>
    <xf numFmtId="3" fontId="17" fillId="0" borderId="5" applyAlignment="1" pivotButton="0" quotePrefix="0" xfId="0">
      <alignment horizontal="center" vertical="center" wrapText="1" readingOrder="1"/>
    </xf>
    <xf numFmtId="0" fontId="17" fillId="12" borderId="5" applyAlignment="1" pivotButton="0" quotePrefix="0" xfId="0">
      <alignment horizontal="right" vertical="center" wrapText="1" readingOrder="1"/>
    </xf>
    <xf numFmtId="0" fontId="17" fillId="0" borderId="5" applyAlignment="1" pivotButton="0" quotePrefix="0" xfId="0">
      <alignment horizontal="right" vertical="center" wrapText="1" readingOrder="1"/>
    </xf>
    <xf numFmtId="3" fontId="17" fillId="0" borderId="5" applyAlignment="1" pivotButton="0" quotePrefix="0" xfId="0">
      <alignment horizontal="right" vertical="center" wrapText="1" readingOrder="1"/>
    </xf>
    <xf numFmtId="10" fontId="17" fillId="0" borderId="5" applyAlignment="1" pivotButton="0" quotePrefix="0" xfId="0">
      <alignment horizontal="right" vertical="center" wrapText="1" readingOrder="1"/>
    </xf>
    <xf numFmtId="0" fontId="19" fillId="12" borderId="5" applyAlignment="1" pivotButton="0" quotePrefix="0" xfId="0">
      <alignment horizontal="right" vertical="center" wrapText="1" readingOrder="1"/>
    </xf>
    <xf numFmtId="3" fontId="19" fillId="0" borderId="5" applyAlignment="1" pivotButton="0" quotePrefix="0" xfId="0">
      <alignment horizontal="right" vertical="center" wrapText="1" readingOrder="1"/>
    </xf>
    <xf numFmtId="3" fontId="20" fillId="0" borderId="5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5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38" fontId="6" fillId="7" borderId="0" applyAlignment="1" pivotButton="0" quotePrefix="0" xfId="1">
      <alignment vertical="center"/>
    </xf>
    <xf numFmtId="165" fontId="6" fillId="0" borderId="1" applyAlignment="1" pivotButton="0" quotePrefix="1" xfId="0">
      <alignment horizontal="right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right" vertical="center"/>
    </xf>
    <xf numFmtId="165" fontId="6" fillId="2" borderId="4" applyAlignment="1" pivotButton="0" quotePrefix="0" xfId="0">
      <alignment horizontal="right" vertical="center"/>
    </xf>
    <xf numFmtId="0" fontId="8" fillId="7" borderId="4" applyAlignment="1" pivotButton="0" quotePrefix="0" xfId="0">
      <alignment horizontal="right" vertical="center"/>
    </xf>
    <xf numFmtId="38" fontId="19" fillId="12" borderId="5" applyAlignment="1" pivotButton="0" quotePrefix="0" xfId="1">
      <alignment horizontal="right" vertical="center" wrapText="1" readingOrder="1"/>
    </xf>
    <xf numFmtId="164" fontId="17" fillId="12" borderId="5" applyAlignment="1" pivotButton="0" quotePrefix="0" xfId="3">
      <alignment horizontal="right" vertical="center" wrapText="1" readingOrder="1"/>
    </xf>
    <xf numFmtId="38" fontId="17" fillId="12" borderId="5" applyAlignment="1" pivotButton="0" quotePrefix="0" xfId="1">
      <alignment horizontal="right" vertical="center" wrapText="1" readingOrder="1"/>
    </xf>
    <xf numFmtId="38" fontId="20" fillId="12" borderId="5" applyAlignment="1" pivotButton="0" quotePrefix="0" xfId="1">
      <alignment horizontal="right" vertical="center" wrapText="1" readingOrder="1"/>
    </xf>
    <xf numFmtId="165" fontId="5" fillId="5" borderId="4" applyAlignment="1" pivotButton="0" quotePrefix="0" xfId="0">
      <alignment horizontal="right" vertical="center"/>
    </xf>
    <xf numFmtId="38" fontId="16" fillId="0" borderId="5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" fontId="6" fillId="9" borderId="1" applyAlignment="1" pivotButton="0" quotePrefix="0" xfId="0">
      <alignment vertical="center"/>
    </xf>
    <xf numFmtId="0" fontId="0" fillId="0" borderId="0" pivotButton="0" quotePrefix="0" xfId="0"/>
    <xf numFmtId="0" fontId="18" fillId="1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8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8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5" applyAlignment="1" pivotButton="0" quotePrefix="0" xfId="3">
      <alignment horizontal="right" vertical="center" wrapText="1" readingOrder="1"/>
    </xf>
    <xf numFmtId="165" fontId="6" fillId="7" borderId="0" applyAlignment="1" pivotButton="0" quotePrefix="0" xfId="2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4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4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4"/>
  <sheetViews>
    <sheetView tabSelected="1" topLeftCell="B17" zoomScale="53" zoomScaleNormal="57" workbookViewId="0">
      <selection activeCell="E46" sqref="E46"/>
    </sheetView>
  </sheetViews>
  <sheetFormatPr baseColWidth="8" defaultColWidth="9" defaultRowHeight="17.5"/>
  <cols>
    <col width="19.33203125" customWidth="1" style="5" min="1" max="1"/>
    <col width="29.25" customWidth="1" style="5" min="2" max="2"/>
    <col width="20" customWidth="1" style="5" min="3" max="12"/>
    <col width="2.58203125" customWidth="1" style="5" min="13" max="13"/>
    <col width="15" customWidth="1" style="65" min="14" max="14"/>
    <col width="24.08203125" customWidth="1" style="5" min="15" max="17"/>
    <col width="2.83203125" customWidth="1" style="5" min="18" max="18"/>
    <col width="12.08203125" customWidth="1" style="5" min="19" max="19"/>
    <col width="2.58203125" bestFit="1" customWidth="1" style="5" min="20" max="20"/>
    <col width="12.08203125" customWidth="1" style="5" min="21" max="21"/>
    <col width="2.83203125" customWidth="1" style="5" min="22" max="22"/>
    <col width="12.08203125" customWidth="1" style="5" min="23" max="23"/>
    <col width="2.58203125" bestFit="1" customWidth="1" style="5" min="24" max="24"/>
    <col width="12.08203125" customWidth="1" style="5" min="25" max="25"/>
    <col width="9" customWidth="1" style="5" min="26" max="26"/>
    <col width="9" customWidth="1" style="5" min="27" max="16384"/>
  </cols>
  <sheetData>
    <row r="2" ht="45.75" customHeight="1" s="113">
      <c r="A2" s="54" t="inlineStr">
        <is>
          <t xml:space="preserve"> 株式会社テン・エンタープライズ御中_LINEOA施策提案【SIM】</t>
        </is>
      </c>
    </row>
    <row r="3" ht="22.5" customFormat="1" customHeight="1" s="2">
      <c r="A3" s="1" t="n"/>
      <c r="B3" s="1" t="n"/>
      <c r="C3" s="1" t="n"/>
      <c r="D3" s="1" t="n"/>
      <c r="N3" s="66" t="n"/>
      <c r="O3" s="5" t="n"/>
      <c r="R3" s="5" t="n"/>
    </row>
    <row r="5">
      <c r="A5" s="27" t="inlineStr">
        <is>
          <t>■要件定義</t>
        </is>
      </c>
      <c r="B5" s="15" t="inlineStr">
        <is>
          <t>地点</t>
        </is>
      </c>
      <c r="C5" s="15" t="inlineStr">
        <is>
          <t>名称</t>
        </is>
      </c>
      <c r="D5" s="15" t="inlineStr">
        <is>
          <t>成果単価</t>
        </is>
      </c>
    </row>
    <row r="6">
      <c r="A6" s="119" t="inlineStr">
        <is>
          <t>新規CV</t>
        </is>
      </c>
      <c r="B6" s="17" t="inlineStr">
        <is>
          <t>①_CV地点</t>
        </is>
      </c>
      <c r="C6" s="17" t="inlineStr">
        <is>
          <t>セミナー予約</t>
        </is>
      </c>
      <c r="D6" s="129" t="n">
        <v>20000</v>
      </c>
      <c r="G6" s="5" t="inlineStr">
        <is>
          <t>UU</t>
        </is>
      </c>
      <c r="H6" s="77" t="n">
        <v>20000</v>
      </c>
      <c r="J6" s="5" t="inlineStr">
        <is>
          <t>想定顧客リスト</t>
        </is>
      </c>
      <c r="K6" s="77" t="n">
        <v>0</v>
      </c>
    </row>
    <row r="7">
      <c r="A7" s="122" t="n"/>
      <c r="B7" s="17" t="inlineStr">
        <is>
          <t>②_CV地点</t>
        </is>
      </c>
      <c r="C7" s="36" t="inlineStr">
        <is>
          <t>EC購入</t>
        </is>
      </c>
      <c r="D7" s="129" t="n">
        <v>2000</v>
      </c>
      <c r="G7" s="5" t="inlineStr">
        <is>
          <t>広告・アフィUU</t>
        </is>
      </c>
      <c r="H7" s="77" t="n">
        <v>19000</v>
      </c>
    </row>
    <row r="8">
      <c r="A8" s="119" t="inlineStr">
        <is>
          <t>リピートCV</t>
        </is>
      </c>
      <c r="B8" s="17" t="n"/>
      <c r="C8" s="17" t="n"/>
      <c r="D8" s="129" t="n">
        <v>0</v>
      </c>
      <c r="G8" s="5" t="inlineStr">
        <is>
          <t>CV（別施策）1</t>
        </is>
      </c>
      <c r="H8" s="77" t="n">
        <v>50</v>
      </c>
      <c r="I8" s="5" t="inlineStr">
        <is>
          <t>(広告申し込み_セミナー)</t>
        </is>
      </c>
    </row>
    <row r="9">
      <c r="A9" s="122" t="n"/>
      <c r="B9" s="17" t="n"/>
      <c r="C9" s="36" t="n"/>
      <c r="D9" s="129" t="n">
        <v>0</v>
      </c>
      <c r="G9" s="5" t="inlineStr">
        <is>
          <t>CV（別施策）2</t>
        </is>
      </c>
      <c r="H9" s="77" t="n">
        <v>90</v>
      </c>
      <c r="I9" s="5" t="inlineStr">
        <is>
          <t>(EC月間購入件数)</t>
        </is>
      </c>
    </row>
    <row r="10">
      <c r="E10" s="5" t="inlineStr">
        <is>
          <t>[</t>
        </is>
      </c>
      <c r="O10" s="53" t="inlineStr">
        <is>
          <t>↓調整可能です！</t>
        </is>
      </c>
      <c r="P10" s="53" t="n"/>
      <c r="Q10" s="53" t="n"/>
      <c r="S10" s="53" t="n"/>
      <c r="T10" s="53" t="n"/>
      <c r="U10" s="53" t="n"/>
      <c r="V10" s="53" t="n"/>
    </row>
    <row r="11" ht="18" customHeight="1" s="113">
      <c r="A11" s="120" t="inlineStr">
        <is>
          <t>項目</t>
        </is>
      </c>
      <c r="B11" s="118" t="n"/>
      <c r="C11" s="120" t="n"/>
      <c r="D11" s="12" t="inlineStr">
        <is>
          <t xml:space="preserve">　※↓現状数値</t>
        </is>
      </c>
      <c r="E11" s="34" t="inlineStr">
        <is>
          <t>1か月目(9月)</t>
        </is>
      </c>
      <c r="F11" s="34" t="inlineStr">
        <is>
          <t>2か月目(10月)</t>
        </is>
      </c>
      <c r="G11" s="34" t="inlineStr">
        <is>
          <t>3か月目(11月)</t>
        </is>
      </c>
      <c r="H11" s="34" t="inlineStr">
        <is>
          <t>4か月目(12月)</t>
        </is>
      </c>
      <c r="I11" s="34" t="inlineStr">
        <is>
          <t>5か月目(1月)</t>
        </is>
      </c>
      <c r="J11" s="34" t="inlineStr">
        <is>
          <t>6か月目(2月)</t>
        </is>
      </c>
      <c r="K11" s="3" t="inlineStr">
        <is>
          <t>半年合計</t>
        </is>
      </c>
      <c r="L11" s="128" t="inlineStr">
        <is>
          <t>単月平均（６ヶ月）</t>
        </is>
      </c>
      <c r="N11" s="68" t="inlineStr">
        <is>
          <t>20%くらいの調整は可能です。</t>
        </is>
      </c>
      <c r="O11" s="28" t="inlineStr">
        <is>
          <t>→DYM作業用</t>
        </is>
      </c>
      <c r="P11" s="21" t="n"/>
      <c r="Q11" s="21" t="n"/>
      <c r="S11" s="21" t="n"/>
      <c r="T11" s="21" t="n"/>
      <c r="U11" s="21" t="n"/>
      <c r="V11" s="21" t="n"/>
    </row>
    <row r="12" ht="19" customHeight="1" s="113">
      <c r="A12" s="117" t="inlineStr">
        <is>
          <t>WEBサイト</t>
        </is>
      </c>
      <c r="B12" s="18" t="inlineStr">
        <is>
          <t>UU全体</t>
        </is>
      </c>
      <c r="C12" s="96" t="n"/>
      <c r="D12" s="40">
        <f>+H6</f>
        <v/>
      </c>
      <c r="E12" s="41">
        <f>+D12</f>
        <v/>
      </c>
      <c r="F12" s="41">
        <f>+E12</f>
        <v/>
      </c>
      <c r="G12" s="41">
        <f>+F12</f>
        <v/>
      </c>
      <c r="H12" s="41">
        <f>+G12</f>
        <v/>
      </c>
      <c r="I12" s="41">
        <f>+H12</f>
        <v/>
      </c>
      <c r="J12" s="41">
        <f>+I12</f>
        <v/>
      </c>
      <c r="K12" s="112">
        <f>SUM(E12:J12)</f>
        <v/>
      </c>
      <c r="L12" s="7" t="n"/>
      <c r="N12" s="65" t="inlineStr">
        <is>
          <t>SimilarWeb等を参考に</t>
        </is>
      </c>
    </row>
    <row r="13" ht="19" customHeight="1" s="113">
      <c r="A13" s="126" t="n"/>
      <c r="B13" s="18" t="inlineStr">
        <is>
          <t>UU(うち広告)</t>
        </is>
      </c>
      <c r="C13" s="96" t="n"/>
      <c r="D13" s="40">
        <f>+H7</f>
        <v/>
      </c>
      <c r="E13" s="41">
        <f>+D13</f>
        <v/>
      </c>
      <c r="F13" s="41">
        <f>+E13</f>
        <v/>
      </c>
      <c r="G13" s="41">
        <f>+F13</f>
        <v/>
      </c>
      <c r="H13" s="41">
        <f>+G13</f>
        <v/>
      </c>
      <c r="I13" s="41">
        <f>+H13</f>
        <v/>
      </c>
      <c r="J13" s="41">
        <f>+I13</f>
        <v/>
      </c>
      <c r="K13" s="112">
        <f>SUM(E13:J13)</f>
        <v/>
      </c>
      <c r="L13" s="7" t="n"/>
      <c r="N13" s="65" t="inlineStr">
        <is>
          <t>広告比率等を参考に</t>
        </is>
      </c>
      <c r="O13" s="15" t="inlineStr">
        <is>
          <t>AD以外のLINE誘導</t>
        </is>
      </c>
      <c r="P13" s="76" t="n">
        <v>0.00125</v>
      </c>
      <c r="S13" s="27" t="inlineStr">
        <is>
          <t>■従量計算式↓</t>
        </is>
      </c>
    </row>
    <row r="14" ht="19" customHeight="1" s="113">
      <c r="A14" s="122" t="n"/>
      <c r="B14" s="18" t="inlineStr">
        <is>
          <t>CV（別施策） ※想定</t>
        </is>
      </c>
      <c r="C14" s="96" t="n"/>
      <c r="D14" s="40">
        <f>+H8</f>
        <v/>
      </c>
      <c r="E14" s="41">
        <f>+D14</f>
        <v/>
      </c>
      <c r="F14" s="41">
        <f>+E14</f>
        <v/>
      </c>
      <c r="G14" s="41">
        <f>+F14</f>
        <v/>
      </c>
      <c r="H14" s="41">
        <f>+G14</f>
        <v/>
      </c>
      <c r="I14" s="41">
        <f>+H14</f>
        <v/>
      </c>
      <c r="J14" s="41">
        <f>+I14</f>
        <v/>
      </c>
      <c r="K14" s="112">
        <f>SUM(E14:J14)</f>
        <v/>
      </c>
      <c r="L14" s="7" t="n"/>
      <c r="N14" s="65" t="inlineStr">
        <is>
          <t>CV聞けてれば→通知メッセ、サンクスLINE誘導</t>
        </is>
      </c>
      <c r="O14" s="15" t="inlineStr">
        <is>
          <t>ADでのLP/HP→LINE</t>
        </is>
      </c>
      <c r="P14" s="76" t="n">
        <v>0.00325</v>
      </c>
      <c r="S14" s="5" t="inlineStr">
        <is>
          <t>■料金テーブル</t>
        </is>
      </c>
    </row>
    <row r="15">
      <c r="A15" s="117" t="inlineStr">
        <is>
          <t>施策</t>
        </is>
      </c>
      <c r="B15" s="8" t="inlineStr">
        <is>
          <t>CPF</t>
        </is>
      </c>
      <c r="C15" s="97" t="n"/>
      <c r="D15" s="114" t="b">
        <v>0</v>
      </c>
      <c r="E15" s="115" t="b">
        <v>0</v>
      </c>
      <c r="F15" s="115" t="b">
        <v>0</v>
      </c>
      <c r="G15" s="115" t="b">
        <v>0</v>
      </c>
      <c r="H15" s="115" t="b">
        <v>0</v>
      </c>
      <c r="I15" s="115" t="b">
        <v>0</v>
      </c>
      <c r="J15" s="115" t="b">
        <v>0</v>
      </c>
      <c r="K15" s="112">
        <f>SUM(E15:J15)</f>
        <v/>
      </c>
      <c r="L15" s="9" t="inlineStr">
        <is>
          <t>--</t>
        </is>
      </c>
      <c r="P15" s="5" t="inlineStr">
        <is>
          <t>o.oo125</t>
        </is>
      </c>
      <c r="S15" s="5" t="inlineStr">
        <is>
          <t>課金対象配信総数</t>
        </is>
      </c>
      <c r="W15" s="5" t="inlineStr">
        <is>
          <t>費用</t>
        </is>
      </c>
      <c r="Z15" s="33" t="inlineStr">
        <is>
          <t>単価</t>
        </is>
      </c>
    </row>
    <row r="16">
      <c r="A16" s="126" t="n"/>
      <c r="B16" s="8" t="inlineStr">
        <is>
          <t>離脱防止</t>
        </is>
      </c>
      <c r="C16" s="97" t="n"/>
      <c r="D16" s="114" t="b">
        <v>0</v>
      </c>
      <c r="E16" s="115" t="b">
        <v>1</v>
      </c>
      <c r="F16" s="115" t="b">
        <v>1</v>
      </c>
      <c r="G16" s="115" t="b">
        <v>1</v>
      </c>
      <c r="H16" s="115" t="b">
        <v>1</v>
      </c>
      <c r="I16" s="115" t="b">
        <v>1</v>
      </c>
      <c r="J16" s="115" t="b">
        <v>1</v>
      </c>
      <c r="K16" s="112">
        <f>SUM(E16:J16)</f>
        <v/>
      </c>
      <c r="L16" s="9" t="inlineStr">
        <is>
          <t>--</t>
        </is>
      </c>
      <c r="O16" s="20" t="inlineStr">
        <is>
          <t>離脱防止表示率（AD）</t>
        </is>
      </c>
      <c r="P16" s="75" t="n">
        <v>0.5</v>
      </c>
      <c r="S16" s="5" t="n">
        <v>0</v>
      </c>
      <c r="T16" s="5" t="inlineStr">
        <is>
          <t>-</t>
        </is>
      </c>
      <c r="U16" s="32" t="n">
        <v>50000</v>
      </c>
      <c r="W16" s="5" t="n">
        <v>0</v>
      </c>
      <c r="X16" s="5" t="inlineStr">
        <is>
          <t>-</t>
        </is>
      </c>
      <c r="Y16" s="32" t="n">
        <v>150000</v>
      </c>
      <c r="Z16" s="33" t="n">
        <v>3</v>
      </c>
    </row>
    <row r="17">
      <c r="A17" s="126" t="n"/>
      <c r="B17" s="8" t="inlineStr">
        <is>
          <t>サンクスLINE誘導</t>
        </is>
      </c>
      <c r="C17" s="97" t="n"/>
      <c r="D17" s="114" t="b">
        <v>0</v>
      </c>
      <c r="E17" s="115" t="b">
        <v>1</v>
      </c>
      <c r="F17" s="115" t="b">
        <v>1</v>
      </c>
      <c r="G17" s="115" t="b">
        <v>1</v>
      </c>
      <c r="H17" s="115" t="b">
        <v>1</v>
      </c>
      <c r="I17" s="115" t="b">
        <v>1</v>
      </c>
      <c r="J17" s="115" t="b">
        <v>1</v>
      </c>
      <c r="K17" s="112">
        <f>SUM(E17:J17)</f>
        <v/>
      </c>
      <c r="L17" s="9" t="n"/>
      <c r="O17" s="20" t="inlineStr">
        <is>
          <t>離脱防止表示率（SEO）</t>
        </is>
      </c>
      <c r="P17" s="75" t="n">
        <v>0.3</v>
      </c>
      <c r="S17" s="32" t="n">
        <v>50000</v>
      </c>
      <c r="T17" s="5" t="inlineStr">
        <is>
          <t>-</t>
        </is>
      </c>
      <c r="U17" s="32" t="n">
        <v>100000</v>
      </c>
      <c r="W17" s="32" t="n">
        <v>150000</v>
      </c>
      <c r="X17" s="5" t="inlineStr">
        <is>
          <t>-</t>
        </is>
      </c>
      <c r="Y17" s="32" t="n">
        <v>290000</v>
      </c>
      <c r="Z17" s="33" t="n">
        <v>2.8</v>
      </c>
    </row>
    <row r="18">
      <c r="A18" s="126" t="n"/>
      <c r="B18" s="8" t="inlineStr">
        <is>
          <t>通知メッセージ_CV</t>
        </is>
      </c>
      <c r="C18" s="97" t="n"/>
      <c r="D18" s="114" t="b">
        <v>0</v>
      </c>
      <c r="E18" s="115" t="b">
        <v>0</v>
      </c>
      <c r="F18" s="115" t="b">
        <v>0</v>
      </c>
      <c r="G18" s="115" t="b">
        <v>0</v>
      </c>
      <c r="H18" s="115" t="b">
        <v>0</v>
      </c>
      <c r="I18" s="115" t="b">
        <v>0</v>
      </c>
      <c r="J18" s="115" t="b">
        <v>0</v>
      </c>
      <c r="K18" s="112">
        <f>SUM(E18:J18)</f>
        <v/>
      </c>
      <c r="L18" s="9" t="n"/>
      <c r="S18" s="32" t="n">
        <v>100000</v>
      </c>
      <c r="T18" s="5" t="inlineStr">
        <is>
          <t>-</t>
        </is>
      </c>
      <c r="U18" s="32" t="n">
        <v>200000</v>
      </c>
      <c r="W18" s="32" t="n">
        <v>290000</v>
      </c>
      <c r="X18" s="5" t="inlineStr">
        <is>
          <t>-</t>
        </is>
      </c>
      <c r="Y18" s="32" t="n">
        <v>550000</v>
      </c>
      <c r="Z18" s="33" t="n">
        <v>2.6</v>
      </c>
    </row>
    <row r="19">
      <c r="A19" s="122" t="n"/>
      <c r="B19" s="8" t="inlineStr">
        <is>
          <t>通知メッセージ_既存リスト</t>
        </is>
      </c>
      <c r="C19" s="97" t="n"/>
      <c r="D19" s="114" t="b">
        <v>0</v>
      </c>
      <c r="E19" s="115" t="b">
        <v>0</v>
      </c>
      <c r="F19" s="115" t="b">
        <v>0</v>
      </c>
      <c r="G19" s="115" t="b">
        <v>0</v>
      </c>
      <c r="H19" s="115" t="b">
        <v>0</v>
      </c>
      <c r="I19" s="115" t="b">
        <v>0</v>
      </c>
      <c r="J19" s="115" t="b">
        <v>0</v>
      </c>
      <c r="K19" s="112">
        <f>SUM(E19:J19)</f>
        <v/>
      </c>
      <c r="L19" s="9" t="inlineStr">
        <is>
          <t>--</t>
        </is>
      </c>
      <c r="O19" s="23" t="inlineStr">
        <is>
          <t>↓企画投稿</t>
        </is>
      </c>
      <c r="P19" s="24" t="n"/>
      <c r="S19" s="32" t="n">
        <v>200000</v>
      </c>
      <c r="T19" s="5" t="inlineStr">
        <is>
          <t>-</t>
        </is>
      </c>
      <c r="U19" s="32" t="n">
        <v>300000</v>
      </c>
      <c r="W19" s="32" t="n">
        <v>550000</v>
      </c>
      <c r="X19" s="5" t="inlineStr">
        <is>
          <t>-</t>
        </is>
      </c>
      <c r="Y19" s="32" t="n">
        <v>790000</v>
      </c>
      <c r="Z19" s="33" t="n">
        <v>2.4</v>
      </c>
    </row>
    <row r="20" ht="18.75" customHeight="1" s="113">
      <c r="A20" s="127" t="inlineStr">
        <is>
          <t>施策増分
※友だち</t>
        </is>
      </c>
      <c r="B20" s="6" t="inlineStr">
        <is>
          <t>CPF</t>
        </is>
      </c>
      <c r="C20" s="15" t="n"/>
      <c r="D20" s="42" t="inlineStr">
        <is>
          <t>--</t>
        </is>
      </c>
      <c r="E20" s="59">
        <f>IF(E15=FALSE,0,IF(E63=0,0,IFERROR(E63/P28,"D63を記入してください")))</f>
        <v/>
      </c>
      <c r="F20" s="59">
        <f>E20*1.01</f>
        <v/>
      </c>
      <c r="G20" s="59">
        <f>F20*1.01</f>
        <v/>
      </c>
      <c r="H20" s="59">
        <f>G20*1.01</f>
        <v/>
      </c>
      <c r="I20" s="59">
        <f>H20*1.01</f>
        <v/>
      </c>
      <c r="J20" s="59">
        <f>I20*1.01</f>
        <v/>
      </c>
      <c r="K20" s="112">
        <f>SUM(E20:J20)</f>
        <v/>
      </c>
      <c r="L20" s="7" t="n"/>
      <c r="N20" s="65" t="inlineStr">
        <is>
          <t>CPFコスト / CPFの単価設定 ※ブロック率が上がりやすい</t>
        </is>
      </c>
      <c r="O20" s="15" t="inlineStr">
        <is>
          <t>開封率</t>
        </is>
      </c>
      <c r="P20" s="130" t="n">
        <v>0.78</v>
      </c>
      <c r="S20" s="32" t="n">
        <v>300000</v>
      </c>
      <c r="T20" s="5" t="inlineStr">
        <is>
          <t>-</t>
        </is>
      </c>
      <c r="U20" s="32" t="n">
        <v>400000</v>
      </c>
      <c r="W20" s="32" t="n">
        <v>790000</v>
      </c>
      <c r="X20" s="5" t="inlineStr">
        <is>
          <t>-</t>
        </is>
      </c>
      <c r="Y20" s="32" t="n">
        <v>1010000</v>
      </c>
      <c r="Z20" s="33" t="n">
        <v>2.2</v>
      </c>
    </row>
    <row r="21" ht="19" customHeight="1" s="113">
      <c r="A21" s="126" t="n"/>
      <c r="B21" s="6" t="inlineStr">
        <is>
          <t>離脱防止</t>
        </is>
      </c>
      <c r="C21" s="15" t="n"/>
      <c r="D21" s="42" t="inlineStr">
        <is>
          <t>--</t>
        </is>
      </c>
      <c r="E21" s="44">
        <f>IF(E16=FALSE,0,E13*P16*0.08*0.08+(E12-E13)*P17*0.06*0.06)</f>
        <v/>
      </c>
      <c r="F21" s="44">
        <f>IF(F16=FALSE,0,F13*$P$16*0.08*0.08+(F12-F13)*$P$17*0.06*0.06)</f>
        <v/>
      </c>
      <c r="G21" s="44">
        <f>IF(G16=FALSE,0,G13*$P$16*0.08*0.08+(G12-G13)*$P$17*0.06*0.06)</f>
        <v/>
      </c>
      <c r="H21" s="44">
        <f>IF(H16=FALSE,0,H13*$P$16*0.08*0.08+(H12-H13)*$P$17*0.06*0.06)</f>
        <v/>
      </c>
      <c r="I21" s="44">
        <f>IF(I16=FALSE,0,I13*$P$16*0.08*0.08+(I12-I13)*$P$17*0.06*0.06)</f>
        <v/>
      </c>
      <c r="J21" s="44">
        <f>IF(J16=FALSE,0,J13*$P$16*0.08*0.08+(J12-J13)*$P$17*0.06*0.06)</f>
        <v/>
      </c>
      <c r="K21" s="112">
        <f>SUM(E21:J21)</f>
        <v/>
      </c>
      <c r="L21" s="7" t="n"/>
      <c r="N21" s="65" t="inlineStr">
        <is>
          <t>離脱防止表示率×UU×クリック率×実追加率</t>
        </is>
      </c>
      <c r="O21" s="15" t="inlineStr">
        <is>
          <t>クリック率</t>
        </is>
      </c>
      <c r="P21" s="130" t="n">
        <v>0.1</v>
      </c>
      <c r="Q21" s="5" t="inlineStr">
        <is>
          <t>4‐6か月後係数</t>
        </is>
      </c>
      <c r="S21" s="32" t="n">
        <v>400000</v>
      </c>
      <c r="T21" s="5" t="inlineStr">
        <is>
          <t>-</t>
        </is>
      </c>
      <c r="U21" s="32" t="n">
        <v>500000</v>
      </c>
      <c r="W21" s="32" t="n">
        <v>1010000</v>
      </c>
      <c r="X21" s="5" t="inlineStr">
        <is>
          <t>-</t>
        </is>
      </c>
      <c r="Y21" s="32" t="n">
        <v>1210000</v>
      </c>
      <c r="Z21" s="33" t="n">
        <v>2</v>
      </c>
    </row>
    <row r="22" ht="19" customHeight="1" s="113">
      <c r="A22" s="126" t="n"/>
      <c r="B22" s="6" t="inlineStr">
        <is>
          <t>サンクスLINE誘導</t>
        </is>
      </c>
      <c r="C22" s="15" t="n"/>
      <c r="D22" s="42" t="inlineStr">
        <is>
          <t>--</t>
        </is>
      </c>
      <c r="E22" s="44">
        <f>+IF(E17=FALSE,0,SUM(H8:H9)*0.9*0.25)</f>
        <v/>
      </c>
      <c r="F22" s="59">
        <f>E22*1.01</f>
        <v/>
      </c>
      <c r="G22" s="59">
        <f>F22*1.01</f>
        <v/>
      </c>
      <c r="H22" s="59">
        <f>G22*1.01</f>
        <v/>
      </c>
      <c r="I22" s="59">
        <f>H22*1.01</f>
        <v/>
      </c>
      <c r="J22" s="59">
        <f>I22*1.01</f>
        <v/>
      </c>
      <c r="K22" s="112">
        <f>SUM(E22:J22)</f>
        <v/>
      </c>
      <c r="L22" s="7" t="n"/>
      <c r="N22" s="65" t="inlineStr">
        <is>
          <t>CV(別施策)*誘導成功率*実追加率</t>
        </is>
      </c>
      <c r="O22" s="20" t="inlineStr">
        <is>
          <t>audienceターゲ率</t>
        </is>
      </c>
      <c r="P22" s="131" t="n">
        <v>0.8</v>
      </c>
      <c r="Q22" s="67" t="n">
        <v>0.8</v>
      </c>
      <c r="S22" s="32" t="n">
        <v>500000</v>
      </c>
      <c r="T22" s="5" t="inlineStr">
        <is>
          <t>-</t>
        </is>
      </c>
      <c r="U22" s="32" t="n">
        <v>600000</v>
      </c>
      <c r="W22" s="32" t="n">
        <v>1210000</v>
      </c>
      <c r="X22" s="5" t="inlineStr">
        <is>
          <t>-</t>
        </is>
      </c>
      <c r="Y22" s="32" t="n">
        <v>1400000</v>
      </c>
      <c r="Z22" s="33" t="n">
        <v>1.9</v>
      </c>
    </row>
    <row r="23" ht="19" customHeight="1" s="113">
      <c r="A23" s="122" t="n"/>
      <c r="B23" s="6" t="inlineStr">
        <is>
          <t>通知メッセージ</t>
        </is>
      </c>
      <c r="C23" s="15" t="n"/>
      <c r="D23" s="42" t="inlineStr">
        <is>
          <t>--</t>
        </is>
      </c>
      <c r="E23" s="44">
        <f>+IF(E18=FALSE,0,SUM($H$8:$H$9)*0.7*0.3+$K$6*0.1*0.15)</f>
        <v/>
      </c>
      <c r="F23" s="44">
        <f>+IF(F18=FALSE,0,SUM($H$8:$H$9)*0.7*0.3+$K$6*0.1*0.15)*0.8</f>
        <v/>
      </c>
      <c r="G23" s="44">
        <f>+IF(G18=FALSE,0,SUM($H$8:$H$9)*0.7*0.3+$K$6*0.1*0.15)*0.8</f>
        <v/>
      </c>
      <c r="H23" s="44">
        <f>+IF(H18=FALSE,0,SUM($H$8:$H$9)*0.7*0.3+$K$6*0.1*0.15)*0.8</f>
        <v/>
      </c>
      <c r="I23" s="44">
        <f>+IF(I18=FALSE,0,SUM($H$8:$H$9)*0.7*0.3+$K$6*0.1*0.15)*0.8</f>
        <v/>
      </c>
      <c r="J23" s="44">
        <f>+IF(J18=FALSE,0,SUM($H$8:$H$9)*0.7*0.3+$K$6*0.1*0.15)*0.8</f>
        <v/>
      </c>
      <c r="K23" s="112">
        <f>SUM(E23:J23)</f>
        <v/>
      </c>
      <c r="L23" s="7" t="n"/>
      <c r="N23" s="65" t="inlineStr">
        <is>
          <t>サンクス到達*情報一致率(70%前後)*実追加率</t>
        </is>
      </c>
      <c r="O23" s="23" t="inlineStr">
        <is>
          <t>↓ステップ配信</t>
        </is>
      </c>
      <c r="P23" s="24" t="n"/>
      <c r="S23" s="32" t="n">
        <v>600000</v>
      </c>
      <c r="T23" s="5" t="inlineStr">
        <is>
          <t>-</t>
        </is>
      </c>
      <c r="U23" s="32" t="n">
        <v>700000</v>
      </c>
      <c r="W23" s="32" t="n">
        <v>1400000</v>
      </c>
      <c r="X23" s="5" t="inlineStr">
        <is>
          <t>-</t>
        </is>
      </c>
      <c r="Y23" s="32" t="n">
        <v>1580000</v>
      </c>
      <c r="Z23" s="33" t="n">
        <v>1.8</v>
      </c>
    </row>
    <row r="24" ht="19" customHeight="1" s="113">
      <c r="A24" s="117" t="inlineStr">
        <is>
          <t>友だち数_増加数</t>
        </is>
      </c>
      <c r="B24" s="118" t="n"/>
      <c r="C24" s="21" t="n"/>
      <c r="D24" s="42" t="inlineStr">
        <is>
          <t>--</t>
        </is>
      </c>
      <c r="E24" s="44">
        <f>+SUM(E20:E23)+$H$7*$P$14+($H$6-$H$7)*$P$13</f>
        <v/>
      </c>
      <c r="F24" s="44">
        <f>+SUM(F20:F23)+$H$7*$P$14+($H$6-$H$7)*$P$13</f>
        <v/>
      </c>
      <c r="G24" s="44">
        <f>+SUM(G20:G23)+$H$7*$P$14+($H$6-$H$7)*$P$13</f>
        <v/>
      </c>
      <c r="H24" s="44">
        <f>+SUM(H20:H23)+$H$7*$P$14+($H$6-$H$7)*$P$13</f>
        <v/>
      </c>
      <c r="I24" s="44">
        <f>+SUM(I20:I23)+$H$7*$P$14+($H$6-$H$7)*$P$13</f>
        <v/>
      </c>
      <c r="J24" s="44">
        <f>+SUM(J20:J23)+$H$7*$P$14+($H$6-$H$7)*$P$13</f>
        <v/>
      </c>
      <c r="K24" s="112">
        <f>SUM(E24:J24)</f>
        <v/>
      </c>
      <c r="L24" s="7" t="n"/>
      <c r="N24" s="69" t="inlineStr">
        <is>
          <t>※上記記載に追加して、LP、HPからのLINE誘導を加味する</t>
        </is>
      </c>
      <c r="O24" s="15" t="inlineStr">
        <is>
          <t>開封率</t>
        </is>
      </c>
      <c r="P24" s="130" t="n">
        <v>0.725</v>
      </c>
      <c r="S24" s="32" t="n">
        <v>700000</v>
      </c>
      <c r="T24" s="5" t="inlineStr">
        <is>
          <t>-</t>
        </is>
      </c>
      <c r="U24" s="32" t="n">
        <v>800000</v>
      </c>
      <c r="W24" s="32" t="n">
        <v>1580000</v>
      </c>
      <c r="X24" s="5" t="inlineStr">
        <is>
          <t>-</t>
        </is>
      </c>
      <c r="Y24" s="32" t="n">
        <v>1750000</v>
      </c>
      <c r="Z24" s="33" t="n">
        <v>1.7</v>
      </c>
    </row>
    <row r="25" ht="19" customHeight="1" s="113">
      <c r="A25" s="117" t="inlineStr">
        <is>
          <t>ブロック率</t>
        </is>
      </c>
      <c r="B25" s="118" t="n"/>
      <c r="C25" s="21" t="n"/>
      <c r="D25" s="132" t="n">
        <v>0.344</v>
      </c>
      <c r="E25" s="45" t="n">
        <v>0.349</v>
      </c>
      <c r="F25" s="45">
        <f>+E25*1.015</f>
        <v/>
      </c>
      <c r="G25" s="45">
        <f>+F25*1.015</f>
        <v/>
      </c>
      <c r="H25" s="45">
        <f>+G25*1.015</f>
        <v/>
      </c>
      <c r="I25" s="45">
        <f>+H25*1.015</f>
        <v/>
      </c>
      <c r="J25" s="45">
        <f>+I25*1.015</f>
        <v/>
      </c>
      <c r="K25" s="112">
        <f>SUM(E25:J25)</f>
        <v/>
      </c>
      <c r="L25" s="7" t="n"/>
      <c r="O25" s="15" t="inlineStr">
        <is>
          <t>クリック率</t>
        </is>
      </c>
      <c r="P25" s="130" t="n">
        <v>0.12</v>
      </c>
      <c r="Q25" s="5" t="inlineStr">
        <is>
          <t>4‐6か月後係数</t>
        </is>
      </c>
      <c r="S25" s="32" t="n">
        <v>800000</v>
      </c>
      <c r="T25" s="5" t="inlineStr">
        <is>
          <t>-</t>
        </is>
      </c>
      <c r="U25" s="32" t="n">
        <v>900000</v>
      </c>
      <c r="W25" s="32" t="n">
        <v>1750000</v>
      </c>
      <c r="X25" s="5" t="inlineStr">
        <is>
          <t>-</t>
        </is>
      </c>
      <c r="Y25" s="32" t="n">
        <v>1910000</v>
      </c>
      <c r="Z25" s="33" t="n">
        <v>1.6</v>
      </c>
    </row>
    <row r="26" ht="19" customHeight="1" s="113">
      <c r="A26" s="125" t="inlineStr">
        <is>
          <t>友だち数</t>
        </is>
      </c>
      <c r="B26" s="118" t="n"/>
      <c r="C26" s="98" t="n"/>
      <c r="D26" s="103" t="n">
        <v>12000</v>
      </c>
      <c r="E26" s="47">
        <f>+D26+E24</f>
        <v/>
      </c>
      <c r="F26" s="47">
        <f>+E26+F24</f>
        <v/>
      </c>
      <c r="G26" s="47">
        <f>+F26+G24</f>
        <v/>
      </c>
      <c r="H26" s="47">
        <f>+G26+H24</f>
        <v/>
      </c>
      <c r="I26" s="47">
        <f>+H26+I24</f>
        <v/>
      </c>
      <c r="J26" s="47">
        <f>+I26+J24</f>
        <v/>
      </c>
      <c r="K26" s="112">
        <f>SUM(E26:J26)</f>
        <v/>
      </c>
      <c r="L26" s="7" t="n"/>
      <c r="O26" s="20" t="inlineStr">
        <is>
          <t>audienceターゲ率</t>
        </is>
      </c>
      <c r="P26" s="131" t="n">
        <v>0.8</v>
      </c>
      <c r="Q26" s="67" t="n">
        <v>0.8</v>
      </c>
      <c r="S26" s="32" t="n">
        <v>900000</v>
      </c>
      <c r="T26" s="5" t="inlineStr">
        <is>
          <t>-</t>
        </is>
      </c>
      <c r="U26" s="32" t="n">
        <v>1000000</v>
      </c>
      <c r="W26" s="32" t="n">
        <v>1910000</v>
      </c>
      <c r="X26" s="5" t="inlineStr">
        <is>
          <t>-</t>
        </is>
      </c>
      <c r="Y26" s="32" t="n">
        <v>2060000</v>
      </c>
      <c r="Z26" s="33" t="n">
        <v>1.5</v>
      </c>
    </row>
    <row r="27" ht="19" customHeight="1" s="113">
      <c r="A27" s="124" t="inlineStr">
        <is>
          <t>ターゲット数</t>
        </is>
      </c>
      <c r="B27" s="118" t="n"/>
      <c r="C27" s="99" t="n"/>
      <c r="D27" s="105" t="n">
        <v>0</v>
      </c>
      <c r="E27" s="48">
        <f>+E26*(1-E25)</f>
        <v/>
      </c>
      <c r="F27" s="48">
        <f>+F26*(1-F25)</f>
        <v/>
      </c>
      <c r="G27" s="48">
        <f>+G26*(1-G25)</f>
        <v/>
      </c>
      <c r="H27" s="48">
        <f>+H26*(1-H25)</f>
        <v/>
      </c>
      <c r="I27" s="48">
        <f>+I26*(1-I25)</f>
        <v/>
      </c>
      <c r="J27" s="48">
        <f>+J26*(1-J25)</f>
        <v/>
      </c>
      <c r="K27" s="112">
        <f>SUM(E27:J27)</f>
        <v/>
      </c>
      <c r="L27" s="7" t="n"/>
      <c r="N27" s="65" t="inlineStr">
        <is>
          <t>※ターゲット数の増加分が通常の増加分を超えないように調整する</t>
        </is>
      </c>
      <c r="S27" s="32" t="n">
        <v>1000000</v>
      </c>
      <c r="T27" s="5" t="inlineStr">
        <is>
          <t>-</t>
        </is>
      </c>
      <c r="U27" s="32" t="n">
        <v>3000000</v>
      </c>
      <c r="W27" s="32" t="n">
        <v>2060000</v>
      </c>
      <c r="X27" s="5" t="inlineStr">
        <is>
          <t>-</t>
        </is>
      </c>
      <c r="Y27" s="32" t="n">
        <v>4860000</v>
      </c>
      <c r="Z27" s="33" t="n">
        <v>1.4</v>
      </c>
    </row>
    <row r="28" ht="19" customHeight="1" s="113">
      <c r="A28" s="123" t="inlineStr">
        <is>
          <t>企画投稿数</t>
        </is>
      </c>
      <c r="B28" s="118" t="n"/>
      <c r="C28" s="28" t="n"/>
      <c r="D28" s="46" t="n">
        <v>0</v>
      </c>
      <c r="E28" s="43" t="n">
        <v>4</v>
      </c>
      <c r="F28" s="43" t="n">
        <v>4</v>
      </c>
      <c r="G28" s="43" t="n">
        <v>4</v>
      </c>
      <c r="H28" s="43" t="n">
        <v>4</v>
      </c>
      <c r="I28" s="43" t="n">
        <v>4</v>
      </c>
      <c r="J28" s="43" t="n">
        <v>4</v>
      </c>
      <c r="K28" s="112">
        <f>SUM(E28:J28)</f>
        <v/>
      </c>
      <c r="L28" s="7" t="n"/>
      <c r="N28" s="65" t="inlineStr">
        <is>
          <t>←基本本数が4本として設計する（ユーザー数と固定費で調整）</t>
        </is>
      </c>
      <c r="O28" s="15" t="inlineStr">
        <is>
          <t>CPFの単価設定</t>
        </is>
      </c>
      <c r="P28" s="133" t="n">
        <v>150</v>
      </c>
      <c r="S28" s="32" t="n">
        <v>3000000</v>
      </c>
      <c r="T28" s="5" t="inlineStr">
        <is>
          <t>-</t>
        </is>
      </c>
      <c r="U28" s="32" t="n">
        <v>5000000</v>
      </c>
      <c r="W28" s="32" t="n">
        <v>4860000</v>
      </c>
      <c r="X28" s="5" t="inlineStr">
        <is>
          <t>-</t>
        </is>
      </c>
      <c r="Y28" s="32" t="n">
        <v>7460000</v>
      </c>
      <c r="Z28" s="33" t="n">
        <v>1.3</v>
      </c>
    </row>
    <row r="29" ht="19" customHeight="1" s="113">
      <c r="A29" s="117" t="inlineStr">
        <is>
          <t>企画投稿からの流入</t>
        </is>
      </c>
      <c r="B29" s="118" t="n"/>
      <c r="C29" s="21" t="n"/>
      <c r="D29" s="105">
        <f>+D28*D27*0.41*0.07</f>
        <v/>
      </c>
      <c r="E29" s="59">
        <f>+E27*E28*$P$22*$P$20*$P$21*$P$34</f>
        <v/>
      </c>
      <c r="F29" s="59">
        <f>+F27*F28*$P$22*$P$20*$P$21*$P$34</f>
        <v/>
      </c>
      <c r="G29" s="59">
        <f>+G27*G28*$P$22*$P$20*$P$21*$P$34</f>
        <v/>
      </c>
      <c r="H29" s="59">
        <f>+H27*H28*$P$22*$P$20*$P$21*$P$34*$Q$22</f>
        <v/>
      </c>
      <c r="I29" s="59">
        <f>+I27*I28*$P$22*$P$20*$P$21*$P$34*$Q$22</f>
        <v/>
      </c>
      <c r="J29" s="59">
        <f>+J27*J28*$P$22*$P$20*$P$21*$P$34*$Q$22</f>
        <v/>
      </c>
      <c r="K29" s="112">
        <f>SUM(E29:J29)</f>
        <v/>
      </c>
      <c r="L29" s="7" t="n"/>
      <c r="S29" s="32" t="n">
        <v>5000000</v>
      </c>
      <c r="T29" s="5" t="inlineStr">
        <is>
          <t>-</t>
        </is>
      </c>
      <c r="U29" s="32" t="n">
        <v>7000000</v>
      </c>
      <c r="W29" s="32" t="n">
        <v>7460000</v>
      </c>
      <c r="X29" s="5" t="inlineStr">
        <is>
          <t>-</t>
        </is>
      </c>
      <c r="Y29" s="32" t="n">
        <v>9860000</v>
      </c>
      <c r="Z29" s="33" t="n">
        <v>1.2</v>
      </c>
    </row>
    <row r="30" ht="19" customHeight="1" s="113">
      <c r="A30" s="123" t="inlineStr">
        <is>
          <t>ステップ配信本数</t>
        </is>
      </c>
      <c r="B30" s="118" t="n"/>
      <c r="C30" s="28" t="n"/>
      <c r="D30" s="46" t="n">
        <v>0</v>
      </c>
      <c r="E30" s="43" t="n">
        <v>10</v>
      </c>
      <c r="F30" s="43" t="n">
        <v>10</v>
      </c>
      <c r="G30" s="43" t="n">
        <v>10</v>
      </c>
      <c r="H30" s="43" t="n">
        <v>10</v>
      </c>
      <c r="I30" s="43" t="n">
        <v>10</v>
      </c>
      <c r="J30" s="43" t="n">
        <v>10</v>
      </c>
      <c r="K30" s="112">
        <f>SUM(E30:J30)</f>
        <v/>
      </c>
      <c r="L30" s="7" t="n"/>
      <c r="N30" s="65" t="inlineStr">
        <is>
          <t>←基本本数が4本として設計する</t>
        </is>
      </c>
      <c r="O30" s="15" t="inlineStr">
        <is>
          <t>特典の強さ</t>
        </is>
      </c>
      <c r="P30" s="116" t="b">
        <v>1</v>
      </c>
      <c r="Q30" s="70">
        <f>+IF(P30=TRUE,1.1,0.95)</f>
        <v/>
      </c>
      <c r="S30" s="32" t="n">
        <v>7000000</v>
      </c>
      <c r="T30" s="5" t="inlineStr">
        <is>
          <t>-</t>
        </is>
      </c>
      <c r="U30" s="32" t="n">
        <v>10000000</v>
      </c>
      <c r="W30" s="32" t="n">
        <v>9860000</v>
      </c>
      <c r="X30" s="5" t="inlineStr">
        <is>
          <t>-</t>
        </is>
      </c>
      <c r="Y30" s="5" t="e">
        <v>#REF!</v>
      </c>
      <c r="Z30" s="33" t="n"/>
    </row>
    <row r="31" ht="19" customHeight="1" s="113">
      <c r="A31" s="117" t="inlineStr">
        <is>
          <t>ステップ配信からの流入</t>
        </is>
      </c>
      <c r="B31" s="118" t="n"/>
      <c r="C31" s="21" t="n"/>
      <c r="D31" s="42" t="n">
        <v>0</v>
      </c>
      <c r="E31" s="59">
        <f>+(E24*(1-E25))*E30*$P$24*$P$25*$P$26*$P$34</f>
        <v/>
      </c>
      <c r="F31" s="59">
        <f>+(F24*(1-F25))*F30*$P$24*$P$25*$P$26*$P$34</f>
        <v/>
      </c>
      <c r="G31" s="59">
        <f>+(G24*(1-G25))*G30*$P$24*$P$25*$P$26*$P$34</f>
        <v/>
      </c>
      <c r="H31" s="59">
        <f>+(H24*(1-H25))*H30*$P$24*$P$25*$P$26*$P$34*$Q$26</f>
        <v/>
      </c>
      <c r="I31" s="59">
        <f>+(I24*(1-I25))*I30*$P$24*$P$25*$P$26*$P$34*$Q$26</f>
        <v/>
      </c>
      <c r="J31" s="59">
        <f>+(J24*(1-J25))*J30*$P$24*$P$25*$P$26*$P$34*$Q$26</f>
        <v/>
      </c>
      <c r="K31" s="112">
        <f>SUM(E31:J31)</f>
        <v/>
      </c>
      <c r="L31" s="7" t="n"/>
      <c r="O31" s="15" t="inlineStr">
        <is>
          <t>クリエイティブ強さ</t>
        </is>
      </c>
      <c r="P31" s="116" t="b">
        <v>1</v>
      </c>
      <c r="Q31" s="70">
        <f>+IF(P31=TRUE,1.1,0.95)</f>
        <v/>
      </c>
    </row>
    <row r="32" ht="19" customHeight="1" s="113">
      <c r="A32" s="124" t="inlineStr">
        <is>
          <t>配信数</t>
        </is>
      </c>
      <c r="B32" s="118" t="n"/>
      <c r="C32" s="99" t="n"/>
      <c r="D32" s="105">
        <f>+D27*D28</f>
        <v/>
      </c>
      <c r="E32" s="44">
        <f>+E27*E28*$P$22+(E24*(1-E25))*E30*$P$26</f>
        <v/>
      </c>
      <c r="F32" s="44">
        <f>+F27*F28*$P$22+(F24*(1-F25))*F30*$P$26</f>
        <v/>
      </c>
      <c r="G32" s="44">
        <f>+G27*G28*$P$22+(G24*(1-G25))*G30*$P$26</f>
        <v/>
      </c>
      <c r="H32" s="44">
        <f>+H27*H28*$P$22*$Q$22+(H24*(1-H25))*H30*$P$26*$Q$26</f>
        <v/>
      </c>
      <c r="I32" s="44">
        <f>+I27*I28*$P$22*$Q$22+(I24*(1-I25))*I30*$P$26*$Q$26</f>
        <v/>
      </c>
      <c r="J32" s="44">
        <f>+J27*J28*$P$22*$Q$22+(J24*(1-J25))*J30*$P$26*$Q$26</f>
        <v/>
      </c>
      <c r="K32" s="112">
        <f>SUM(E32:J32)</f>
        <v/>
      </c>
      <c r="L32" s="7" t="n"/>
      <c r="O32" s="15" t="inlineStr">
        <is>
          <t>知名度強さ</t>
        </is>
      </c>
      <c r="P32" s="116" t="b">
        <v>0</v>
      </c>
      <c r="Q32" s="70">
        <f>+IF(P32=TRUE,1.1,0.95)</f>
        <v/>
      </c>
    </row>
    <row r="33" ht="19" customHeight="1" s="113">
      <c r="A33" s="124" t="inlineStr">
        <is>
          <t>想定Click数</t>
        </is>
      </c>
      <c r="B33" s="118" t="n"/>
      <c r="C33" s="99" t="n"/>
      <c r="D33" s="106">
        <f>+D29*1.02</f>
        <v/>
      </c>
      <c r="E33" s="48">
        <f>+E29+E31+1.05*(E29+E31)</f>
        <v/>
      </c>
      <c r="F33" s="48">
        <f>+F29+F31+1.05*(F29+F31)</f>
        <v/>
      </c>
      <c r="G33" s="48">
        <f>+G29+G31+1.05*(G29+G31)</f>
        <v/>
      </c>
      <c r="H33" s="48">
        <f>+H29+H31+1.05*(H29+H31)</f>
        <v/>
      </c>
      <c r="I33" s="48">
        <f>+I29+I31+1.05*(I29+I31)</f>
        <v/>
      </c>
      <c r="J33" s="48">
        <f>+J29+J31+1.05*(J29+J31)</f>
        <v/>
      </c>
      <c r="K33" s="112">
        <f>SUM(E33:J33)</f>
        <v/>
      </c>
      <c r="L33" s="7" t="n"/>
      <c r="O33" s="15" t="inlineStr">
        <is>
          <t>動線の強さ</t>
        </is>
      </c>
      <c r="P33" s="116" t="b">
        <v>1</v>
      </c>
      <c r="Q33" s="70">
        <f>+IF(P33=TRUE,1.1,0.95)</f>
        <v/>
      </c>
    </row>
    <row r="34">
      <c r="A34" s="121" t="inlineStr">
        <is>
          <t>新規CV</t>
        </is>
      </c>
      <c r="B34" s="6">
        <f>+C6</f>
        <v/>
      </c>
      <c r="C34" s="6" t="n"/>
      <c r="D34" s="11" t="n">
        <v>0</v>
      </c>
      <c r="E34" s="108" t="n">
        <v>8</v>
      </c>
      <c r="F34" s="108" t="n">
        <v>10</v>
      </c>
      <c r="G34" s="108" t="n">
        <v>12</v>
      </c>
      <c r="H34" s="108" t="n">
        <v>14</v>
      </c>
      <c r="I34" s="108" t="n">
        <v>16</v>
      </c>
      <c r="J34" s="108" t="n">
        <v>18</v>
      </c>
      <c r="K34" s="112">
        <f>SUM(E34:J34)</f>
        <v/>
      </c>
      <c r="L34" s="7" t="n"/>
      <c r="N34" s="65" t="inlineStr">
        <is>
          <t>新規向け_</t>
        </is>
      </c>
      <c r="O34" s="15" t="inlineStr">
        <is>
          <t>想定の係数（反応率）</t>
        </is>
      </c>
      <c r="P34" s="71">
        <f>1*(Q30*Q31*Q32*Q33)</f>
        <v/>
      </c>
      <c r="Q34" s="70" t="n"/>
    </row>
    <row r="35">
      <c r="A35" s="122" t="n"/>
      <c r="B35" s="6">
        <f>+C7</f>
        <v/>
      </c>
      <c r="C35" s="6" t="n"/>
      <c r="D35" s="11" t="n">
        <v>0</v>
      </c>
      <c r="E35" s="108" t="n">
        <v>10</v>
      </c>
      <c r="F35" s="108" t="n">
        <v>12</v>
      </c>
      <c r="G35" s="108" t="n">
        <v>14</v>
      </c>
      <c r="H35" s="108" t="n">
        <v>16</v>
      </c>
      <c r="I35" s="108" t="n">
        <v>18</v>
      </c>
      <c r="J35" s="108" t="n">
        <v>20</v>
      </c>
      <c r="K35" s="112">
        <f>SUM(E35:J35)</f>
        <v/>
      </c>
      <c r="L35" s="7" t="n"/>
      <c r="N35" s="65" t="inlineStr">
        <is>
          <t>新規向け_</t>
        </is>
      </c>
    </row>
    <row r="36">
      <c r="A36" s="121" t="inlineStr">
        <is>
          <t>リピートCV</t>
        </is>
      </c>
      <c r="B36" s="6">
        <f>+C8</f>
        <v/>
      </c>
      <c r="C36" s="6" t="n"/>
      <c r="D36" s="11" t="n">
        <v>0</v>
      </c>
      <c r="E36" s="108" t="n">
        <v>0</v>
      </c>
      <c r="F36" s="108" t="n">
        <v>0</v>
      </c>
      <c r="G36" s="108" t="n">
        <v>0</v>
      </c>
      <c r="H36" s="108" t="n">
        <v>0</v>
      </c>
      <c r="I36" s="108" t="n">
        <v>0</v>
      </c>
      <c r="J36" s="108" t="n">
        <v>0</v>
      </c>
      <c r="K36" s="112">
        <f>SUM(E36:J36)</f>
        <v/>
      </c>
      <c r="L36" s="7" t="n"/>
      <c r="N36" s="65" t="inlineStr">
        <is>
          <t>既存向け_休眠顧客向け</t>
        </is>
      </c>
      <c r="O36" s="19" t="inlineStr">
        <is>
          <t>※①＞②で作成</t>
        </is>
      </c>
    </row>
    <row r="37">
      <c r="A37" s="122" t="n"/>
      <c r="B37" s="6">
        <f>+C9</f>
        <v/>
      </c>
      <c r="C37" s="6" t="n"/>
      <c r="D37" s="11" t="n">
        <v>0</v>
      </c>
      <c r="E37" s="108" t="n">
        <v>0</v>
      </c>
      <c r="F37" s="108" t="n">
        <v>0</v>
      </c>
      <c r="G37" s="108" t="n">
        <v>0</v>
      </c>
      <c r="H37" s="108" t="n">
        <v>0</v>
      </c>
      <c r="I37" s="108" t="n">
        <v>0</v>
      </c>
      <c r="J37" s="108" t="n">
        <v>0</v>
      </c>
      <c r="K37" s="112">
        <f>SUM(E37:J37)</f>
        <v/>
      </c>
      <c r="L37" s="7" t="n"/>
      <c r="N37" s="65" t="inlineStr">
        <is>
          <t>既存向け_休眠顧客向け</t>
        </is>
      </c>
      <c r="O37" s="19" t="inlineStr">
        <is>
          <t>※③＞④で作成</t>
        </is>
      </c>
    </row>
    <row r="38" ht="18" customHeight="1" s="113">
      <c r="A38" s="119" t="inlineStr">
        <is>
          <t>合計CV</t>
        </is>
      </c>
      <c r="B38" s="118" t="n"/>
      <c r="C38" s="94" t="n"/>
      <c r="D38" s="11">
        <f>+SUM(D34:D37)</f>
        <v/>
      </c>
      <c r="E38" s="10">
        <f>+SUM(E34:E37)</f>
        <v/>
      </c>
      <c r="F38" s="10">
        <f>+SUM(F34:F37)</f>
        <v/>
      </c>
      <c r="G38" s="10">
        <f>+SUM(G34:G37)</f>
        <v/>
      </c>
      <c r="H38" s="10">
        <f>+SUM(H34:H37)</f>
        <v/>
      </c>
      <c r="I38" s="10">
        <f>+SUM(I34:I37)</f>
        <v/>
      </c>
      <c r="J38" s="10">
        <f>+SUM(J34:J37)</f>
        <v/>
      </c>
      <c r="K38" s="112">
        <f>SUM(E38:J38)</f>
        <v/>
      </c>
      <c r="L38" s="7" t="n"/>
      <c r="O38" s="15" t="n"/>
    </row>
    <row r="39">
      <c r="B39" s="5" t="inlineStr">
        <is>
          <t>CVR</t>
        </is>
      </c>
      <c r="D39" s="16">
        <f>+IFERROR(D38/D33,0)</f>
        <v/>
      </c>
      <c r="E39" s="16">
        <f>+IFERROR(E38/E33,0)</f>
        <v/>
      </c>
      <c r="F39" s="16">
        <f>+IFERROR(F38/F33,0)</f>
        <v/>
      </c>
      <c r="G39" s="16">
        <f>+IFERROR(G38/G33,0)</f>
        <v/>
      </c>
      <c r="H39" s="16">
        <f>+IFERROR(H38/H33,0)</f>
        <v/>
      </c>
      <c r="I39" s="16">
        <f>+IFERROR(I38/I33,0)</f>
        <v/>
      </c>
      <c r="J39" s="16">
        <f>+IFERROR(J38/J33,0)</f>
        <v/>
      </c>
      <c r="N39" s="65" t="inlineStr">
        <is>
          <t>CV/流入数で計算、0.3%〜1%とかで推移。</t>
        </is>
      </c>
    </row>
    <row r="40">
      <c r="D40" s="16" t="n"/>
      <c r="E40" s="16" t="n"/>
      <c r="F40" s="16" t="n"/>
      <c r="G40" s="16" t="n"/>
      <c r="H40" s="16" t="n"/>
      <c r="I40" s="16" t="n"/>
      <c r="J40" s="16" t="n"/>
    </row>
    <row r="41" ht="20" customHeight="1" s="113">
      <c r="A41" s="27" t="inlineStr">
        <is>
          <t>■成果報酬運営</t>
        </is>
      </c>
      <c r="C41" s="5" t="inlineStr">
        <is>
          <t>現状数値</t>
        </is>
      </c>
      <c r="D41" s="5" t="inlineStr">
        <is>
          <t>初期</t>
        </is>
      </c>
    </row>
    <row r="42" ht="20" customHeight="1" s="113">
      <c r="A42" s="117" t="inlineStr">
        <is>
          <t>従量課金</t>
        </is>
      </c>
      <c r="B42" s="118" t="n"/>
      <c r="C42" s="100" t="n"/>
      <c r="D42" s="14" t="inlineStr">
        <is>
          <t>--</t>
        </is>
      </c>
      <c r="E42" s="134">
        <f>+E73*E74</f>
        <v/>
      </c>
      <c r="F42" s="134">
        <f>+F73*F74</f>
        <v/>
      </c>
      <c r="G42" s="134">
        <f>+G73*G74</f>
        <v/>
      </c>
      <c r="H42" s="134">
        <f>+H73*H74</f>
        <v/>
      </c>
      <c r="I42" s="134">
        <f>+I73*I74</f>
        <v/>
      </c>
      <c r="J42" s="134">
        <f>+J73*J74</f>
        <v/>
      </c>
      <c r="K42" s="11" t="n"/>
      <c r="L42" s="7" t="n"/>
    </row>
    <row r="43" ht="20" customHeight="1" s="113">
      <c r="A43" s="117" t="inlineStr">
        <is>
          <t>コスト想定(固定費)</t>
        </is>
      </c>
      <c r="B43" s="118" t="n"/>
      <c r="C43" s="135">
        <f>+SUM(C63:C70)</f>
        <v/>
      </c>
      <c r="D43" s="136">
        <f>+SUM(D63:D70)</f>
        <v/>
      </c>
      <c r="E43" s="137">
        <f>SUM(E63:E67)+SUM(E69:E70)</f>
        <v/>
      </c>
      <c r="F43" s="137">
        <f>SUM(F63:F67)+SUM(F69:F70)</f>
        <v/>
      </c>
      <c r="G43" s="137">
        <f>SUM(G63:G67)+SUM(G69:G70)</f>
        <v/>
      </c>
      <c r="H43" s="137">
        <f>SUM(H63:H67)+SUM(H69:H70)</f>
        <v/>
      </c>
      <c r="I43" s="137">
        <f>SUM(I63:I67)+SUM(I69:I70)</f>
        <v/>
      </c>
      <c r="J43" s="137">
        <f>SUM(J63:J67)+SUM(J69:J70)</f>
        <v/>
      </c>
      <c r="K43" s="11" t="n"/>
      <c r="L43" s="7" t="n"/>
    </row>
    <row r="44" ht="20" customHeight="1" s="113">
      <c r="A44" s="117" t="inlineStr">
        <is>
          <t>友だち獲得単価</t>
        </is>
      </c>
      <c r="B44" s="118" t="n"/>
      <c r="C44" s="100" t="n"/>
      <c r="D44" s="14" t="inlineStr">
        <is>
          <t>--</t>
        </is>
      </c>
      <c r="E44" s="138">
        <f>+SUM(E63:E65)/(E26-D26)</f>
        <v/>
      </c>
      <c r="F44" s="138">
        <f>+SUM(F63:F65)/(F26-E26)</f>
        <v/>
      </c>
      <c r="G44" s="138">
        <f>+SUM(G63:G65)/(G26-F26)</f>
        <v/>
      </c>
      <c r="H44" s="138">
        <f>+SUM(H63:H65)/(H26-G26)</f>
        <v/>
      </c>
      <c r="I44" s="138">
        <f>+SUM(I63:I65)/(I26-H26)</f>
        <v/>
      </c>
      <c r="J44" s="138">
        <f>+SUM(J63:J65)/(J26-I26)</f>
        <v/>
      </c>
      <c r="K44" s="11" t="n"/>
      <c r="L44" s="7" t="n"/>
    </row>
    <row r="45" ht="20" customHeight="1" s="113">
      <c r="A45" s="117" t="inlineStr">
        <is>
          <t>CPC想定</t>
        </is>
      </c>
      <c r="B45" s="118" t="n"/>
      <c r="C45" s="100" t="n"/>
      <c r="D45" s="14" t="inlineStr">
        <is>
          <t>--</t>
        </is>
      </c>
      <c r="E45" s="138">
        <f>+E49/E33</f>
        <v/>
      </c>
      <c r="F45" s="138">
        <f>+F49/F33</f>
        <v/>
      </c>
      <c r="G45" s="138">
        <f>+G49/G33</f>
        <v/>
      </c>
      <c r="H45" s="138">
        <f>+H49/H33</f>
        <v/>
      </c>
      <c r="I45" s="138">
        <f>+I49/I33</f>
        <v/>
      </c>
      <c r="J45" s="138">
        <f>+J49/J33</f>
        <v/>
      </c>
      <c r="K45" s="11" t="n"/>
      <c r="L45" s="7" t="n"/>
    </row>
    <row r="46" ht="20" customHeight="1" s="113">
      <c r="A46" s="117" t="inlineStr">
        <is>
          <t>CVR想定</t>
        </is>
      </c>
      <c r="B46" s="118" t="n"/>
      <c r="C46" s="100" t="n"/>
      <c r="D46" s="14" t="inlineStr">
        <is>
          <t>--</t>
        </is>
      </c>
      <c r="E46" s="30">
        <f>+SUM(E34:E37)/E33</f>
        <v/>
      </c>
      <c r="F46" s="30">
        <f>+SUM(F34:F37)/F33</f>
        <v/>
      </c>
      <c r="G46" s="30">
        <f>+SUM(G34:G37)/G33</f>
        <v/>
      </c>
      <c r="H46" s="30">
        <f>+SUM(H34:H37)/H33</f>
        <v/>
      </c>
      <c r="I46" s="30">
        <f>+SUM(I34:I37)/I33</f>
        <v/>
      </c>
      <c r="J46" s="30">
        <f>+SUM(J34:J37)/J33</f>
        <v/>
      </c>
      <c r="K46" s="11" t="n"/>
      <c r="L46" s="7" t="n"/>
    </row>
    <row r="47" ht="20" customHeight="1" s="113">
      <c r="A47" s="119" t="inlineStr">
        <is>
          <t>CPA想定</t>
        </is>
      </c>
      <c r="B47" s="118" t="n"/>
      <c r="C47" s="102" t="n"/>
      <c r="D47" s="14" t="inlineStr">
        <is>
          <t>--</t>
        </is>
      </c>
      <c r="E47" s="138">
        <f>+IFERROR(E49/SUM(E34:E37),0)</f>
        <v/>
      </c>
      <c r="F47" s="138">
        <f>+IFERROR(F49/SUM(F34:F37),0)</f>
        <v/>
      </c>
      <c r="G47" s="138">
        <f>+IFERROR(G49/SUM(G34:G37),0)</f>
        <v/>
      </c>
      <c r="H47" s="138">
        <f>+IFERROR(H49/SUM(H34:H37),0)</f>
        <v/>
      </c>
      <c r="I47" s="138">
        <f>+IFERROR(I49/SUM(I34:I37),0)</f>
        <v/>
      </c>
      <c r="J47" s="138">
        <f>+IFERROR(J49/SUM(J34:J37),0)</f>
        <v/>
      </c>
      <c r="K47" s="11" t="n"/>
      <c r="L47" s="7" t="n"/>
    </row>
    <row r="48" ht="20" customHeight="1" s="113">
      <c r="A48" s="119" t="inlineStr">
        <is>
          <t>成果報酬_費用発生</t>
        </is>
      </c>
      <c r="B48" s="118" t="n"/>
      <c r="C48" s="102" t="n"/>
      <c r="D48" s="60" t="inlineStr">
        <is>
          <t>--</t>
        </is>
      </c>
      <c r="E48" s="139">
        <f>+E34*$D$6+E35*$D$7+E36*$D$8</f>
        <v/>
      </c>
      <c r="F48" s="139">
        <f>+F34*$D$6+F35*$D$7+F36*$D$8</f>
        <v/>
      </c>
      <c r="G48" s="139">
        <f>+G34*$D$6+G35*$D$7+G36*$D$8</f>
        <v/>
      </c>
      <c r="H48" s="139">
        <f>+H34*$D$6+H35*$D$7+H36*$D$8</f>
        <v/>
      </c>
      <c r="I48" s="139">
        <f>+I34*$D$6+I35*$D$7+I36*$D$8</f>
        <v/>
      </c>
      <c r="J48" s="139">
        <f>+J34*$D$6+J35*$D$7+J36*$D$8</f>
        <v/>
      </c>
      <c r="K48" s="11" t="n"/>
      <c r="L48" s="7" t="n"/>
    </row>
    <row r="49" ht="20" customHeight="1" s="113">
      <c r="A49" s="128" t="inlineStr">
        <is>
          <t>総計コスト</t>
        </is>
      </c>
      <c r="B49" s="118" t="n"/>
      <c r="C49" s="140">
        <f>+C43</f>
        <v/>
      </c>
      <c r="D49" s="141">
        <f>+D43</f>
        <v/>
      </c>
      <c r="E49" s="141">
        <f>SUM(E43,E48)+E42</f>
        <v/>
      </c>
      <c r="F49" s="141">
        <f>SUM(F43,F48)+F42</f>
        <v/>
      </c>
      <c r="G49" s="141">
        <f>SUM(G43,G48)+G42</f>
        <v/>
      </c>
      <c r="H49" s="141">
        <f>SUM(H43,H48)+H42</f>
        <v/>
      </c>
      <c r="I49" s="141">
        <f>SUM(I43,I48)+I42</f>
        <v/>
      </c>
      <c r="J49" s="141">
        <f>SUM(J43,J48)+J42</f>
        <v/>
      </c>
      <c r="K49" s="11" t="n"/>
      <c r="L49" s="7" t="n"/>
    </row>
    <row r="50" ht="20" customHeight="1" s="113">
      <c r="A50" s="20" t="n"/>
      <c r="B50" s="20" t="n"/>
      <c r="C50" s="20" t="n"/>
      <c r="D50" s="142" t="n"/>
      <c r="E50" s="142" t="n"/>
      <c r="F50" s="142" t="n"/>
      <c r="G50" s="142" t="n"/>
      <c r="H50" s="142" t="n"/>
      <c r="I50" s="142" t="n"/>
      <c r="J50" s="142" t="n"/>
    </row>
    <row r="51" ht="5" customHeight="1" s="113">
      <c r="A51" s="27" t="inlineStr">
        <is>
          <t>■コンサル運営</t>
        </is>
      </c>
    </row>
    <row r="52" hidden="1" ht="20" customHeight="1" s="113">
      <c r="A52" s="117" t="inlineStr">
        <is>
          <t>従量課金</t>
        </is>
      </c>
      <c r="B52" s="118" t="n"/>
      <c r="C52" s="93" t="n"/>
      <c r="D52" s="138">
        <f>+D73*D74</f>
        <v/>
      </c>
      <c r="E52" s="138">
        <f>+E73*E74</f>
        <v/>
      </c>
      <c r="F52" s="138">
        <f>+F73*F74</f>
        <v/>
      </c>
      <c r="G52" s="138">
        <f>+G73*G74</f>
        <v/>
      </c>
      <c r="H52" s="138">
        <f>+H73*H74</f>
        <v/>
      </c>
      <c r="I52" s="138">
        <f>+I73*I74</f>
        <v/>
      </c>
      <c r="J52" s="138">
        <f>+J73*J74</f>
        <v/>
      </c>
      <c r="K52" s="11" t="n"/>
      <c r="L52" s="7" t="n"/>
    </row>
    <row r="53" hidden="1" ht="20" customHeight="1" s="113">
      <c r="A53" s="117" t="inlineStr">
        <is>
          <t>コスト想定(固定費)</t>
        </is>
      </c>
      <c r="B53" s="118" t="n"/>
      <c r="C53" s="93" t="n"/>
      <c r="D53" s="137">
        <f>+SUM(D63:D70)</f>
        <v/>
      </c>
      <c r="E53" s="137">
        <f>SUM(E63:E66)+SUM(E68:E70)+E52</f>
        <v/>
      </c>
      <c r="F53" s="137">
        <f>SUM(F63:F66)+SUM(F68:F70)+F52</f>
        <v/>
      </c>
      <c r="G53" s="137">
        <f>SUM(G63:G66)+SUM(G68:G70)+G52</f>
        <v/>
      </c>
      <c r="H53" s="137">
        <f>SUM(H63:H66)+SUM(H68:H70)+H52</f>
        <v/>
      </c>
      <c r="I53" s="137">
        <f>SUM(I63:I66)+SUM(I68:I70)+I52</f>
        <v/>
      </c>
      <c r="J53" s="137">
        <f>SUM(J63:J66)+SUM(J68:J70)+J52</f>
        <v/>
      </c>
      <c r="K53" s="11" t="n"/>
      <c r="L53" s="7" t="n"/>
    </row>
    <row r="54" hidden="1" ht="20" customHeight="1" s="113">
      <c r="A54" s="117" t="inlineStr">
        <is>
          <t>友だち獲得単価</t>
        </is>
      </c>
      <c r="B54" s="118" t="n"/>
      <c r="C54" s="93" t="n"/>
      <c r="D54" s="143" t="inlineStr">
        <is>
          <t>--</t>
        </is>
      </c>
      <c r="E54" s="138">
        <f>+SUM(E63:E65)/(E26-D26)</f>
        <v/>
      </c>
      <c r="F54" s="138">
        <f>+SUM(F63:F65)/(F26-E26)</f>
        <v/>
      </c>
      <c r="G54" s="138">
        <f>+SUM(G63:G65)/(G26-F26)</f>
        <v/>
      </c>
      <c r="H54" s="138">
        <f>+SUM(H63:H65)/(H26-G26)</f>
        <v/>
      </c>
      <c r="I54" s="138">
        <f>+SUM(I63:I65)/(I26-H26)</f>
        <v/>
      </c>
      <c r="J54" s="138">
        <f>+SUM(J63:J65)/(J26-I26)</f>
        <v/>
      </c>
      <c r="K54" s="11" t="n"/>
      <c r="L54" s="7" t="n"/>
    </row>
    <row r="55" hidden="1" ht="20" customHeight="1" s="113">
      <c r="A55" s="117" t="inlineStr">
        <is>
          <t>CPC想定</t>
        </is>
      </c>
      <c r="B55" s="118" t="n"/>
      <c r="C55" s="93" t="n"/>
      <c r="D55" s="143" t="inlineStr">
        <is>
          <t>--</t>
        </is>
      </c>
      <c r="E55" s="138">
        <f>+E59/E33</f>
        <v/>
      </c>
      <c r="F55" s="138">
        <f>+F59/F33</f>
        <v/>
      </c>
      <c r="G55" s="138">
        <f>+G59/G33</f>
        <v/>
      </c>
      <c r="H55" s="138">
        <f>+H59/H33</f>
        <v/>
      </c>
      <c r="I55" s="138">
        <f>+I59/I33</f>
        <v/>
      </c>
      <c r="J55" s="138">
        <f>+J59/J33</f>
        <v/>
      </c>
      <c r="K55" s="11" t="n"/>
      <c r="L55" s="7" t="n"/>
    </row>
    <row r="56" hidden="1" ht="20" customHeight="1" s="113">
      <c r="A56" s="117" t="inlineStr">
        <is>
          <t>CVR想定</t>
        </is>
      </c>
      <c r="B56" s="118" t="n"/>
      <c r="C56" s="93" t="n"/>
      <c r="D56" s="143" t="inlineStr">
        <is>
          <t>--</t>
        </is>
      </c>
      <c r="E56" s="30">
        <f>+SUM(E34:E37)/E33</f>
        <v/>
      </c>
      <c r="F56" s="30">
        <f>+SUM(F34:F37)/F33</f>
        <v/>
      </c>
      <c r="G56" s="30">
        <f>+SUM(G34:G37)/G33</f>
        <v/>
      </c>
      <c r="H56" s="30">
        <f>+SUM(H34:H37)/H33</f>
        <v/>
      </c>
      <c r="I56" s="30">
        <f>+SUM(I34:I37)/I33</f>
        <v/>
      </c>
      <c r="J56" s="30">
        <f>+SUM(J34:J37)/J33</f>
        <v/>
      </c>
      <c r="K56" s="11" t="n"/>
      <c r="L56" s="7" t="n"/>
    </row>
    <row r="57" hidden="1" ht="20" customHeight="1" s="113">
      <c r="A57" s="119" t="inlineStr">
        <is>
          <t>CPA想定</t>
        </is>
      </c>
      <c r="B57" s="118" t="n"/>
      <c r="C57" s="94" t="n"/>
      <c r="D57" s="138" t="n"/>
      <c r="E57" s="138">
        <f>+IFERROR(E53/E38,0)</f>
        <v/>
      </c>
      <c r="F57" s="138">
        <f>+IFERROR(F53/F38,0)</f>
        <v/>
      </c>
      <c r="G57" s="138">
        <f>+IFERROR(G53/G38,0)</f>
        <v/>
      </c>
      <c r="H57" s="138">
        <f>+IFERROR(H53/H38,0)</f>
        <v/>
      </c>
      <c r="I57" s="138">
        <f>+IFERROR(I53/I38,0)</f>
        <v/>
      </c>
      <c r="J57" s="138">
        <f>+IFERROR(J53/J38,0)</f>
        <v/>
      </c>
      <c r="K57" s="11" t="n"/>
      <c r="L57" s="7" t="n"/>
    </row>
    <row r="58" hidden="1" ht="20" customHeight="1" s="113">
      <c r="A58" s="119" t="inlineStr">
        <is>
          <t>成果報酬_費用発生</t>
        </is>
      </c>
      <c r="B58" s="118" t="n"/>
      <c r="C58" s="94" t="n"/>
      <c r="D58" s="138" t="n"/>
      <c r="E58" s="138" t="n"/>
      <c r="F58" s="138" t="n"/>
      <c r="G58" s="138" t="n"/>
      <c r="H58" s="138" t="n"/>
      <c r="I58" s="138" t="n"/>
      <c r="J58" s="138" t="n"/>
      <c r="K58" s="11" t="n"/>
      <c r="L58" s="7" t="n"/>
    </row>
    <row r="59" hidden="1" ht="20" customHeight="1" s="113">
      <c r="A59" s="128" t="inlineStr">
        <is>
          <t>総計コスト</t>
        </is>
      </c>
      <c r="B59" s="118" t="n"/>
      <c r="C59" s="95" t="n"/>
      <c r="D59" s="141">
        <f>+D53</f>
        <v/>
      </c>
      <c r="E59" s="141">
        <f>SUM(E63:E66)+SUM(E68:E70)+E52</f>
        <v/>
      </c>
      <c r="F59" s="141">
        <f>SUM(F63:F66)+SUM(F68:F70)+F52</f>
        <v/>
      </c>
      <c r="G59" s="141">
        <f>SUM(G63:G66)+SUM(G68:G70)+G52</f>
        <v/>
      </c>
      <c r="H59" s="141">
        <f>SUM(H63:H66)+SUM(H68:H70)+H52</f>
        <v/>
      </c>
      <c r="I59" s="141">
        <f>SUM(I63:I66)+SUM(I68:I70)+I52</f>
        <v/>
      </c>
      <c r="J59" s="141">
        <f>SUM(J63:J66)+SUM(J68:J70)+J52</f>
        <v/>
      </c>
      <c r="K59" s="11" t="n"/>
      <c r="L59" s="7" t="n"/>
    </row>
    <row r="60" ht="20" customHeight="1" s="113"/>
    <row r="62">
      <c r="C62" s="5" t="inlineStr">
        <is>
          <t>現状数値</t>
        </is>
      </c>
      <c r="D62" s="5" t="inlineStr">
        <is>
          <t>初期</t>
        </is>
      </c>
    </row>
    <row r="63">
      <c r="A63" s="50" t="inlineStr">
        <is>
          <t>コスト備考</t>
        </is>
      </c>
      <c r="B63" s="6" t="inlineStr">
        <is>
          <t>従量課金</t>
        </is>
      </c>
      <c r="C63" s="144" t="n">
        <v>0</v>
      </c>
      <c r="D63" s="145" t="n">
        <v>0</v>
      </c>
      <c r="E63" s="138">
        <f>MAX(0,(E32-30000)*E74)</f>
        <v/>
      </c>
      <c r="F63" s="138">
        <f>MAX(0,(F32-30000)*F74)</f>
        <v/>
      </c>
      <c r="G63" s="138">
        <f>MAX(0,(G32-30000)*G74)</f>
        <v/>
      </c>
      <c r="H63" s="138">
        <f>MAX(0,(H32-30000)*H74)</f>
        <v/>
      </c>
      <c r="I63" s="138">
        <f>MAX(0,(I32-30000)*I74)</f>
        <v/>
      </c>
      <c r="J63" s="138">
        <f>MAX(0,(J32-30000)*J74)</f>
        <v/>
      </c>
    </row>
    <row r="64">
      <c r="A64" s="51" t="inlineStr">
        <is>
          <t>※コンサル</t>
        </is>
      </c>
      <c r="B64" s="6" t="inlineStr">
        <is>
          <t>離脱防止</t>
        </is>
      </c>
      <c r="C64" s="144" t="n">
        <v>0</v>
      </c>
      <c r="D64" s="145" t="n">
        <v>15000</v>
      </c>
      <c r="E64" s="138" t="n">
        <v>15000</v>
      </c>
      <c r="F64" s="138" t="n">
        <v>15000</v>
      </c>
      <c r="G64" s="138" t="n">
        <v>15000</v>
      </c>
      <c r="H64" s="138" t="n">
        <v>15000</v>
      </c>
      <c r="I64" s="138" t="n">
        <v>15000</v>
      </c>
      <c r="J64" s="138" t="n">
        <v>15000</v>
      </c>
      <c r="N64" s="65" t="inlineStr">
        <is>
          <t>UUにかかわらず、10000円/月にて設定</t>
        </is>
      </c>
    </row>
    <row r="65">
      <c r="B65" s="6" t="inlineStr">
        <is>
          <t>サンクス誘導</t>
        </is>
      </c>
      <c r="C65" s="144" t="n">
        <v>0</v>
      </c>
      <c r="D65" s="145" t="n">
        <v>100000</v>
      </c>
      <c r="E65" s="138" t="n">
        <v>30000</v>
      </c>
      <c r="F65" s="138" t="n">
        <v>30000</v>
      </c>
      <c r="G65" s="138" t="n">
        <v>30000</v>
      </c>
      <c r="H65" s="138" t="n">
        <v>30000</v>
      </c>
      <c r="I65" s="138" t="n">
        <v>30000</v>
      </c>
      <c r="J65" s="138" t="n">
        <v>30000</v>
      </c>
      <c r="N65" s="65" t="inlineStr">
        <is>
          <t>サンクス誘導：初期10万円/通期5万円　※20%のコストカットOK</t>
        </is>
      </c>
    </row>
    <row r="66">
      <c r="A66" s="13" t="n"/>
      <c r="B66" s="6" t="inlineStr">
        <is>
          <t>アカウント費</t>
        </is>
      </c>
      <c r="C66" s="144" t="n">
        <v>0</v>
      </c>
      <c r="D66" s="145" t="n">
        <v>0</v>
      </c>
      <c r="E66" s="138" t="n">
        <v>15000</v>
      </c>
      <c r="F66" s="138" t="n">
        <v>15000</v>
      </c>
      <c r="G66" s="138" t="n">
        <v>15000</v>
      </c>
      <c r="H66" s="138" t="n">
        <v>15000</v>
      </c>
      <c r="I66" s="138" t="n">
        <v>15000</v>
      </c>
      <c r="J66" s="138" t="n">
        <v>15000</v>
      </c>
      <c r="N66" s="65" t="inlineStr">
        <is>
          <t>アカウント費用（15000円or5000円）＋従量課金　※5000通を超える場合15000円～の設定にする ※重量課金は要確認</t>
        </is>
      </c>
      <c r="O66" s="15" t="inlineStr">
        <is>
          <t>プラン単価</t>
        </is>
      </c>
      <c r="P66" s="116" t="n">
        <v>5000</v>
      </c>
    </row>
    <row r="67">
      <c r="A67" s="13" t="n"/>
      <c r="B67" s="6" t="inlineStr">
        <is>
          <t>コンサル費①</t>
        </is>
      </c>
      <c r="C67" s="144" t="n">
        <v>0</v>
      </c>
      <c r="D67" s="145" t="n">
        <v>0</v>
      </c>
      <c r="E67" s="138" t="n">
        <v>150000</v>
      </c>
      <c r="F67" s="138" t="n">
        <v>150000</v>
      </c>
      <c r="G67" s="138" t="n">
        <v>150000</v>
      </c>
      <c r="H67" s="138" t="n">
        <v>150000</v>
      </c>
      <c r="I67" s="138" t="n">
        <v>150000</v>
      </c>
      <c r="J67" s="138" t="n">
        <v>150000</v>
      </c>
      <c r="N67" s="65" t="inlineStr">
        <is>
          <t>コンサル費用固定</t>
        </is>
      </c>
      <c r="O67" s="5" t="inlineStr">
        <is>
          <t>←上限通数拡大の際に使用する。</t>
        </is>
      </c>
    </row>
    <row r="68">
      <c r="A68" s="13" t="n"/>
      <c r="B68" s="6" t="inlineStr">
        <is>
          <t>コンサル費②</t>
        </is>
      </c>
      <c r="C68" s="144" t="n">
        <v>0</v>
      </c>
      <c r="D68" s="145" t="n">
        <v>100000</v>
      </c>
      <c r="E68" s="145" t="n">
        <v>150000</v>
      </c>
      <c r="F68" s="145" t="n">
        <v>150000</v>
      </c>
      <c r="G68" s="145" t="n">
        <v>150000</v>
      </c>
      <c r="H68" s="145" t="n">
        <v>150000</v>
      </c>
      <c r="I68" s="145" t="n">
        <v>150000</v>
      </c>
      <c r="J68" s="145" t="n">
        <v>150000</v>
      </c>
      <c r="N68" s="65" t="inlineStr">
        <is>
          <t>コンサル費用ショット（開発、初期費用）</t>
        </is>
      </c>
    </row>
    <row r="69">
      <c r="A69" s="13" t="n"/>
      <c r="B69" s="6" t="inlineStr">
        <is>
          <t>機能拡張</t>
        </is>
      </c>
      <c r="C69" s="144" t="n">
        <v>0</v>
      </c>
      <c r="D69" s="145" t="n">
        <v>0</v>
      </c>
      <c r="E69" s="138" t="n">
        <v>0</v>
      </c>
      <c r="F69" s="138" t="n">
        <v>0</v>
      </c>
      <c r="G69" s="138" t="n">
        <v>0</v>
      </c>
      <c r="H69" s="138" t="n">
        <v>0</v>
      </c>
      <c r="I69" s="138" t="n">
        <v>0</v>
      </c>
      <c r="J69" s="138" t="n">
        <v>0</v>
      </c>
      <c r="N69" s="65" t="inlineStr">
        <is>
          <t>通知メッセージ：要相談、（）</t>
        </is>
      </c>
    </row>
    <row r="70">
      <c r="A70" s="13" t="n"/>
      <c r="B70" s="6" t="inlineStr">
        <is>
          <t>APIツール費</t>
        </is>
      </c>
      <c r="C70" s="144" t="n">
        <v>0</v>
      </c>
      <c r="D70" s="145" t="n">
        <v>20000</v>
      </c>
      <c r="E70" s="145" t="n">
        <v>29800</v>
      </c>
      <c r="F70" s="145" t="n">
        <v>29800</v>
      </c>
      <c r="G70" s="145" t="n">
        <v>29800</v>
      </c>
      <c r="H70" s="145" t="n">
        <v>29800</v>
      </c>
      <c r="I70" s="145" t="n">
        <v>29800</v>
      </c>
      <c r="J70" s="145" t="n">
        <v>29800</v>
      </c>
    </row>
    <row r="71">
      <c r="A71" s="13" t="n"/>
      <c r="B71" s="109" t="inlineStr">
        <is>
          <t>コスト総計</t>
        </is>
      </c>
      <c r="C71" s="146" t="n">
        <v>0</v>
      </c>
      <c r="D71" s="147">
        <f>SUM(D63:D70)</f>
        <v/>
      </c>
      <c r="E71" s="147">
        <f>SUM(E63:E66)+SUM(E68:E70)</f>
        <v/>
      </c>
      <c r="F71" s="147">
        <f>SUM(F63:F66)+SUM(F68:F70)</f>
        <v/>
      </c>
      <c r="G71" s="147">
        <f>SUM(G63:G66)+SUM(G68:G70)</f>
        <v/>
      </c>
      <c r="H71" s="147">
        <f>SUM(H63:H66)+SUM(H68:H70)</f>
        <v/>
      </c>
      <c r="I71" s="147">
        <f>SUM(I63:I66)+SUM(I68:I70)</f>
        <v/>
      </c>
      <c r="J71" s="147">
        <f>SUM(J63:J66)+SUM(J68:J70)</f>
        <v/>
      </c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</row>
    <row r="73">
      <c r="B73" s="5" t="inlineStr">
        <is>
          <t>追加通数</t>
        </is>
      </c>
      <c r="D73" s="39">
        <f>+IF(D32&lt;30001,0,D32-30000)</f>
        <v/>
      </c>
      <c r="E73" s="39">
        <f>+IF(E32&lt;30001,0,E32-30000)</f>
        <v/>
      </c>
      <c r="F73" s="39">
        <f>+IF(F32&lt;30001,0,F32-30000)</f>
        <v/>
      </c>
      <c r="G73" s="39">
        <f>+IF(G32&lt;30001,0,G32-30000)</f>
        <v/>
      </c>
      <c r="H73" s="39">
        <f>+IF(H32&lt;30001,0,H32-30000)</f>
        <v/>
      </c>
      <c r="I73" s="39">
        <f>+IF(I32&lt;30001,0,I32-30000)</f>
        <v/>
      </c>
      <c r="J73" s="39">
        <f>+IF(J32&lt;30001,0,J32-30000)</f>
        <v/>
      </c>
    </row>
    <row r="74">
      <c r="B74" s="5" t="inlineStr">
        <is>
          <t>想定単価</t>
        </is>
      </c>
      <c r="D74" s="5">
        <f>+IF(D73&lt;=$U$16,$Z$16,IF(D73&lt;=$U$17,$Z$17,IF(D73&lt;=$U$18,$Z$18,IF(D73&lt;=$U$19,$Z$19,IF(D73&lt;=$U$20,$Z$20,IF(D73&lt;=$U$21,$Z$21,IF(D73&lt;=$U$22,$Z$22,IF(D73&lt;=$U$23,$Z$23,IF(D73&lt;=$U$24,$Z$24,IF(D73&lt;=$U$25,$Z$25,IF(D73&lt;=$U$26,$Z$26,IF(D73&lt;=$U$27,$Z$27,IF(D73&lt;=$U$28,$Z$28,0)))))))))))))</f>
        <v/>
      </c>
      <c r="E74" s="5">
        <f>+IF(E73&lt;=$U$16,$Z$16,IF(E73&lt;=$U$17,$Z$17,IF(E73&lt;=$U$18,$Z$18,IF(E73&lt;=$U$19,$Z$19,IF(E73&lt;=$U$20,$Z$20,IF(E73&lt;=$U$21,$Z$21,IF(E73&lt;=$U$22,$Z$22,IF(E73&lt;=$U$23,$Z$23,IF(E73&lt;=$U$24,$Z$24,IF(E73&lt;=$U$25,$Z$25,IF(E73&lt;=$U$26,$Z$26,IF(E73&lt;=$U$27,$Z$27,IF(E73&lt;=$U$28,$Z$28,0)))))))))))))</f>
        <v/>
      </c>
      <c r="F74" s="5">
        <f>+IF(F73&lt;=$U$16,$Z$16,IF(F73&lt;=$U$17,$Z$17,IF(F73&lt;=$U$18,$Z$18,IF(F73&lt;=$U$19,$Z$19,IF(F73&lt;=$U$20,$Z$20,IF(F73&lt;=$U$21,$Z$21,IF(F73&lt;=$U$22,$Z$22,IF(F73&lt;=$U$23,$Z$23,IF(F73&lt;=$U$24,$Z$24,IF(F73&lt;=$U$25,$Z$25,IF(F73&lt;=$U$26,$Z$26,IF(F73&lt;=$U$27,$Z$27,IF(F73&lt;=$U$28,$Z$28,0)))))))))))))</f>
        <v/>
      </c>
      <c r="G74" s="5">
        <f>+IF(G73&lt;=$U$16,$Z$16,IF(G73&lt;=$U$17,$Z$17,IF(G73&lt;=$U$18,$Z$18,IF(G73&lt;=$U$19,$Z$19,IF(G73&lt;=$U$20,$Z$20,IF(G73&lt;=$U$21,$Z$21,IF(G73&lt;=$U$22,$Z$22,IF(G73&lt;=$U$23,$Z$23,IF(G73&lt;=$U$24,$Z$24,IF(G73&lt;=$U$25,$Z$25,IF(G73&lt;=$U$26,$Z$26,IF(G73&lt;=$U$27,$Z$27,IF(G73&lt;=$U$28,$Z$28,0)))))))))))))</f>
        <v/>
      </c>
      <c r="H74" s="5">
        <f>+IF(H73&lt;=$U$16,$Z$16,IF(H73&lt;=$U$17,$Z$17,IF(H73&lt;=$U$18,$Z$18,IF(H73&lt;=$U$19,$Z$19,IF(H73&lt;=$U$20,$Z$20,IF(H73&lt;=$U$21,$Z$21,IF(H73&lt;=$U$22,$Z$22,IF(H73&lt;=$U$23,$Z$23,IF(H73&lt;=$U$24,$Z$24,IF(H73&lt;=$U$25,$Z$25,IF(H73&lt;=$U$26,$Z$26,IF(H73&lt;=$U$27,$Z$27,IF(H73&lt;=$U$28,$Z$28,0)))))))))))))</f>
        <v/>
      </c>
      <c r="I74" s="5">
        <f>+IF(I73&lt;=$U$16,$Z$16,IF(I73&lt;=$U$17,$Z$17,IF(I73&lt;=$U$18,$Z$18,IF(I73&lt;=$U$19,$Z$19,IF(I73&lt;=$U$20,$Z$20,IF(I73&lt;=$U$21,$Z$21,IF(I73&lt;=$U$22,$Z$22,IF(I73&lt;=$U$23,$Z$23,IF(I73&lt;=$U$24,$Z$24,IF(I73&lt;=$U$25,$Z$25,IF(I73&lt;=$U$26,$Z$26,IF(I73&lt;=$U$27,$Z$27,IF(I73&lt;=$U$28,$Z$28,0)))))))))))))</f>
        <v/>
      </c>
      <c r="J74" s="5">
        <f>+IF(J73&lt;=$U$16,$Z$16,IF(J73&lt;=$U$17,$Z$17,IF(J73&lt;=$U$18,$Z$18,IF(J73&lt;=$U$19,$Z$19,IF(J73&lt;=$U$20,$Z$20,IF(J73&lt;=$U$21,$Z$21,IF(J73&lt;=$U$22,$Z$22,IF(J73&lt;=$U$23,$Z$23,IF(J73&lt;=$U$24,$Z$24,IF(J73&lt;=$U$25,$Z$25,IF(J73&lt;=$U$26,$Z$26,IF(J73&lt;=$U$27,$Z$27,IF(J73&lt;=$U$28,$Z$28,0)))))))))))))</f>
        <v/>
      </c>
    </row>
  </sheetData>
  <mergeCells count="35">
    <mergeCell ref="A48:B48"/>
    <mergeCell ref="A30:B30"/>
    <mergeCell ref="A12:A14"/>
    <mergeCell ref="A24:B24"/>
    <mergeCell ref="A59:B59"/>
    <mergeCell ref="A49:B49"/>
    <mergeCell ref="A11:B11"/>
    <mergeCell ref="A45:B45"/>
    <mergeCell ref="A36:A37"/>
    <mergeCell ref="A6:A7"/>
    <mergeCell ref="A54:B54"/>
    <mergeCell ref="A25:B25"/>
    <mergeCell ref="A46:B46"/>
    <mergeCell ref="A56:B56"/>
    <mergeCell ref="A27:B27"/>
    <mergeCell ref="A55:B55"/>
    <mergeCell ref="A26:B26"/>
    <mergeCell ref="A8:A9"/>
    <mergeCell ref="A57:B57"/>
    <mergeCell ref="A15:A19"/>
    <mergeCell ref="A33:B33"/>
    <mergeCell ref="A47:B47"/>
    <mergeCell ref="A42:B42"/>
    <mergeCell ref="A32:B32"/>
    <mergeCell ref="A20:A23"/>
    <mergeCell ref="A53:B53"/>
    <mergeCell ref="A38:B38"/>
    <mergeCell ref="A52:B52"/>
    <mergeCell ref="A29:B29"/>
    <mergeCell ref="A34:A35"/>
    <mergeCell ref="A43:B43"/>
    <mergeCell ref="A28:B28"/>
    <mergeCell ref="A44:B44"/>
    <mergeCell ref="A31:B31"/>
    <mergeCell ref="A58:B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zoomScale="76" workbookViewId="0">
      <selection activeCell="E11" sqref="E11"/>
    </sheetView>
  </sheetViews>
  <sheetFormatPr baseColWidth="8" defaultColWidth="9" defaultRowHeight="17.5"/>
  <cols>
    <col width="41.75" customWidth="1" style="27" min="1" max="1"/>
    <col width="3" customWidth="1" style="5" min="2" max="2"/>
    <col width="26.08203125" customWidth="1" style="5" min="3" max="6"/>
    <col width="9" customWidth="1" style="5" min="7" max="17"/>
    <col width="10.83203125" bestFit="1" customWidth="1" style="5" min="18" max="18"/>
    <col width="9" customWidth="1" style="5" min="19" max="19"/>
    <col width="14.83203125" customWidth="1" style="5" min="20" max="27"/>
    <col width="9" customWidth="1" style="5" min="28" max="28"/>
    <col width="9" customWidth="1" style="5" min="29" max="16384"/>
  </cols>
  <sheetData>
    <row r="1">
      <c r="E1" s="116" t="inlineStr">
        <is>
          <t>→通数減らすように係数：</t>
        </is>
      </c>
      <c r="F1" s="116" t="n">
        <v>0.6</v>
      </c>
    </row>
    <row r="3">
      <c r="A3" s="79" t="inlineStr">
        <is>
          <t>比較項目</t>
        </is>
      </c>
      <c r="B3" s="79" t="n"/>
      <c r="C3" s="80" t="inlineStr">
        <is>
          <t>DYM実装前</t>
        </is>
      </c>
      <c r="D3" s="81" t="inlineStr">
        <is>
          <t>DYM実装後（③か月）</t>
        </is>
      </c>
      <c r="E3" s="81" t="inlineStr">
        <is>
          <t>DYM実装後（⑥か月）</t>
        </is>
      </c>
      <c r="F3" s="81" t="inlineStr">
        <is>
          <t>DYM実装後（⑫か月）</t>
        </is>
      </c>
    </row>
    <row r="4">
      <c r="A4" s="82" t="inlineStr">
        <is>
          <t>コスト想定 ※月額（成果報酬プラン）</t>
        </is>
      </c>
      <c r="B4" s="7" t="n"/>
      <c r="C4" s="148">
        <f>+SIM①!D22</f>
        <v/>
      </c>
      <c r="D4" s="138">
        <f>+SIM①!G49</f>
        <v/>
      </c>
      <c r="E4" s="138">
        <f>+SIM①!J49</f>
        <v/>
      </c>
      <c r="F4" s="138">
        <f>E4*(F16/E16)</f>
        <v/>
      </c>
    </row>
    <row r="5">
      <c r="A5" s="82" t="inlineStr">
        <is>
          <t>コスト想定 ※月額（固定プラン）</t>
        </is>
      </c>
      <c r="B5" s="7" t="n"/>
      <c r="C5" s="148">
        <f>+SIM①!D23</f>
        <v/>
      </c>
      <c r="D5" s="138">
        <f>+SIM①!G59</f>
        <v/>
      </c>
      <c r="E5" s="138">
        <f>+SIM①!J59</f>
        <v/>
      </c>
      <c r="F5" s="137">
        <f>+E5+(F25-E25)</f>
        <v/>
      </c>
    </row>
    <row r="6">
      <c r="A6" s="82" t="inlineStr">
        <is>
          <t>友だち数想定</t>
        </is>
      </c>
      <c r="B6" s="7" t="n"/>
      <c r="C6" s="7">
        <f>+SIM①!D26</f>
        <v/>
      </c>
      <c r="D6" s="84">
        <f>+SIM①!G26</f>
        <v/>
      </c>
      <c r="E6" s="84">
        <f>+SIM①!J26</f>
        <v/>
      </c>
      <c r="F6" s="10">
        <f>+E6*(E6/D6*0.95)+E6*(E6/D6*0.9)</f>
        <v/>
      </c>
    </row>
    <row r="7">
      <c r="A7" s="82" t="inlineStr">
        <is>
          <t>ブロック率想定</t>
        </is>
      </c>
      <c r="B7" s="7" t="n"/>
      <c r="C7" s="85">
        <f>+SIM①!D25</f>
        <v/>
      </c>
      <c r="D7" s="149">
        <f>+D8/D6</f>
        <v/>
      </c>
      <c r="E7" s="149">
        <f>+E8/E6</f>
        <v/>
      </c>
      <c r="F7" s="149">
        <f>+F8/F6</f>
        <v/>
      </c>
    </row>
    <row r="8">
      <c r="A8" s="82" t="inlineStr">
        <is>
          <t>友だち数（アクティブ）想定</t>
        </is>
      </c>
      <c r="B8" s="7" t="n"/>
      <c r="C8" s="7">
        <f>+SIM①!D27</f>
        <v/>
      </c>
      <c r="D8" s="10">
        <f>+SIM①!G27</f>
        <v/>
      </c>
      <c r="E8" s="10">
        <f>+SIM①!J27</f>
        <v/>
      </c>
      <c r="F8" s="10">
        <f>+E8*(E8/D8*0.95)+E8*(E8/D8*0.9)</f>
        <v/>
      </c>
    </row>
    <row r="9">
      <c r="A9" s="82" t="n"/>
      <c r="B9" s="7" t="n"/>
      <c r="C9" s="7" t="n"/>
      <c r="D9" s="7" t="n"/>
      <c r="E9" s="7" t="n"/>
      <c r="F9" s="7" t="n"/>
    </row>
    <row r="10">
      <c r="A10" s="82" t="inlineStr">
        <is>
          <t>メッセ通数</t>
        </is>
      </c>
      <c r="B10" s="7" t="n"/>
      <c r="C10" s="7">
        <f>+SIM①!D32</f>
        <v/>
      </c>
      <c r="D10" s="10">
        <f>+SIM①!G32</f>
        <v/>
      </c>
      <c r="E10" s="10">
        <f>+SIM①!J32</f>
        <v/>
      </c>
      <c r="F10" s="10">
        <f>IF(E10&lt;=30000,E10*(E10/D10*0.75)+E10*(E10/D10*0.7),F1*(E10*(E10/D10*0.75)+E10*(E10/D10*0.7)))</f>
        <v/>
      </c>
    </row>
    <row r="11">
      <c r="A11" s="82" t="inlineStr">
        <is>
          <t>サイト流入数（LINEから）</t>
        </is>
      </c>
      <c r="B11" s="7" t="n"/>
      <c r="C11" s="7">
        <f>+SIM①!D33</f>
        <v/>
      </c>
      <c r="D11" s="10">
        <f>+SIM①!G33</f>
        <v/>
      </c>
      <c r="E11" s="10">
        <f>+SIM①!J33</f>
        <v/>
      </c>
      <c r="F11" s="10">
        <f>+E11*(E11/D11*0.775)+E11*(E11/D11*0.725)</f>
        <v/>
      </c>
    </row>
    <row r="12">
      <c r="A12" s="82" t="inlineStr">
        <is>
          <t>想定CPC（LINEOA施策）_成果報酬プラン</t>
        </is>
      </c>
      <c r="B12" s="7" t="n"/>
      <c r="C12" s="138">
        <f>+IFERROR(C5/C11,0)</f>
        <v/>
      </c>
      <c r="D12" s="138">
        <f>+D4/D11</f>
        <v/>
      </c>
      <c r="E12" s="138">
        <f>+E4/E11</f>
        <v/>
      </c>
      <c r="F12" s="138">
        <f>+F4/F11</f>
        <v/>
      </c>
    </row>
    <row r="13">
      <c r="A13" s="82" t="inlineStr">
        <is>
          <t>想定CPC（LINEOA施策）_固定運用プラン</t>
        </is>
      </c>
      <c r="B13" s="7" t="n"/>
      <c r="C13" s="138">
        <f>+IFERROR(C6/C12,0)</f>
        <v/>
      </c>
      <c r="D13" s="138">
        <f>+D5/D11</f>
        <v/>
      </c>
      <c r="E13" s="138">
        <f>+E5/E11</f>
        <v/>
      </c>
      <c r="F13" s="138">
        <f>+F5/F11</f>
        <v/>
      </c>
    </row>
    <row r="14">
      <c r="A14" s="82" t="n"/>
      <c r="B14" s="7" t="n"/>
      <c r="C14" s="7" t="n"/>
      <c r="D14" s="7" t="n"/>
      <c r="E14" s="7" t="n"/>
      <c r="F14" s="7" t="n"/>
      <c r="R14" s="27" t="inlineStr">
        <is>
          <t>■従量計算式↓</t>
        </is>
      </c>
    </row>
    <row r="15">
      <c r="A15" s="82" t="inlineStr">
        <is>
          <t>CV数（もともと）</t>
        </is>
      </c>
      <c r="B15" s="7" t="n"/>
      <c r="C15" s="84">
        <f>+SIM①!D14</f>
        <v/>
      </c>
      <c r="D15" s="84">
        <f>+SIM①!E14</f>
        <v/>
      </c>
      <c r="E15" s="84">
        <f>+SIM①!F14</f>
        <v/>
      </c>
      <c r="F15" s="84">
        <f>+SIM①!G14</f>
        <v/>
      </c>
      <c r="R15" s="5" t="inlineStr">
        <is>
          <t>■料金テーブル</t>
        </is>
      </c>
    </row>
    <row r="16">
      <c r="A16" s="82" t="inlineStr">
        <is>
          <t>CV数（+LINEOA施策）</t>
        </is>
      </c>
      <c r="B16" s="7" t="n"/>
      <c r="C16" s="84">
        <f>SUM(C17:C20)</f>
        <v/>
      </c>
      <c r="D16" s="84">
        <f>SUM(D17:D20)</f>
        <v/>
      </c>
      <c r="E16" s="84">
        <f>SUM(E17:E20)</f>
        <v/>
      </c>
      <c r="F16" s="84">
        <f>SUM(F17:F20)</f>
        <v/>
      </c>
      <c r="R16" s="5" t="inlineStr">
        <is>
          <t>課金対象配信総数</t>
        </is>
      </c>
      <c r="V16" s="5" t="inlineStr">
        <is>
          <t>費用</t>
        </is>
      </c>
      <c r="Y16" s="33" t="inlineStr">
        <is>
          <t>単価</t>
        </is>
      </c>
    </row>
    <row r="17">
      <c r="A17" s="82" t="inlineStr">
        <is>
          <t>OA施策CV_内訳①_新規CV1</t>
        </is>
      </c>
      <c r="B17" s="7" t="n"/>
      <c r="C17" s="84">
        <f>+SIM①!D34</f>
        <v/>
      </c>
      <c r="D17" s="84">
        <f>+SIM①!G34</f>
        <v/>
      </c>
      <c r="E17" s="84">
        <f>+SIM①!J34</f>
        <v/>
      </c>
      <c r="F17" s="10">
        <f>+IF($E$10&lt;=30000,IFERROR(E17*(E17/D17*0.95)+E17*(E17/D17*0.9),0),IFERROR(E17*(E17/D17*0.95)+E17*(E17/D17*0.9),0)*$F$1*1.2)</f>
        <v/>
      </c>
      <c r="R17" s="5" t="n">
        <v>0</v>
      </c>
      <c r="S17" s="5" t="inlineStr">
        <is>
          <t>-</t>
        </is>
      </c>
      <c r="T17" s="32" t="n">
        <v>50000</v>
      </c>
      <c r="V17" s="5" t="n">
        <v>0</v>
      </c>
      <c r="W17" s="5" t="inlineStr">
        <is>
          <t>-</t>
        </is>
      </c>
      <c r="X17" s="32" t="n">
        <v>150000</v>
      </c>
      <c r="Y17" s="33" t="n">
        <v>3</v>
      </c>
    </row>
    <row r="18">
      <c r="A18" s="82" t="inlineStr">
        <is>
          <t>OA施策CV_内訳②_新規CV2</t>
        </is>
      </c>
      <c r="B18" s="7" t="n"/>
      <c r="C18" s="84">
        <f>+SIM①!D35</f>
        <v/>
      </c>
      <c r="D18" s="84">
        <f>+SIM①!G35</f>
        <v/>
      </c>
      <c r="E18" s="84">
        <f>+SIM①!J35</f>
        <v/>
      </c>
      <c r="F18" s="10">
        <f>+IFERROR(E18*(E18/D18*0.95)+E18*(E18/D18*0.9),0)</f>
        <v/>
      </c>
      <c r="R18" s="32" t="n">
        <v>50000</v>
      </c>
      <c r="S18" s="5" t="inlineStr">
        <is>
          <t>-</t>
        </is>
      </c>
      <c r="T18" s="32" t="n">
        <v>100000</v>
      </c>
      <c r="V18" s="32" t="n">
        <v>150000</v>
      </c>
      <c r="W18" s="5" t="inlineStr">
        <is>
          <t>-</t>
        </is>
      </c>
      <c r="X18" s="32" t="n">
        <v>290000</v>
      </c>
      <c r="Y18" s="33" t="n">
        <v>2.8</v>
      </c>
    </row>
    <row r="19">
      <c r="A19" s="82" t="inlineStr">
        <is>
          <t>OA施策CV_内訳③_リピCV3</t>
        </is>
      </c>
      <c r="B19" s="7" t="n"/>
      <c r="C19" s="84">
        <f>+SIM①!D36</f>
        <v/>
      </c>
      <c r="D19" s="84">
        <f>+SIM①!G36</f>
        <v/>
      </c>
      <c r="E19" s="84">
        <f>+SIM①!J36</f>
        <v/>
      </c>
      <c r="F19" s="10">
        <f>+IF($E$10&lt;=30000,IFERROR(E19*(E19/D19*0.95)+E19*(E19/D19*0.9),0),IFERROR(E19*(E19/D19*0.95)+E19*(E19/D19*0.9),0)*$F$1*1.2)</f>
        <v/>
      </c>
      <c r="R19" s="32" t="n">
        <v>100000</v>
      </c>
      <c r="S19" s="5" t="inlineStr">
        <is>
          <t>-</t>
        </is>
      </c>
      <c r="T19" s="32" t="n">
        <v>200000</v>
      </c>
      <c r="V19" s="32" t="n">
        <v>290000</v>
      </c>
      <c r="W19" s="5" t="inlineStr">
        <is>
          <t>-</t>
        </is>
      </c>
      <c r="X19" s="32" t="n">
        <v>550000</v>
      </c>
      <c r="Y19" s="33" t="n">
        <v>2.6</v>
      </c>
    </row>
    <row r="20">
      <c r="A20" s="82" t="inlineStr">
        <is>
          <t>OA施策CV_内訳④_リピCV4</t>
        </is>
      </c>
      <c r="B20" s="7" t="n"/>
      <c r="C20" s="84">
        <f>+SIM①!D37</f>
        <v/>
      </c>
      <c r="D20" s="84">
        <f>+SIM①!G37</f>
        <v/>
      </c>
      <c r="E20" s="84">
        <f>+SIM①!J37</f>
        <v/>
      </c>
      <c r="F20" s="10">
        <f>+IFERROR(E20*(E20/D20*0.95)+E20*(E20/D20*0.9),0)</f>
        <v/>
      </c>
      <c r="R20" s="32" t="n">
        <v>200000</v>
      </c>
      <c r="S20" s="5" t="inlineStr">
        <is>
          <t>-</t>
        </is>
      </c>
      <c r="T20" s="32" t="n">
        <v>300000</v>
      </c>
      <c r="V20" s="32" t="n">
        <v>550000</v>
      </c>
      <c r="W20" s="5" t="inlineStr">
        <is>
          <t>-</t>
        </is>
      </c>
      <c r="X20" s="32" t="n">
        <v>790000</v>
      </c>
      <c r="Y20" s="33" t="n">
        <v>2.4</v>
      </c>
    </row>
    <row r="21">
      <c r="A21" s="82" t="n"/>
      <c r="B21" s="7" t="n"/>
      <c r="C21" s="7" t="n"/>
      <c r="D21" s="7" t="n"/>
      <c r="E21" s="7" t="n"/>
      <c r="F21" s="7" t="n"/>
      <c r="R21" s="32" t="n">
        <v>300000</v>
      </c>
      <c r="S21" s="5" t="inlineStr">
        <is>
          <t>-</t>
        </is>
      </c>
      <c r="T21" s="32" t="n">
        <v>400000</v>
      </c>
      <c r="V21" s="32" t="n">
        <v>790000</v>
      </c>
      <c r="W21" s="5" t="inlineStr">
        <is>
          <t>-</t>
        </is>
      </c>
      <c r="X21" s="32" t="n">
        <v>1010000</v>
      </c>
      <c r="Y21" s="33" t="n">
        <v>2.2</v>
      </c>
    </row>
    <row r="22">
      <c r="A22" s="82" t="inlineStr">
        <is>
          <t>成果報酬プラン_CPA（単純計算）</t>
        </is>
      </c>
      <c r="B22" s="7" t="n"/>
      <c r="C22" s="144">
        <f>+IFERROR(C4/C16,"--")</f>
        <v/>
      </c>
      <c r="D22" s="144">
        <f>+IFERROR(D4/D16,"--")</f>
        <v/>
      </c>
      <c r="E22" s="144">
        <f>+IFERROR(E4/E16,"--")</f>
        <v/>
      </c>
      <c r="F22" s="144">
        <f>+IFERROR(F4/F16,"--")*0.95</f>
        <v/>
      </c>
      <c r="R22" s="32" t="n">
        <v>400000</v>
      </c>
      <c r="S22" s="5" t="inlineStr">
        <is>
          <t>-</t>
        </is>
      </c>
      <c r="T22" s="32" t="n">
        <v>500000</v>
      </c>
      <c r="V22" s="32" t="n">
        <v>1010000</v>
      </c>
      <c r="W22" s="5" t="inlineStr">
        <is>
          <t>-</t>
        </is>
      </c>
      <c r="X22" s="32" t="n">
        <v>1210000</v>
      </c>
      <c r="Y22" s="33" t="n">
        <v>2</v>
      </c>
    </row>
    <row r="23">
      <c r="A23" s="82" t="inlineStr">
        <is>
          <t>固定費プラン_CPA（単純計算）</t>
        </is>
      </c>
      <c r="B23" s="7" t="n"/>
      <c r="C23" s="144">
        <f>+IFERROR(C5/C16,"--")</f>
        <v/>
      </c>
      <c r="D23" s="144">
        <f>+IFERROR(D5/D16,"--")</f>
        <v/>
      </c>
      <c r="E23" s="144">
        <f>+IFERROR(E5/E16,"--")</f>
        <v/>
      </c>
      <c r="F23" s="144">
        <f>+IFERROR(F5/F16,"--")</f>
        <v/>
      </c>
      <c r="R23" s="32" t="n">
        <v>500000</v>
      </c>
      <c r="S23" s="5" t="inlineStr">
        <is>
          <t>-</t>
        </is>
      </c>
      <c r="T23" s="32" t="n">
        <v>600000</v>
      </c>
      <c r="V23" s="32" t="n">
        <v>1210000</v>
      </c>
      <c r="W23" s="5" t="inlineStr">
        <is>
          <t>-</t>
        </is>
      </c>
      <c r="X23" s="32" t="n">
        <v>1400000</v>
      </c>
      <c r="Y23" s="33" t="n">
        <v>1.9</v>
      </c>
    </row>
    <row r="24">
      <c r="A24" s="82" t="n"/>
      <c r="B24" s="7" t="n"/>
      <c r="C24" s="7" t="n"/>
      <c r="D24" s="7" t="n"/>
      <c r="E24" s="7" t="n"/>
      <c r="F24" s="7" t="n"/>
      <c r="R24" s="32" t="n">
        <v>600000</v>
      </c>
      <c r="S24" s="5" t="inlineStr">
        <is>
          <t>-</t>
        </is>
      </c>
      <c r="T24" s="32" t="n">
        <v>700000</v>
      </c>
      <c r="V24" s="32" t="n">
        <v>1400000</v>
      </c>
      <c r="W24" s="5" t="inlineStr">
        <is>
          <t>-</t>
        </is>
      </c>
      <c r="X24" s="32" t="n">
        <v>1580000</v>
      </c>
      <c r="Y24" s="33" t="n">
        <v>1.8</v>
      </c>
    </row>
    <row r="25">
      <c r="A25" s="82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>
        <f>15000+F29*F30</f>
        <v/>
      </c>
      <c r="R25" s="32" t="n">
        <v>700000</v>
      </c>
      <c r="S25" s="5" t="inlineStr">
        <is>
          <t>-</t>
        </is>
      </c>
      <c r="T25" s="32" t="n">
        <v>800000</v>
      </c>
      <c r="V25" s="32" t="n">
        <v>1580000</v>
      </c>
      <c r="W25" s="5" t="inlineStr">
        <is>
          <t>-</t>
        </is>
      </c>
      <c r="X25" s="32" t="n">
        <v>1750000</v>
      </c>
      <c r="Y25" s="33" t="n">
        <v>1.7</v>
      </c>
    </row>
    <row r="26">
      <c r="R26" s="32" t="n">
        <v>800000</v>
      </c>
      <c r="S26" s="5" t="inlineStr">
        <is>
          <t>-</t>
        </is>
      </c>
      <c r="T26" s="32" t="n">
        <v>900000</v>
      </c>
      <c r="V26" s="32" t="n">
        <v>1750000</v>
      </c>
      <c r="W26" s="5" t="inlineStr">
        <is>
          <t>-</t>
        </is>
      </c>
      <c r="X26" s="32" t="n">
        <v>1910000</v>
      </c>
      <c r="Y26" s="33" t="n">
        <v>1.6</v>
      </c>
    </row>
    <row r="27">
      <c r="R27" s="32" t="n">
        <v>900000</v>
      </c>
      <c r="S27" s="5" t="inlineStr">
        <is>
          <t>-</t>
        </is>
      </c>
      <c r="T27" s="32" t="n">
        <v>1000000</v>
      </c>
      <c r="V27" s="32" t="n">
        <v>1910000</v>
      </c>
      <c r="W27" s="5" t="inlineStr">
        <is>
          <t>-</t>
        </is>
      </c>
      <c r="X27" s="32" t="n">
        <v>2060000</v>
      </c>
      <c r="Y27" s="33" t="n">
        <v>1.5</v>
      </c>
    </row>
    <row r="28">
      <c r="R28" s="32" t="n">
        <v>1000000</v>
      </c>
      <c r="S28" s="5" t="inlineStr">
        <is>
          <t>-</t>
        </is>
      </c>
      <c r="T28" s="32" t="n">
        <v>3000000</v>
      </c>
      <c r="V28" s="32" t="n">
        <v>2060000</v>
      </c>
      <c r="W28" s="5" t="inlineStr">
        <is>
          <t>-</t>
        </is>
      </c>
      <c r="X28" s="32" t="n">
        <v>4860000</v>
      </c>
      <c r="Y28" s="33" t="n">
        <v>1.4</v>
      </c>
    </row>
    <row r="29">
      <c r="A29" s="27" t="inlineStr">
        <is>
          <t>従量課金対象単価</t>
        </is>
      </c>
      <c r="C29" s="5">
        <f>+IF(C10&lt;=30000,0,C10-30000)</f>
        <v/>
      </c>
      <c r="D29" s="88">
        <f>+IF(D10&lt;=30000,0,D10-30000)</f>
        <v/>
      </c>
      <c r="E29" s="88">
        <f>+IF(E10&lt;=30000,0,E10-30000)</f>
        <v/>
      </c>
      <c r="F29" s="88">
        <f>+IF(F10&lt;=30000,0,F10-30000)</f>
        <v/>
      </c>
      <c r="R29" s="32" t="n">
        <v>3000000</v>
      </c>
      <c r="S29" s="5" t="inlineStr">
        <is>
          <t>-</t>
        </is>
      </c>
      <c r="T29" s="32" t="n">
        <v>5000000</v>
      </c>
      <c r="V29" s="32" t="n">
        <v>4860000</v>
      </c>
      <c r="W29" s="5" t="inlineStr">
        <is>
          <t>-</t>
        </is>
      </c>
      <c r="X29" s="32" t="n">
        <v>7460000</v>
      </c>
      <c r="Y29" s="33" t="n">
        <v>1.3</v>
      </c>
    </row>
    <row r="30">
      <c r="A30" s="27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F30" s="5">
        <f>+IF(F29&lt;=$T$17,$Y$17,IF(F29&lt;=$T$18,$Y$18,IF(F29&lt;=$T$19,$Y$19,IF(F29&lt;=$T$20,$Y$20,IF(F29&lt;=$T$21,$Y$21,IF(F29&lt;=$T$22,$Y$22,IF(F29&lt;=$T$23,$Y$23,IF(F29&lt;=$T$24,$Y$24,IF(F29&lt;=$T$25,$Y$25,IF(F29&lt;=$T$26,$Y$26,IF(F29&lt;=$T$27,$Y$27,IF(F29&lt;=$T$28,$Y$28,IF(F29&lt;=$T$29,$Y$29,0)))))))))))))</f>
        <v/>
      </c>
      <c r="R30" s="32" t="n">
        <v>5000000</v>
      </c>
      <c r="S30" s="5" t="inlineStr">
        <is>
          <t>-</t>
        </is>
      </c>
      <c r="T30" s="32" t="n">
        <v>7000000</v>
      </c>
      <c r="V30" s="32" t="n">
        <v>7460000</v>
      </c>
      <c r="W30" s="5" t="inlineStr">
        <is>
          <t>-</t>
        </is>
      </c>
      <c r="X30" s="32" t="n">
        <v>9860000</v>
      </c>
      <c r="Y30" s="33" t="n">
        <v>1.2</v>
      </c>
    </row>
    <row r="31">
      <c r="R31" s="32" t="n">
        <v>7000000</v>
      </c>
      <c r="S31" s="5" t="inlineStr">
        <is>
          <t>-</t>
        </is>
      </c>
      <c r="T31" s="32" t="n">
        <v>10000000</v>
      </c>
      <c r="V31" s="32" t="n">
        <v>9860000</v>
      </c>
      <c r="W31" s="5" t="inlineStr">
        <is>
          <t>-</t>
        </is>
      </c>
      <c r="X31" s="5" t="e">
        <v>#REF!</v>
      </c>
      <c r="Y31" s="33" t="n"/>
    </row>
    <row r="35">
      <c r="A35" s="89" t="inlineStr">
        <is>
          <t>階層別</t>
        </is>
      </c>
      <c r="B35" s="89" t="n"/>
      <c r="C35" s="90" t="inlineStr">
        <is>
          <t>母数</t>
        </is>
      </c>
      <c r="D35" s="91" t="inlineStr">
        <is>
          <t>誘導率</t>
        </is>
      </c>
      <c r="E35" s="91" t="inlineStr">
        <is>
          <t>想定CVR</t>
        </is>
      </c>
      <c r="F35" s="91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2"/>
  <sheetViews>
    <sheetView topLeftCell="A17" workbookViewId="0">
      <selection activeCell="I29" sqref="I29:J33"/>
    </sheetView>
  </sheetViews>
  <sheetFormatPr baseColWidth="8" defaultRowHeight="18"/>
  <cols>
    <col width="14.25" customWidth="1" style="113" min="1" max="1"/>
    <col width="14.25" customWidth="1" style="113" min="5" max="5"/>
  </cols>
  <sheetData>
    <row r="2">
      <c r="A2" s="55" t="inlineStr">
        <is>
          <t>友だち数_増加施策</t>
        </is>
      </c>
      <c r="B2" s="55" t="n"/>
      <c r="C2" s="55" t="n"/>
      <c r="D2" s="55" t="n"/>
      <c r="E2" s="55" t="n"/>
      <c r="F2" s="55" t="n"/>
      <c r="G2" s="55" t="n"/>
    </row>
    <row r="3">
      <c r="A3" s="52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56" t="n">
        <v>0.08500000000000001</v>
      </c>
    </row>
    <row r="6">
      <c r="A6" s="0" t="inlineStr">
        <is>
          <t>追加率</t>
        </is>
      </c>
      <c r="B6" s="56" t="n">
        <v>0.08</v>
      </c>
    </row>
    <row r="7">
      <c r="E7" s="0">
        <f>+E4*B5*B6</f>
        <v/>
      </c>
    </row>
    <row r="8">
      <c r="A8" s="52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56" t="n">
        <v>0.005</v>
      </c>
    </row>
    <row r="11">
      <c r="A11" s="0" t="inlineStr">
        <is>
          <t>追加率</t>
        </is>
      </c>
      <c r="B11" s="56" t="n">
        <v>0.08</v>
      </c>
    </row>
    <row r="12">
      <c r="E12" s="0">
        <f>+E9*B10*B11</f>
        <v/>
      </c>
    </row>
    <row r="13">
      <c r="A13" s="52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56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56" t="n">
        <v>0.35</v>
      </c>
    </row>
    <row r="17">
      <c r="E17" s="0">
        <f>+E14*B15*B16</f>
        <v/>
      </c>
    </row>
    <row r="18">
      <c r="A18" s="52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56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56" t="n">
        <v>1</v>
      </c>
    </row>
    <row r="21">
      <c r="A21" s="0" t="inlineStr">
        <is>
          <t>追加率</t>
        </is>
      </c>
      <c r="B21" s="56" t="n">
        <v>0.2</v>
      </c>
    </row>
    <row r="22">
      <c r="E22" s="0">
        <f>+E19*B20*B21</f>
        <v/>
      </c>
    </row>
    <row r="23">
      <c r="A23" s="55" t="inlineStr">
        <is>
          <t>配信効率改善施策</t>
        </is>
      </c>
      <c r="B23" s="55" t="n"/>
      <c r="C23" s="55" t="inlineStr">
        <is>
          <t>※具体的なセグメントの仕方、企画により変動</t>
        </is>
      </c>
      <c r="D23" s="55" t="n"/>
      <c r="E23" s="55" t="n"/>
      <c r="F23" s="55" t="n"/>
      <c r="G23" s="55" t="n"/>
      <c r="I23" s="63" t="inlineStr">
        <is>
          <t>課金</t>
        </is>
      </c>
      <c r="J23" s="64" t="n"/>
    </row>
    <row r="24">
      <c r="A24" s="52" t="inlineStr">
        <is>
          <t>&gt; 通常メッセ</t>
        </is>
      </c>
      <c r="I24" s="62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50" t="n">
        <v>0.8</v>
      </c>
      <c r="I25" s="62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50" t="n">
        <v>0.06</v>
      </c>
      <c r="I26" s="62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50" t="n">
        <v>0.003</v>
      </c>
      <c r="I27" s="62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2" t="inlineStr">
        <is>
          <t>&gt; 追いメッセ（ステップ、シナリオ）</t>
        </is>
      </c>
      <c r="I29" s="63" t="inlineStr">
        <is>
          <t>非課金</t>
        </is>
      </c>
      <c r="J29" s="64" t="n"/>
    </row>
    <row r="30">
      <c r="A30" s="0" t="inlineStr">
        <is>
          <t>開封率</t>
        </is>
      </c>
      <c r="B30" s="150" t="n">
        <v>0.75</v>
      </c>
      <c r="I30" s="62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50" t="n">
        <v>0.08</v>
      </c>
      <c r="I31" s="62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50" t="n">
        <v>0.006</v>
      </c>
      <c r="I32" s="62" t="n">
        <v>3</v>
      </c>
      <c r="J32" s="0" t="inlineStr">
        <is>
          <t>あいさつメッセージ</t>
        </is>
      </c>
    </row>
    <row r="33">
      <c r="I33" s="62" t="n">
        <v>4</v>
      </c>
      <c r="J33" s="0" t="inlineStr">
        <is>
          <t>（リッチメニュー）</t>
        </is>
      </c>
    </row>
    <row r="34">
      <c r="A34" s="52" t="inlineStr">
        <is>
          <t>&gt; その他（リッチメニュー）</t>
        </is>
      </c>
    </row>
    <row r="35">
      <c r="A35" s="0" t="inlineStr">
        <is>
          <t>開封率</t>
        </is>
      </c>
      <c r="B35" s="151" t="inlineStr">
        <is>
          <t>--</t>
        </is>
      </c>
    </row>
    <row r="36">
      <c r="A36" s="0" t="inlineStr">
        <is>
          <t>クリック率</t>
        </is>
      </c>
      <c r="B36" s="150" t="n">
        <v>0.02</v>
      </c>
    </row>
    <row r="37">
      <c r="A37" s="0" t="inlineStr">
        <is>
          <t>CV率</t>
        </is>
      </c>
      <c r="B37" s="150" t="n">
        <v>0.004</v>
      </c>
    </row>
    <row r="39">
      <c r="A39" s="52" t="inlineStr">
        <is>
          <t>&gt;挨拶メッセ</t>
        </is>
      </c>
      <c r="E39" s="52" t="inlineStr">
        <is>
          <t>&gt;挨拶メッセ（アンケート回答率）</t>
        </is>
      </c>
    </row>
    <row r="40">
      <c r="A40" s="0" t="inlineStr">
        <is>
          <t>開封率</t>
        </is>
      </c>
      <c r="B40" s="151" t="n">
        <v>1</v>
      </c>
      <c r="E40" s="0" t="inlineStr">
        <is>
          <t>開封率</t>
        </is>
      </c>
      <c r="F40" s="151" t="inlineStr">
        <is>
          <t>--</t>
        </is>
      </c>
    </row>
    <row r="41">
      <c r="A41" s="0" t="inlineStr">
        <is>
          <t>クリック率</t>
        </is>
      </c>
      <c r="B41" s="150" t="n">
        <v>0.035</v>
      </c>
      <c r="E41" s="0" t="inlineStr">
        <is>
          <t>回答率</t>
        </is>
      </c>
      <c r="F41" s="150" t="n">
        <v>0.25</v>
      </c>
    </row>
    <row r="42">
      <c r="A42" s="0" t="inlineStr">
        <is>
          <t>CV率</t>
        </is>
      </c>
      <c r="B42" s="150" t="n">
        <v>0.006</v>
      </c>
      <c r="F42" s="1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2026-08-20T16:34:30Z</dcterms:modified>
  <cp:lastModifiedBy>殿村 亮太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
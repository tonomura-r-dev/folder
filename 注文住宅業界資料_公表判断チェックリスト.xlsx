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判定一覧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<sst xmlns="http://schemas.openxmlformats.org/spreadsheetml/2006/main" count="214" uniqueCount="123">
  <si>
    <r>
      <rPr>
        <b val="true"/>
        <sz val="14"/>
        <color rgb="FF1F285A"/>
        <rFont val="WenQuanYi Zen Hei"/>
        <family val="2"/>
      </rPr>
      <t xml:space="preserve">注文住宅業界</t>
    </r>
    <r>
      <rPr>
        <b val="true"/>
        <sz val="14"/>
        <color rgb="FF1F285A"/>
        <rFont val="Arial"/>
        <family val="0"/>
        <charset val="1"/>
      </rPr>
      <t xml:space="preserve">_LINEOA</t>
    </r>
    <r>
      <rPr>
        <b val="true"/>
        <sz val="14"/>
        <color rgb="FF1F285A"/>
        <rFont val="WenQuanYi Zen Hei"/>
        <family val="2"/>
      </rPr>
      <t xml:space="preserve">施策提案（</t>
    </r>
    <r>
      <rPr>
        <b val="true"/>
        <sz val="14"/>
        <color rgb="FF1F285A"/>
        <rFont val="Arial"/>
        <family val="0"/>
        <charset val="1"/>
      </rPr>
      <t xml:space="preserve">36</t>
    </r>
    <r>
      <rPr>
        <b val="true"/>
        <sz val="14"/>
        <color rgb="FF1F285A"/>
        <rFont val="WenQuanYi Zen Hei"/>
        <family val="2"/>
      </rPr>
      <t xml:space="preserve">枚）｜公表判断チェックリスト</t>
    </r>
  </si>
  <si>
    <r>
      <rPr>
        <sz val="9"/>
        <color rgb="FF7F7F7F"/>
        <rFont val="WenQuanYi Zen Hei"/>
        <family val="2"/>
      </rPr>
      <t xml:space="preserve">作成日：</t>
    </r>
    <r>
      <rPr>
        <sz val="9"/>
        <color rgb="FF7F7F7F"/>
        <rFont val="Arial"/>
        <family val="0"/>
        <charset val="1"/>
      </rPr>
      <t xml:space="preserve">2026-08-26</t>
    </r>
    <r>
      <rPr>
        <sz val="9"/>
        <color rgb="FF7F7F7F"/>
        <rFont val="WenQuanYi Zen Hei"/>
        <family val="2"/>
      </rPr>
      <t xml:space="preserve">　対象ファイル：注文住宅業界</t>
    </r>
    <r>
      <rPr>
        <sz val="9"/>
        <color rgb="FF7F7F7F"/>
        <rFont val="Arial"/>
        <family val="0"/>
        <charset val="1"/>
      </rPr>
      <t xml:space="preserve">_LINEOA</t>
    </r>
    <r>
      <rPr>
        <sz val="9"/>
        <color rgb="FF7F7F7F"/>
        <rFont val="WenQuanYi Zen Hei"/>
        <family val="2"/>
      </rPr>
      <t xml:space="preserve">施策提案</t>
    </r>
    <r>
      <rPr>
        <sz val="9"/>
        <color rgb="FF7F7F7F"/>
        <rFont val="Arial"/>
        <family val="0"/>
        <charset val="1"/>
      </rPr>
      <t xml:space="preserve">.pptx</t>
    </r>
  </si>
  <si>
    <r>
      <rPr>
        <b val="true"/>
        <sz val="10"/>
        <color rgb="FF1F285A"/>
        <rFont val="WenQuanYi Zen Hei"/>
        <family val="2"/>
      </rPr>
      <t xml:space="preserve">背骨（この資料が言っていること・</t>
    </r>
    <r>
      <rPr>
        <b val="true"/>
        <sz val="10"/>
        <color rgb="FF1F285A"/>
        <rFont val="Arial"/>
        <family val="0"/>
        <charset val="1"/>
      </rPr>
      <t xml:space="preserve">1</t>
    </r>
    <r>
      <rPr>
        <b val="true"/>
        <sz val="10"/>
        <color rgb="FF1F285A"/>
        <rFont val="WenQuanYi Zen Hei"/>
        <family val="2"/>
      </rPr>
      <t xml:space="preserve">文）</t>
    </r>
  </si>
  <si>
    <r>
      <rPr>
        <sz val="10"/>
        <rFont val="WenQuanYi Zen Hei"/>
        <family val="2"/>
      </rPr>
      <t xml:space="preserve">注文住宅は検討期間が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ヶ月あるのに、御社が接点を持てるのは「フォームを通れた人」だけ。</t>
    </r>
    <r>
      <rPr>
        <sz val="10"/>
        <rFont val="Arial"/>
        <family val="0"/>
        <charset val="1"/>
      </rPr>
      <t xml:space="preserve">LP</t>
    </r>
    <r>
      <rPr>
        <sz val="10"/>
        <rFont val="WenQuanYi Zen Hei"/>
        <family val="2"/>
      </rPr>
      <t xml:space="preserve">から落ちた後と予約が入った後の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箇所だけを</t>
    </r>
    <r>
      <rPr>
        <sz val="10"/>
        <rFont val="Arial"/>
        <family val="0"/>
        <charset val="1"/>
      </rPr>
      <t xml:space="preserve">LINE</t>
    </r>
    <r>
      <rPr>
        <sz val="10"/>
        <rFont val="WenQuanYi Zen Hei"/>
        <family val="2"/>
      </rPr>
      <t xml:space="preserve">で埋め、来場率と契約棟数を引き上げる。</t>
    </r>
  </si>
  <si>
    <t xml:space="preserve">判定サマリ</t>
  </si>
  <si>
    <t xml:space="preserve">緑（そのまま公表可）</t>
  </si>
  <si>
    <t xml:space="preserve">枚</t>
  </si>
  <si>
    <t xml:space="preserve">黄（仮説明記のうえ公表可）</t>
  </si>
  <si>
    <t xml:space="preserve">赤（出典確定まで公表不可）</t>
  </si>
  <si>
    <t xml:space="preserve">合計</t>
  </si>
  <si>
    <t xml:space="preserve">納品条件</t>
  </si>
  <si>
    <r>
      <rPr>
        <b val="true"/>
        <sz val="10"/>
        <color rgb="FF1F285A"/>
        <rFont val="WenQuanYi Zen Hei"/>
        <family val="2"/>
      </rPr>
      <t xml:space="preserve">★ 上司確認が必要な</t>
    </r>
    <r>
      <rPr>
        <b val="true"/>
        <sz val="10"/>
        <color rgb="FF1F285A"/>
        <rFont val="Arial"/>
        <family val="0"/>
        <charset val="1"/>
      </rPr>
      <t xml:space="preserve">3</t>
    </r>
    <r>
      <rPr>
        <b val="true"/>
        <sz val="10"/>
        <color rgb="FF1F285A"/>
        <rFont val="WenQuanYi Zen Hei"/>
        <family val="2"/>
      </rPr>
      <t xml:space="preserve">点</t>
    </r>
  </si>
  <si>
    <r>
      <rPr>
        <sz val="9.5"/>
        <rFont val="WenQuanYi Zen Hei"/>
        <family val="2"/>
      </rPr>
      <t xml:space="preserve">① 社内広告実績の共有可否（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地点別の</t>
    </r>
    <r>
      <rPr>
        <sz val="9.5"/>
        <rFont val="Arial"/>
        <family val="0"/>
        <charset val="1"/>
      </rPr>
      <t xml:space="preserve">CPC/CVR/CPA</t>
    </r>
    <r>
      <rPr>
        <sz val="9.5"/>
        <rFont val="WenQuanYi Zen Hei"/>
        <family val="2"/>
      </rPr>
      <t xml:space="preserve">・資料請求→来場率・来場→契約率・</t>
    </r>
    <r>
      <rPr>
        <sz val="9.5"/>
        <rFont val="Arial"/>
        <family val="0"/>
        <charset val="1"/>
      </rPr>
      <t xml:space="preserve">1</t>
    </r>
    <r>
      <rPr>
        <sz val="9.5"/>
        <rFont val="WenQuanYi Zen Hei"/>
        <family val="2"/>
      </rPr>
      <t xml:space="preserve">棟粗利率）→ </t>
    </r>
    <r>
      <rPr>
        <sz val="9.5"/>
        <rFont val="Arial"/>
        <family val="0"/>
        <charset val="1"/>
      </rPr>
      <t xml:space="preserve">S5/S6</t>
    </r>
    <r>
      <rPr>
        <sz val="9.5"/>
        <rFont val="WenQuanYi Zen Hei"/>
        <family val="2"/>
      </rPr>
      <t xml:space="preserve">が実測になる</t>
    </r>
  </si>
  <si>
    <r>
      <rPr>
        <sz val="9.5"/>
        <rFont val="WenQuanYi Zen Hei"/>
        <family val="2"/>
      </rPr>
      <t xml:space="preserve">② 出典未確定数値の扱い（</t>
    </r>
    <r>
      <rPr>
        <sz val="9.5"/>
        <rFont val="Arial"/>
        <family val="0"/>
        <charset val="1"/>
      </rPr>
      <t xml:space="preserve">S18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S24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S25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S29</t>
    </r>
    <r>
      <rPr>
        <sz val="9.5"/>
        <rFont val="WenQuanYi Zen Hei"/>
        <family val="2"/>
      </rPr>
      <t xml:space="preserve">の赤</t>
    </r>
    <r>
      <rPr>
        <sz val="9.5"/>
        <rFont val="Arial"/>
        <family val="0"/>
        <charset val="1"/>
      </rPr>
      <t xml:space="preserve">4</t>
    </r>
    <r>
      <rPr>
        <sz val="9.5"/>
        <rFont val="WenQuanYi Zen Hei"/>
        <family val="2"/>
      </rPr>
      <t xml:space="preserve">枚）→ 出典を確定すれば緑、できなければ該当数値を削除</t>
    </r>
  </si>
  <si>
    <r>
      <rPr>
        <sz val="9.5"/>
        <rFont val="WenQuanYi Zen Hei"/>
        <family val="2"/>
      </rPr>
      <t xml:space="preserve">③ 競合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社・導入事例の実名掲載</t>
    </r>
    <r>
      <rPr>
        <sz val="9.5"/>
        <rFont val="Arial"/>
        <family val="0"/>
        <charset val="1"/>
      </rPr>
      <t xml:space="preserve">OK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S9/S10/S16</t>
    </r>
    <r>
      <rPr>
        <sz val="9.5"/>
        <rFont val="WenQuanYi Zen Hei"/>
        <family val="2"/>
      </rPr>
      <t xml:space="preserve">）→ </t>
    </r>
    <r>
      <rPr>
        <sz val="9.5"/>
        <rFont val="Arial"/>
        <family val="0"/>
        <charset val="1"/>
      </rPr>
      <t xml:space="preserve">NG</t>
    </r>
    <r>
      <rPr>
        <sz val="9.5"/>
        <rFont val="WenQuanYi Zen Hei"/>
        <family val="2"/>
      </rPr>
      <t xml:space="preserve">なら「</t>
    </r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社／</t>
    </r>
    <r>
      <rPr>
        <sz val="9.5"/>
        <rFont val="Arial"/>
        <family val="0"/>
        <charset val="1"/>
      </rPr>
      <t xml:space="preserve">B</t>
    </r>
    <r>
      <rPr>
        <sz val="9.5"/>
        <rFont val="WenQuanYi Zen Hei"/>
        <family val="2"/>
      </rPr>
      <t xml:space="preserve">社」表記に変更</t>
    </r>
  </si>
  <si>
    <r>
      <rPr>
        <b val="true"/>
        <sz val="10"/>
        <color rgb="FF1F285A"/>
        <rFont val="WenQuanYi Zen Hei"/>
        <family val="2"/>
      </rPr>
      <t xml:space="preserve">△ データ待ち（人が集める素材・</t>
    </r>
    <r>
      <rPr>
        <b val="true"/>
        <sz val="10"/>
        <color rgb="FF1F285A"/>
        <rFont val="Arial"/>
        <family val="0"/>
        <charset val="1"/>
      </rPr>
      <t xml:space="preserve">5</t>
    </r>
    <r>
      <rPr>
        <b val="true"/>
        <sz val="10"/>
        <color rgb="FF1F285A"/>
        <rFont val="WenQuanYi Zen Hei"/>
        <family val="2"/>
      </rPr>
      <t xml:space="preserve">種に限定）</t>
    </r>
  </si>
  <si>
    <r>
      <rPr>
        <sz val="9.5"/>
        <rFont val="Arial"/>
        <family val="0"/>
        <charset val="1"/>
      </rPr>
      <t xml:space="preserve">1. Google</t>
    </r>
    <r>
      <rPr>
        <sz val="9.5"/>
        <rFont val="WenQuanYi Zen Hei"/>
        <family val="2"/>
      </rPr>
      <t xml:space="preserve">トレンドのスクショ（注文住宅／ハウスメーカー／注文住宅 相場／土地 探し方・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年＋直近</t>
    </r>
    <r>
      <rPr>
        <sz val="9.5"/>
        <rFont val="Arial"/>
        <family val="0"/>
        <charset val="1"/>
      </rPr>
      <t xml:space="preserve">1</t>
    </r>
    <r>
      <rPr>
        <sz val="9.5"/>
        <rFont val="WenQuanYi Zen Hei"/>
        <family val="2"/>
      </rPr>
      <t xml:space="preserve">年）→ </t>
    </r>
    <r>
      <rPr>
        <sz val="9.5"/>
        <rFont val="Arial"/>
        <family val="0"/>
        <charset val="1"/>
      </rPr>
      <t xml:space="preserve">S7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S34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</si>
  <si>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2. </t>
    </r>
    <r>
      <rPr>
        <sz val="9.5"/>
        <rFont val="WenQuanYi Zen Hei"/>
        <family val="2"/>
      </rPr>
      <t xml:space="preserve">上司確認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点セット（上記★）→ </t>
    </r>
    <r>
      <rPr>
        <sz val="9.5"/>
        <rFont val="Arial"/>
        <family val="0"/>
        <charset val="1"/>
      </rPr>
      <t xml:space="preserve">S5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S6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S18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S24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S25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S29</t>
    </r>
    <r>
      <rPr>
        <sz val="9.5"/>
        <rFont val="WenQuanYi Zen Hei"/>
        <family val="2"/>
      </rPr>
      <t xml:space="preserve">が黄／赤→緑</t>
    </r>
  </si>
  <si>
    <r>
      <rPr>
        <sz val="9.5"/>
        <rFont val="Arial"/>
        <family val="0"/>
        <charset val="1"/>
      </rPr>
      <t xml:space="preserve">3. LINE</t>
    </r>
    <r>
      <rPr>
        <sz val="9.5"/>
        <rFont val="WenQuanYi Zen Hei"/>
        <family val="2"/>
      </rPr>
      <t xml:space="preserve">ヤフーの前後検索データ（注文住宅 相場／ハウスメーカー 比較／注文住宅 ●●市）→ </t>
    </r>
    <r>
      <rPr>
        <sz val="9.5"/>
        <rFont val="Arial"/>
        <family val="0"/>
        <charset val="1"/>
      </rPr>
      <t xml:space="preserve">S8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</si>
  <si>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4. </t>
    </r>
    <r>
      <rPr>
        <sz val="9.5"/>
        <rFont val="WenQuanYi Zen Hei"/>
        <family val="2"/>
      </rPr>
      <t xml:space="preserve">競合の友だち追加調査（上位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社のあいさつ・リッチメニュー・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週間の配信内容）→ 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</si>
  <si>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5. </t>
    </r>
    <r>
      <rPr>
        <sz val="9.5"/>
        <rFont val="WenQuanYi Zen Hei"/>
        <family val="2"/>
      </rPr>
      <t xml:space="preserve">事例ストック調査結果／上司共有資料の反映 → </t>
    </r>
    <r>
      <rPr>
        <sz val="9.5"/>
        <rFont val="Arial"/>
        <family val="0"/>
        <charset val="1"/>
      </rPr>
      <t xml:space="preserve">S16</t>
    </r>
    <r>
      <rPr>
        <sz val="9.5"/>
        <rFont val="WenQuanYi Zen Hei"/>
        <family val="2"/>
      </rPr>
      <t xml:space="preserve">の裏取り</t>
    </r>
  </si>
  <si>
    <t xml:space="preserve">凡例（このファイルの使い方）</t>
  </si>
  <si>
    <r>
      <rPr>
        <sz val="9.5"/>
        <rFont val="WenQuanYi Zen Hei"/>
        <family val="2"/>
      </rPr>
      <t xml:space="preserve">・「判定一覧」タブの</t>
    </r>
    <r>
      <rPr>
        <sz val="9.5"/>
        <rFont val="Arial"/>
        <family val="0"/>
        <charset val="1"/>
      </rPr>
      <t xml:space="preserve">F</t>
    </r>
    <r>
      <rPr>
        <sz val="9.5"/>
        <rFont val="WenQuanYi Zen Hei"/>
        <family val="2"/>
      </rPr>
      <t xml:space="preserve">列（残タスク）が、この資料を完成させるための</t>
    </r>
    <r>
      <rPr>
        <sz val="9.5"/>
        <rFont val="Arial"/>
        <family val="0"/>
        <charset val="1"/>
      </rPr>
      <t xml:space="preserve">TODO</t>
    </r>
    <r>
      <rPr>
        <sz val="9.5"/>
        <rFont val="WenQuanYi Zen Hei"/>
        <family val="2"/>
      </rPr>
      <t xml:space="preserve">です。</t>
    </r>
  </si>
  <si>
    <r>
      <rPr>
        <sz val="9.5"/>
        <rFont val="WenQuanYi Zen Hei"/>
        <family val="2"/>
      </rPr>
      <t xml:space="preserve">・黄色で塗られたセルが記入欄です。データが入ったら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列の判定を「緑」に書き換えてください。</t>
    </r>
  </si>
  <si>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列を書き換えると、このサマリの集計と納品条件の判定が自動で更新されます。</t>
    </r>
  </si>
  <si>
    <t xml:space="preserve">スライドタイトル</t>
  </si>
  <si>
    <t xml:space="preserve">主張の種類</t>
  </si>
  <si>
    <t xml:space="preserve">判定</t>
  </si>
  <si>
    <t xml:space="preserve">根拠・出典</t>
  </si>
  <si>
    <t xml:space="preserve">残タスク（これが埋まれば緑）</t>
  </si>
  <si>
    <t xml:space="preserve">表紙</t>
  </si>
  <si>
    <t xml:space="preserve">意見</t>
  </si>
  <si>
    <t xml:space="preserve">緑</t>
  </si>
  <si>
    <t xml:space="preserve">提案タイトル。数値なし</t>
  </si>
  <si>
    <t xml:space="preserve">宛先社名を差し込む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</si>
  <si>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公式アカウントを検討する背景</t>
    </r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</si>
  <si>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標準の課題整理（</t>
    </r>
    <r>
      <rPr>
        <sz val="9.5"/>
        <rFont val="Arial"/>
        <family val="0"/>
        <charset val="1"/>
      </rPr>
      <t xml:space="preserve">FMT</t>
    </r>
    <r>
      <rPr>
        <sz val="9.5"/>
        <rFont val="WenQuanYi Zen Hei"/>
        <family val="2"/>
      </rPr>
      <t xml:space="preserve">）</t>
    </r>
  </si>
  <si>
    <t xml:space="preserve">―</t>
  </si>
  <si>
    <t xml:space="preserve">全体設計想定（カスタマージャーニー）</t>
  </si>
  <si>
    <r>
      <rPr>
        <sz val="9.5"/>
        <rFont val="Arial"/>
        <family val="0"/>
        <charset val="1"/>
      </rPr>
      <t xml:space="preserve">CV3</t>
    </r>
    <r>
      <rPr>
        <sz val="9.5"/>
        <rFont val="WenQuanYi Zen Hei"/>
        <family val="2"/>
      </rPr>
      <t xml:space="preserve">段は</t>
    </r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設計（本提案で定義）</t>
    </r>
  </si>
  <si>
    <r>
      <rPr>
        <sz val="9.5"/>
        <rFont val="WenQuanYi Zen Hei"/>
        <family val="2"/>
      </rPr>
      <t xml:space="preserve">貴社の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定義とすり合わせ</t>
    </r>
  </si>
  <si>
    <t xml:space="preserve">全体設計想定（簡略版）</t>
  </si>
  <si>
    <t xml:space="preserve">同上</t>
  </si>
  <si>
    <r>
      <rPr>
        <sz val="9.5"/>
        <rFont val="WenQuanYi Zen Hei"/>
        <family val="2"/>
      </rPr>
      <t xml:space="preserve">市場環境｜検索広告</t>
    </r>
    <r>
      <rPr>
        <sz val="9.5"/>
        <rFont val="Arial"/>
        <family val="0"/>
        <charset val="1"/>
      </rPr>
      <t xml:space="preserve">CPC</t>
    </r>
    <r>
      <rPr>
        <sz val="9.5"/>
        <rFont val="WenQuanYi Zen Hei"/>
        <family val="2"/>
      </rPr>
      <t xml:space="preserve">の推移</t>
    </r>
  </si>
  <si>
    <t xml:space="preserve">推定</t>
  </si>
  <si>
    <t xml:space="preserve">黄</t>
  </si>
  <si>
    <r>
      <rPr>
        <sz val="9.5"/>
        <rFont val="Arial"/>
        <family val="0"/>
        <charset val="1"/>
      </rPr>
      <t xml:space="preserve">CPC</t>
    </r>
    <r>
      <rPr>
        <sz val="9.5"/>
        <rFont val="WenQuanYi Zen Hei"/>
        <family val="2"/>
      </rPr>
      <t xml:space="preserve">は業界水準に基づく推計レンジ（脚注に明記）</t>
    </r>
  </si>
  <si>
    <r>
      <rPr>
        <sz val="9.5"/>
        <rFont val="WenQuanYi Zen Hei"/>
        <family val="2"/>
      </rPr>
      <t xml:space="preserve">貴社の実績</t>
    </r>
    <r>
      <rPr>
        <sz val="9.5"/>
        <rFont val="Arial"/>
        <family val="0"/>
        <charset val="1"/>
      </rPr>
      <t xml:space="preserve">CPC</t>
    </r>
    <r>
      <rPr>
        <sz val="9.5"/>
        <rFont val="WenQuanYi Zen Hei"/>
        <family val="2"/>
      </rPr>
      <t xml:space="preserve">に差し替え（上司確認①）</t>
    </r>
  </si>
  <si>
    <r>
      <rPr>
        <sz val="9.5"/>
        <rFont val="WenQuanYi Zen Hei"/>
        <family val="2"/>
      </rPr>
      <t xml:space="preserve">広告与件｜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地点別の設計マトリクス＋広告審査</t>
    </r>
  </si>
  <si>
    <r>
      <rPr>
        <sz val="9.5"/>
        <rFont val="WenQuanYi Zen Hei"/>
        <family val="2"/>
      </rPr>
      <t xml:space="preserve">想定</t>
    </r>
    <r>
      <rPr>
        <sz val="9.5"/>
        <rFont val="Arial"/>
        <family val="0"/>
        <charset val="1"/>
      </rPr>
      <t xml:space="preserve">CVR</t>
    </r>
    <r>
      <rPr>
        <sz val="9.5"/>
        <rFont val="WenQuanYi Zen Hei"/>
        <family val="2"/>
      </rPr>
      <t xml:space="preserve">は業界水準。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地点は各行に明記</t>
    </r>
  </si>
  <si>
    <r>
      <rPr>
        <sz val="9.5"/>
        <rFont val="WenQuanYi Zen Hei"/>
        <family val="2"/>
      </rPr>
      <t xml:space="preserve">貴社の実績</t>
    </r>
    <r>
      <rPr>
        <sz val="9.5"/>
        <rFont val="Arial"/>
        <family val="0"/>
        <charset val="1"/>
      </rPr>
      <t xml:space="preserve">CVR/CPA</t>
    </r>
    <r>
      <rPr>
        <sz val="9.5"/>
        <rFont val="WenQuanYi Zen Hei"/>
        <family val="2"/>
      </rPr>
      <t xml:space="preserve">に差し替え（上司確認①）</t>
    </r>
  </si>
  <si>
    <t xml:space="preserve">ニーズ調査（シーズナリティ）</t>
  </si>
  <si>
    <r>
      <rPr>
        <sz val="9.5"/>
        <rFont val="WenQuanYi Zen Hei"/>
        <family val="2"/>
      </rPr>
      <t xml:space="preserve">指数は業界水準の推計（年平均</t>
    </r>
    <r>
      <rPr>
        <sz val="9.5"/>
        <rFont val="Arial"/>
        <family val="0"/>
        <charset val="1"/>
      </rPr>
      <t xml:space="preserve">=100</t>
    </r>
    <r>
      <rPr>
        <sz val="9.5"/>
        <rFont val="WenQuanYi Zen Hei"/>
        <family val="2"/>
      </rPr>
      <t xml:space="preserve">・脚注に明記）</t>
    </r>
  </si>
  <si>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トレンド実データ（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年＋</t>
    </r>
    <r>
      <rPr>
        <sz val="9.5"/>
        <rFont val="Arial"/>
        <family val="0"/>
        <charset val="1"/>
      </rPr>
      <t xml:space="preserve">1</t>
    </r>
    <r>
      <rPr>
        <sz val="9.5"/>
        <rFont val="WenQuanYi Zen Hei"/>
        <family val="2"/>
      </rPr>
      <t xml:space="preserve">年）で差し替え</t>
    </r>
  </si>
  <si>
    <t xml:space="preserve">ニーズ調査（前後検索）</t>
  </si>
  <si>
    <t xml:space="preserve">業界知見に基づく仮説（脚注に明記）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</si>
  <si>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ヤフーの前後検索データで検証</t>
    </r>
  </si>
  <si>
    <r>
      <rPr>
        <sz val="9.5"/>
        <rFont val="WenQuanYi Zen Hei"/>
        <family val="2"/>
      </rPr>
      <t xml:space="preserve">他社分析①｜主要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社の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運用ステータス</t>
    </r>
  </si>
  <si>
    <t xml:space="preserve">事実</t>
  </si>
  <si>
    <t xml:space="preserve">アカウント実在は確認済。友だち数は未取得＝差込枠のまま</t>
  </si>
  <si>
    <r>
      <rPr>
        <sz val="9.5"/>
        <rFont val="Arial"/>
        <family val="0"/>
        <charset val="1"/>
      </rPr>
      <t xml:space="preserve">page.line.me</t>
    </r>
    <r>
      <rPr>
        <sz val="9.5"/>
        <rFont val="WenQuanYi Zen Hei"/>
        <family val="2"/>
      </rPr>
      <t xml:space="preserve">で取得日つき実測（</t>
    </r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対応）</t>
    </r>
  </si>
  <si>
    <r>
      <rPr>
        <sz val="9.5"/>
        <rFont val="WenQuanYi Zen Hei"/>
        <family val="2"/>
      </rPr>
      <t xml:space="preserve">他社分析②｜運用の型</t>
    </r>
    <r>
      <rPr>
        <sz val="9.5"/>
        <rFont val="Arial"/>
        <family val="0"/>
        <charset val="1"/>
      </rPr>
      <t xml:space="preserve">4</t>
    </r>
    <r>
      <rPr>
        <sz val="9.5"/>
        <rFont val="WenQuanYi Zen Hei"/>
        <family val="2"/>
      </rPr>
      <t xml:space="preserve">分類</t>
    </r>
  </si>
  <si>
    <r>
      <rPr>
        <sz val="9.5"/>
        <rFont val="WenQuanYi Zen Hei"/>
        <family val="2"/>
      </rPr>
      <t xml:space="preserve">型の分類は</t>
    </r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見解。仮説バッジを表示済</t>
    </r>
  </si>
  <si>
    <t xml:space="preserve">実測後に各社をプロットして確定</t>
  </si>
  <si>
    <t xml:space="preserve">資料アジェンダ</t>
  </si>
  <si>
    <t xml:space="preserve">構成の目次</t>
  </si>
  <si>
    <r>
      <rPr>
        <sz val="9.5"/>
        <rFont val="WenQuanYi Zen Hei"/>
        <family val="2"/>
      </rPr>
      <t xml:space="preserve">具体企画①｜ステップ配信案（</t>
    </r>
    <r>
      <rPr>
        <sz val="9.5"/>
        <rFont val="Arial"/>
        <family val="0"/>
        <charset val="1"/>
      </rPr>
      <t xml:space="preserve">14</t>
    </r>
    <r>
      <rPr>
        <sz val="9.5"/>
        <rFont val="WenQuanYi Zen Hei"/>
        <family val="2"/>
      </rPr>
      <t xml:space="preserve">日）</t>
    </r>
  </si>
  <si>
    <r>
      <rPr>
        <sz val="9.5"/>
        <rFont val="WenQuanYi Zen Hei"/>
        <family val="2"/>
      </rPr>
      <t xml:space="preserve">配信設計。根拠列は前後検索（</t>
    </r>
    <r>
      <rPr>
        <sz val="9.5"/>
        <rFont val="Arial"/>
        <family val="0"/>
        <charset val="1"/>
      </rPr>
      <t xml:space="preserve">S8</t>
    </r>
    <r>
      <rPr>
        <sz val="9.5"/>
        <rFont val="WenQuanYi Zen Hei"/>
        <family val="2"/>
      </rPr>
      <t xml:space="preserve">）に紐づく</t>
    </r>
  </si>
  <si>
    <r>
      <rPr>
        <sz val="9.5"/>
        <rFont val="Arial"/>
        <family val="0"/>
        <charset val="1"/>
      </rPr>
      <t xml:space="preserve">S8</t>
    </r>
    <r>
      <rPr>
        <sz val="9.5"/>
        <rFont val="WenQuanYi Zen Hei"/>
        <family val="2"/>
      </rPr>
      <t xml:space="preserve">確定後に根拠列を実データ表記へ</t>
    </r>
  </si>
  <si>
    <t xml:space="preserve">具体企画②｜実際にスマホへ届く文面</t>
  </si>
  <si>
    <t xml:space="preserve">配信文面の初稿。数値は登場しない</t>
  </si>
  <si>
    <t xml:space="preserve">担当者名・実績値を貴社データに差し替え</t>
  </si>
  <si>
    <r>
      <rPr>
        <sz val="9.5"/>
        <rFont val="WenQuanYi Zen Hei"/>
        <family val="2"/>
      </rPr>
      <t xml:space="preserve">具体企画③｜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通知メッセージの利用シーン</t>
    </r>
  </si>
  <si>
    <t xml:space="preserve">利用シーンの設計</t>
  </si>
  <si>
    <t xml:space="preserve">電話番号の取得同意状況を確認</t>
  </si>
  <si>
    <t xml:space="preserve">具体企画④｜飛び道具</t>
  </si>
  <si>
    <t xml:space="preserve">企画案。数値なし</t>
  </si>
  <si>
    <r>
      <rPr>
        <sz val="9.5"/>
        <rFont val="Arial"/>
        <family val="0"/>
        <charset val="1"/>
      </rPr>
      <t xml:space="preserve">B</t>
    </r>
    <r>
      <rPr>
        <sz val="9.5"/>
        <rFont val="WenQuanYi Zen Hei"/>
        <family val="2"/>
      </rPr>
      <t xml:space="preserve">案（不利の開示）は社内合意が必要</t>
    </r>
  </si>
  <si>
    <r>
      <rPr>
        <sz val="9.5"/>
        <rFont val="Arial"/>
        <family val="0"/>
        <charset val="1"/>
      </rPr>
      <t xml:space="preserve">LINEOA</t>
    </r>
    <r>
      <rPr>
        <sz val="9.5"/>
        <rFont val="WenQuanYi Zen Hei"/>
        <family val="2"/>
      </rPr>
      <t xml:space="preserve">実績｜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ヤフー公式の導入事例</t>
    </r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</si>
  <si>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 導入事例（</t>
    </r>
    <r>
      <rPr>
        <sz val="9.5"/>
        <rFont val="Arial"/>
        <family val="0"/>
        <charset val="1"/>
      </rPr>
      <t xml:space="preserve">lycbiz.com</t>
    </r>
    <r>
      <rPr>
        <sz val="9.5"/>
        <rFont val="WenQuanYi Zen Hei"/>
        <family val="2"/>
      </rPr>
      <t xml:space="preserve">）記載の数値</t>
    </r>
  </si>
  <si>
    <t xml:space="preserve">掲載前に各事例ページ原典で数値を再確認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</si>
  <si>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施策における重要な考え方</t>
    </r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</si>
  <si>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標準の考え方（</t>
    </r>
    <r>
      <rPr>
        <sz val="9.5"/>
        <rFont val="Arial"/>
        <family val="0"/>
        <charset val="1"/>
      </rPr>
      <t xml:space="preserve">FMT</t>
    </r>
    <r>
      <rPr>
        <sz val="9.5"/>
        <rFont val="WenQuanYi Zen Hei"/>
        <family val="2"/>
      </rPr>
      <t xml:space="preserve">）</t>
    </r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</si>
  <si>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公式アカウントを検討する背景（集客効率）</t>
    </r>
  </si>
  <si>
    <t xml:space="preserve">赤</t>
  </si>
  <si>
    <r>
      <rPr>
        <sz val="9.5"/>
        <rFont val="WenQuanYi Zen Hei"/>
        <family val="2"/>
      </rPr>
      <t xml:space="preserve">「業態平均で最大</t>
    </r>
    <r>
      <rPr>
        <sz val="9.5"/>
        <rFont val="Arial"/>
        <family val="0"/>
        <charset val="1"/>
      </rPr>
      <t xml:space="preserve">3%</t>
    </r>
    <r>
      <rPr>
        <sz val="9.5"/>
        <rFont val="WenQuanYi Zen Hei"/>
        <family val="2"/>
      </rPr>
      <t xml:space="preserve">」「</t>
    </r>
    <r>
      <rPr>
        <sz val="9.5"/>
        <rFont val="Arial"/>
        <family val="0"/>
        <charset val="1"/>
      </rPr>
      <t xml:space="preserve">3%/1.5%/2.5%/2%</t>
    </r>
    <r>
      <rPr>
        <sz val="9.5"/>
        <rFont val="WenQuanYi Zen Hei"/>
        <family val="2"/>
      </rPr>
      <t xml:space="preserve">」＝出典未記載</t>
    </r>
  </si>
  <si>
    <r>
      <rPr>
        <sz val="9.5"/>
        <rFont val="WenQuanYi Zen Hei"/>
        <family val="2"/>
      </rPr>
      <t xml:space="preserve">出典を社内で確定 </t>
    </r>
    <r>
      <rPr>
        <sz val="9.5"/>
        <rFont val="Arial"/>
        <family val="0"/>
        <charset val="1"/>
      </rPr>
      <t xml:space="preserve">or </t>
    </r>
    <r>
      <rPr>
        <sz val="9.5"/>
        <rFont val="WenQuanYi Zen Hei"/>
        <family val="2"/>
      </rPr>
      <t xml:space="preserve">該当数値を削除（上司確認②）</t>
    </r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</si>
  <si>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公式アカウントにおける対策領域</t>
    </r>
  </si>
  <si>
    <r>
      <rPr>
        <sz val="9.5"/>
        <rFont val="WenQuanYi Zen Hei"/>
        <family val="2"/>
      </rPr>
      <t xml:space="preserve">機能マップ（</t>
    </r>
    <r>
      <rPr>
        <sz val="9.5"/>
        <rFont val="Arial"/>
        <family val="0"/>
        <charset val="1"/>
      </rPr>
      <t xml:space="preserve">FMT</t>
    </r>
    <r>
      <rPr>
        <sz val="9.5"/>
        <rFont val="WenQuanYi Zen Hei"/>
        <family val="2"/>
      </rPr>
      <t xml:space="preserve">）</t>
    </r>
  </si>
  <si>
    <t xml:space="preserve">施策展開図（初期・月次）</t>
  </si>
  <si>
    <r>
      <rPr>
        <sz val="9.5"/>
        <rFont val="WenQuanYi Zen Hei"/>
        <family val="2"/>
      </rPr>
      <t xml:space="preserve">実施メニュー（</t>
    </r>
    <r>
      <rPr>
        <sz val="9.5"/>
        <rFont val="Arial"/>
        <family val="0"/>
        <charset val="1"/>
      </rPr>
      <t xml:space="preserve">FMT</t>
    </r>
    <r>
      <rPr>
        <sz val="9.5"/>
        <rFont val="WenQuanYi Zen Hei"/>
        <family val="2"/>
      </rPr>
      <t xml:space="preserve">）</t>
    </r>
  </si>
  <si>
    <t xml:space="preserve">施策展開図（友だち追加後の動線）</t>
  </si>
  <si>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ブロックを注文住宅の施策に置換済</t>
    </r>
  </si>
  <si>
    <r>
      <rPr>
        <sz val="9.5"/>
        <rFont val="WenQuanYi Zen Hei"/>
        <family val="2"/>
      </rPr>
      <t xml:space="preserve">施策展開図（</t>
    </r>
    <r>
      <rPr>
        <sz val="9.5"/>
        <rFont val="Arial"/>
        <family val="0"/>
        <charset val="1"/>
      </rPr>
      <t xml:space="preserve">15</t>
    </r>
    <r>
      <rPr>
        <sz val="9.5"/>
        <rFont val="WenQuanYi Zen Hei"/>
        <family val="2"/>
      </rPr>
      <t xml:space="preserve">日でアクティブ率が下がる）</t>
    </r>
  </si>
  <si>
    <r>
      <rPr>
        <sz val="9.5"/>
        <rFont val="WenQuanYi Zen Hei"/>
        <family val="2"/>
      </rPr>
      <t xml:space="preserve">「</t>
    </r>
    <r>
      <rPr>
        <sz val="9.5"/>
        <rFont val="Arial"/>
        <family val="0"/>
        <charset val="1"/>
      </rPr>
      <t xml:space="preserve">15</t>
    </r>
    <r>
      <rPr>
        <sz val="9.5"/>
        <rFont val="WenQuanYi Zen Hei"/>
        <family val="2"/>
      </rPr>
      <t xml:space="preserve">日を境にアクティブ率が下がる」＝</t>
    </r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運用知見</t>
    </r>
  </si>
  <si>
    <r>
      <rPr>
        <sz val="9.5"/>
        <rFont val="WenQuanYi Zen Hei"/>
        <family val="2"/>
      </rPr>
      <t xml:space="preserve">出典ラベルを付す（社内実績 </t>
    </r>
    <r>
      <rPr>
        <sz val="9.5"/>
        <rFont val="Arial"/>
        <family val="0"/>
        <charset val="1"/>
      </rPr>
      <t xml:space="preserve">or </t>
    </r>
    <r>
      <rPr>
        <sz val="9.5"/>
        <rFont val="WenQuanYi Zen Hei"/>
        <family val="2"/>
      </rPr>
      <t xml:space="preserve">業界水準）</t>
    </r>
  </si>
  <si>
    <t xml:space="preserve">施策の考え方（成果地点を軸に配信）</t>
  </si>
  <si>
    <r>
      <rPr>
        <sz val="9.5"/>
        <rFont val="WenQuanYi Zen Hei"/>
        <family val="2"/>
      </rPr>
      <t xml:space="preserve">配信戦略の考え方（</t>
    </r>
    <r>
      <rPr>
        <sz val="9.5"/>
        <rFont val="Arial"/>
        <family val="0"/>
        <charset val="1"/>
      </rPr>
      <t xml:space="preserve">FMT</t>
    </r>
    <r>
      <rPr>
        <sz val="9.5"/>
        <rFont val="WenQuanYi Zen Hei"/>
        <family val="2"/>
      </rPr>
      <t xml:space="preserve">）</t>
    </r>
  </si>
  <si>
    <t xml:space="preserve">改善モデル①（個人情報の最大化）</t>
  </si>
  <si>
    <r>
      <rPr>
        <sz val="9.5"/>
        <rFont val="WenQuanYi Zen Hei"/>
        <family val="2"/>
      </rPr>
      <t xml:space="preserve">「</t>
    </r>
    <r>
      <rPr>
        <sz val="9.5"/>
        <rFont val="Arial"/>
        <family val="0"/>
        <charset val="1"/>
      </rPr>
      <t xml:space="preserve">CVR 2%</t>
    </r>
    <r>
      <rPr>
        <sz val="9.5"/>
        <rFont val="WenQuanYi Zen Hei"/>
        <family val="2"/>
      </rPr>
      <t xml:space="preserve">前後を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10%</t>
    </r>
    <r>
      <rPr>
        <sz val="9.5"/>
        <rFont val="WenQuanYi Zen Hei"/>
        <family val="2"/>
      </rPr>
      <t xml:space="preserve">に引上げ」＝出典未記載</t>
    </r>
  </si>
  <si>
    <t xml:space="preserve">改善モデル②（リードの直リーチ化）</t>
  </si>
  <si>
    <r>
      <rPr>
        <sz val="9.5"/>
        <rFont val="WenQuanYi Zen Hei"/>
        <family val="2"/>
      </rPr>
      <t xml:space="preserve">「商談化</t>
    </r>
    <r>
      <rPr>
        <sz val="9.5"/>
        <rFont val="Arial"/>
        <family val="0"/>
        <charset val="1"/>
      </rPr>
      <t xml:space="preserve">70%</t>
    </r>
    <r>
      <rPr>
        <sz val="9.5"/>
        <rFont val="WenQuanYi Zen Hei"/>
        <family val="2"/>
      </rPr>
      <t xml:space="preserve">改善事例も」「再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率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8%</t>
    </r>
    <r>
      <rPr>
        <sz val="9.5"/>
        <rFont val="WenQuanYi Zen Hei"/>
        <family val="2"/>
      </rPr>
      <t xml:space="preserve">」＝出典未記載</t>
    </r>
  </si>
  <si>
    <t xml:space="preserve">改善モデル③（マネタイズ）</t>
  </si>
  <si>
    <t xml:space="preserve">施策設計。注文住宅の文脈に置換済</t>
  </si>
  <si>
    <r>
      <rPr>
        <sz val="9.5"/>
        <rFont val="WenQuanYi Zen Hei"/>
        <family val="2"/>
      </rPr>
      <t xml:space="preserve">改善モデル④（</t>
    </r>
    <r>
      <rPr>
        <sz val="9.5"/>
        <rFont val="Arial"/>
        <family val="0"/>
        <charset val="1"/>
      </rPr>
      <t xml:space="preserve">LTV</t>
    </r>
    <r>
      <rPr>
        <sz val="9.5"/>
        <rFont val="WenQuanYi Zen Hei"/>
        <family val="2"/>
      </rPr>
      <t xml:space="preserve">最大化）</t>
    </r>
  </si>
  <si>
    <t xml:space="preserve">外構・点検・紹介の文脈に置換済。出典不明数値は削除済</t>
  </si>
  <si>
    <r>
      <rPr>
        <sz val="9.5"/>
        <rFont val="WenQuanYi Zen Hei"/>
        <family val="2"/>
      </rPr>
      <t xml:space="preserve">具体施策（低ハードル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地点の設定）</t>
    </r>
  </si>
  <si>
    <r>
      <rPr>
        <sz val="9.5"/>
        <rFont val="WenQuanYi Zen Hei"/>
        <family val="2"/>
      </rPr>
      <t xml:space="preserve">「友だち追加率を</t>
    </r>
    <r>
      <rPr>
        <sz val="9.5"/>
        <rFont val="Arial"/>
        <family val="0"/>
        <charset val="1"/>
      </rPr>
      <t xml:space="preserve">0.8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1.0%</t>
    </r>
    <r>
      <rPr>
        <sz val="9.5"/>
        <rFont val="WenQuanYi Zen Hei"/>
        <family val="2"/>
      </rPr>
      <t xml:space="preserve">前後に改善」＝出典未記載</t>
    </r>
  </si>
  <si>
    <r>
      <rPr>
        <sz val="9.5"/>
        <rFont val="WenQuanYi Zen Hei"/>
        <family val="2"/>
      </rPr>
      <t xml:space="preserve">具体施策（保有リストの再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）</t>
    </r>
  </si>
  <si>
    <t xml:space="preserve">具体施策（紹介・追加工事の計画実施）</t>
  </si>
  <si>
    <t xml:space="preserve">同上。出典不明数値は削除済</t>
  </si>
  <si>
    <t xml:space="preserve">具体施策（チャット簡略化・営業トスアップ）</t>
  </si>
  <si>
    <r>
      <rPr>
        <sz val="9.5"/>
        <rFont val="WenQuanYi Zen Hei"/>
        <family val="2"/>
      </rPr>
      <t xml:space="preserve">施策設計（</t>
    </r>
    <r>
      <rPr>
        <sz val="9.5"/>
        <rFont val="Arial"/>
        <family val="0"/>
        <charset val="1"/>
      </rPr>
      <t xml:space="preserve">FMT</t>
    </r>
    <r>
      <rPr>
        <sz val="9.5"/>
        <rFont val="WenQuanYi Zen Hei"/>
        <family val="2"/>
      </rPr>
      <t xml:space="preserve">）</t>
    </r>
  </si>
  <si>
    <r>
      <rPr>
        <sz val="9.5"/>
        <rFont val="WenQuanYi Zen Hei"/>
        <family val="2"/>
      </rPr>
      <t xml:space="preserve">具体施策（短期）｜</t>
    </r>
    <r>
      <rPr>
        <sz val="9.5"/>
        <rFont val="Arial"/>
        <family val="0"/>
        <charset val="1"/>
      </rPr>
      <t xml:space="preserve">60</t>
    </r>
    <r>
      <rPr>
        <sz val="9.5"/>
        <rFont val="WenQuanYi Zen Hei"/>
        <family val="2"/>
      </rPr>
      <t xml:space="preserve">秒 予算診断の設問設計</t>
    </r>
  </si>
  <si>
    <t xml:space="preserve">設問設計。数値なし</t>
  </si>
  <si>
    <t xml:space="preserve">具体施策（長期）｜年間サイクルの企画投稿案</t>
  </si>
  <si>
    <t xml:space="preserve">時期設定は業界水準の年間サイクルに基づく推計</t>
  </si>
  <si>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トレンド実データでピーク月を調整</t>
    </r>
  </si>
  <si>
    <t xml:space="preserve">具体施策（長期）｜診断タイプ別の追客強弱</t>
  </si>
  <si>
    <t xml:space="preserve">配信設計。数値なし</t>
  </si>
  <si>
    <r>
      <rPr>
        <sz val="9.5"/>
        <rFont val="WenQuanYi Zen Hei"/>
        <family val="2"/>
      </rPr>
      <t xml:space="preserve">運用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ヶ月目のブロック率実測で頻度調整</t>
    </r>
  </si>
  <si>
    <t xml:space="preserve">裏表紙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</si>
  <si>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会社情報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</si>
</sst>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85A"/>
      <name val="WenQuanYi Zen Hei"/>
      <family val="2"/>
    </font>
    <font>
      <b val="true"/>
      <sz val="14"/>
      <color rgb="FF1F285A"/>
      <name val="Arial"/>
      <family val="0"/>
      <charset val="1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b val="true"/>
      <sz val="10"/>
      <color rgb="FF1F285A"/>
      <name val="WenQuanYi Zen Hei"/>
      <family val="2"/>
    </font>
    <font>
      <b val="true"/>
      <sz val="10"/>
      <color rgb="FF1F285A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C00000"/>
      <name val="Arial"/>
      <family val="0"/>
      <charset val="1"/>
    </font>
    <font>
      <sz val="9.5"/>
      <name val="WenQuanYi Zen Hei"/>
      <family val="2"/>
    </font>
    <font>
      <sz val="9.5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9.5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1F285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8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  <c r="E6" s="4"/>
      <c r="F6" s="4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  <c r="D9" s="6" t="n">
        <f aca="false">COUNTIF(判定一覧!$D$3:$D$38,"緑")</f>
        <v>23</v>
      </c>
      <c r="E9" s="5" t="s">
        <v>6</v>
      </c>
    </row>
    <row r="10" customFormat="false" ht="15" hidden="false" customHeight="false" outlineLevel="0" collapsed="false">
      <c r="B10" s="5" t="s">
        <v>7</v>
      </c>
      <c r="D10" s="7" t="n">
        <f aca="false">COUNTIF(判定一覧!$D$3:$D$38,"黄")</f>
        <v>9</v>
      </c>
      <c r="E10" s="5" t="s">
        <v>6</v>
      </c>
    </row>
    <row r="11" customFormat="false" ht="15" hidden="false" customHeight="false" outlineLevel="0" collapsed="false">
      <c r="B11" s="5" t="s">
        <v>8</v>
      </c>
      <c r="D11" s="8" t="n">
        <f aca="false">COUNTIF(判定一覧!$D$3:$D$38,"赤")</f>
        <v>4</v>
      </c>
      <c r="E11" s="5" t="s">
        <v>6</v>
      </c>
    </row>
    <row r="12" customFormat="false" ht="15" hidden="false" customHeight="false" outlineLevel="0" collapsed="false">
      <c r="B12" s="9" t="s">
        <v>9</v>
      </c>
      <c r="D12" s="10" t="n">
        <f aca="false">SUM(D9:D11)</f>
        <v>36</v>
      </c>
      <c r="E12" s="5" t="s">
        <v>6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11" t="str">
        <f aca="false">IF(D11=0,"OK：赤0件。対外提出可","NG：赤"&amp;D11&amp;"件。出典を確定または該当数値を削除するまで対外提出不可")</f>
        <v>NG：赤4件。出典を確定または該当数値を削除するまで対外提出不可</v>
      </c>
      <c r="C15" s="11"/>
      <c r="D15" s="11"/>
      <c r="E15" s="11"/>
      <c r="F15" s="11"/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12" t="s">
        <v>12</v>
      </c>
      <c r="C18" s="12"/>
      <c r="D18" s="12"/>
      <c r="E18" s="12"/>
      <c r="F18" s="12"/>
    </row>
    <row r="19" customFormat="false" ht="15" hidden="false" customHeight="false" outlineLevel="0" collapsed="false">
      <c r="B19" s="12" t="s">
        <v>13</v>
      </c>
      <c r="C19" s="12"/>
      <c r="D19" s="12"/>
      <c r="E19" s="12"/>
      <c r="F19" s="12"/>
    </row>
    <row r="20" customFormat="false" ht="15" hidden="false" customHeight="false" outlineLevel="0" collapsed="false">
      <c r="B20" s="12" t="s">
        <v>14</v>
      </c>
      <c r="C20" s="12"/>
      <c r="D20" s="12"/>
      <c r="E20" s="12"/>
      <c r="F20" s="12"/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13" t="s">
        <v>16</v>
      </c>
      <c r="C23" s="13"/>
      <c r="D23" s="13"/>
      <c r="E23" s="13"/>
      <c r="F23" s="13"/>
    </row>
    <row r="24" customFormat="false" ht="15" hidden="false" customHeight="false" outlineLevel="0" collapsed="false">
      <c r="B24" s="13" t="s">
        <v>17</v>
      </c>
      <c r="C24" s="13"/>
      <c r="D24" s="13"/>
      <c r="E24" s="13"/>
      <c r="F24" s="13"/>
    </row>
    <row r="25" customFormat="false" ht="15" hidden="false" customHeight="false" outlineLevel="0" collapsed="false">
      <c r="B25" s="13" t="s">
        <v>18</v>
      </c>
      <c r="C25" s="13"/>
      <c r="D25" s="13"/>
      <c r="E25" s="13"/>
      <c r="F25" s="13"/>
    </row>
    <row r="26" customFormat="false" ht="15" hidden="false" customHeight="false" outlineLevel="0" collapsed="false">
      <c r="B26" s="13" t="s">
        <v>19</v>
      </c>
      <c r="C26" s="13"/>
      <c r="D26" s="13"/>
      <c r="E26" s="13"/>
      <c r="F26" s="13"/>
    </row>
    <row r="27" customFormat="false" ht="15" hidden="false" customHeight="false" outlineLevel="0" collapsed="false">
      <c r="B27" s="13" t="s">
        <v>20</v>
      </c>
      <c r="C27" s="13"/>
      <c r="D27" s="13"/>
      <c r="E27" s="13"/>
      <c r="F27" s="13"/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14" t="s">
        <v>22</v>
      </c>
    </row>
    <row r="31" customFormat="false" ht="15" hidden="false" customHeight="false" outlineLevel="0" collapsed="false">
      <c r="B31" s="14" t="s">
        <v>23</v>
      </c>
    </row>
    <row r="32" customFormat="false" ht="15" hidden="false" customHeight="false" outlineLevel="0" collapsed="false">
      <c r="B32" s="14" t="s">
        <v>24</v>
      </c>
    </row>
  </sheetData>
  <mergeCells count="10">
    <mergeCell ref="B6:F6"/>
    <mergeCell ref="B15:F15"/>
    <mergeCell ref="B18:F18"/>
    <mergeCell ref="B19:F19"/>
    <mergeCell ref="B20:F20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52"/>
    <col collapsed="false" customWidth="true" hidden="false" outlineLevel="0" max="6" min="6" style="0" width="46"/>
  </cols>
  <sheetData>
    <row r="2" customFormat="false" ht="15" hidden="false" customHeight="false" outlineLevel="0" collapsed="false">
      <c r="A2" s="15" t="s">
        <v>6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</row>
    <row r="3" customFormat="false" ht="30" hidden="false" customHeight="true" outlineLevel="0" collapsed="false">
      <c r="A3" s="16" t="n">
        <v>1</v>
      </c>
      <c r="B3" s="17" t="s">
        <v>30</v>
      </c>
      <c r="C3" s="18" t="s">
        <v>31</v>
      </c>
      <c r="D3" s="19" t="s">
        <v>32</v>
      </c>
      <c r="E3" s="17" t="s">
        <v>33</v>
      </c>
      <c r="F3" s="17" t="s">
        <v>34</v>
      </c>
    </row>
    <row r="4" customFormat="false" ht="30" hidden="false" customHeight="true" outlineLevel="0" collapsed="false">
      <c r="A4" s="18" t="n">
        <v>2</v>
      </c>
      <c r="B4" s="20" t="s">
        <v>35</v>
      </c>
      <c r="C4" s="18" t="s">
        <v>31</v>
      </c>
      <c r="D4" s="19" t="s">
        <v>32</v>
      </c>
      <c r="E4" s="20" t="s">
        <v>36</v>
      </c>
      <c r="F4" s="20" t="s">
        <v>37</v>
      </c>
    </row>
    <row r="5" customFormat="false" ht="30" hidden="false" customHeight="true" outlineLevel="0" collapsed="false">
      <c r="A5" s="18" t="n">
        <v>3</v>
      </c>
      <c r="B5" s="17" t="s">
        <v>38</v>
      </c>
      <c r="C5" s="18" t="s">
        <v>31</v>
      </c>
      <c r="D5" s="19" t="s">
        <v>32</v>
      </c>
      <c r="E5" s="20" t="s">
        <v>39</v>
      </c>
      <c r="F5" s="17" t="s">
        <v>40</v>
      </c>
    </row>
    <row r="6" customFormat="false" ht="30" hidden="false" customHeight="true" outlineLevel="0" collapsed="false">
      <c r="A6" s="18" t="n">
        <v>4</v>
      </c>
      <c r="B6" s="17" t="s">
        <v>41</v>
      </c>
      <c r="C6" s="18" t="s">
        <v>31</v>
      </c>
      <c r="D6" s="19" t="s">
        <v>32</v>
      </c>
      <c r="E6" s="17" t="s">
        <v>42</v>
      </c>
      <c r="F6" s="20" t="s">
        <v>37</v>
      </c>
    </row>
    <row r="7" customFormat="false" ht="30" hidden="false" customHeight="true" outlineLevel="0" collapsed="false">
      <c r="A7" s="18" t="n">
        <v>5</v>
      </c>
      <c r="B7" s="17" t="s">
        <v>43</v>
      </c>
      <c r="C7" s="18" t="s">
        <v>44</v>
      </c>
      <c r="D7" s="21" t="s">
        <v>45</v>
      </c>
      <c r="E7" s="20" t="s">
        <v>46</v>
      </c>
      <c r="F7" s="22" t="s">
        <v>47</v>
      </c>
    </row>
    <row r="8" customFormat="false" ht="30" hidden="false" customHeight="true" outlineLevel="0" collapsed="false">
      <c r="A8" s="18" t="n">
        <v>6</v>
      </c>
      <c r="B8" s="17" t="s">
        <v>48</v>
      </c>
      <c r="C8" s="18" t="s">
        <v>44</v>
      </c>
      <c r="D8" s="21" t="s">
        <v>45</v>
      </c>
      <c r="E8" s="17" t="s">
        <v>49</v>
      </c>
      <c r="F8" s="22" t="s">
        <v>50</v>
      </c>
    </row>
    <row r="9" customFormat="false" ht="30" hidden="false" customHeight="true" outlineLevel="0" collapsed="false">
      <c r="A9" s="18" t="n">
        <v>7</v>
      </c>
      <c r="B9" s="17" t="s">
        <v>51</v>
      </c>
      <c r="C9" s="18" t="s">
        <v>44</v>
      </c>
      <c r="D9" s="21" t="s">
        <v>45</v>
      </c>
      <c r="E9" s="17" t="s">
        <v>52</v>
      </c>
      <c r="F9" s="23" t="s">
        <v>53</v>
      </c>
    </row>
    <row r="10" customFormat="false" ht="30" hidden="false" customHeight="true" outlineLevel="0" collapsed="false">
      <c r="A10" s="18" t="n">
        <v>8</v>
      </c>
      <c r="B10" s="17" t="s">
        <v>54</v>
      </c>
      <c r="C10" s="18" t="s">
        <v>44</v>
      </c>
      <c r="D10" s="21" t="s">
        <v>45</v>
      </c>
      <c r="E10" s="17" t="s">
        <v>55</v>
      </c>
      <c r="F10" s="23" t="s">
        <v>56</v>
      </c>
    </row>
    <row r="11" customFormat="false" ht="30" hidden="false" customHeight="true" outlineLevel="0" collapsed="false">
      <c r="A11" s="18" t="n">
        <v>9</v>
      </c>
      <c r="B11" s="17" t="s">
        <v>57</v>
      </c>
      <c r="C11" s="18" t="s">
        <v>58</v>
      </c>
      <c r="D11" s="21" t="s">
        <v>45</v>
      </c>
      <c r="E11" s="17" t="s">
        <v>59</v>
      </c>
      <c r="F11" s="23" t="s">
        <v>60</v>
      </c>
    </row>
    <row r="12" customFormat="false" ht="30" hidden="false" customHeight="true" outlineLevel="0" collapsed="false">
      <c r="A12" s="18" t="n">
        <v>10</v>
      </c>
      <c r="B12" s="17" t="s">
        <v>61</v>
      </c>
      <c r="C12" s="18" t="s">
        <v>31</v>
      </c>
      <c r="D12" s="21" t="s">
        <v>45</v>
      </c>
      <c r="E12" s="17" t="s">
        <v>62</v>
      </c>
      <c r="F12" s="22" t="s">
        <v>63</v>
      </c>
    </row>
    <row r="13" customFormat="false" ht="30" hidden="false" customHeight="true" outlineLevel="0" collapsed="false">
      <c r="A13" s="18" t="n">
        <v>11</v>
      </c>
      <c r="B13" s="17" t="s">
        <v>64</v>
      </c>
      <c r="C13" s="18" t="s">
        <v>31</v>
      </c>
      <c r="D13" s="19" t="s">
        <v>32</v>
      </c>
      <c r="E13" s="17" t="s">
        <v>65</v>
      </c>
      <c r="F13" s="20" t="s">
        <v>37</v>
      </c>
    </row>
    <row r="14" customFormat="false" ht="30" hidden="false" customHeight="true" outlineLevel="0" collapsed="false">
      <c r="A14" s="18" t="n">
        <v>12</v>
      </c>
      <c r="B14" s="17" t="s">
        <v>66</v>
      </c>
      <c r="C14" s="18" t="s">
        <v>31</v>
      </c>
      <c r="D14" s="19" t="s">
        <v>32</v>
      </c>
      <c r="E14" s="17" t="s">
        <v>67</v>
      </c>
      <c r="F14" s="20" t="s">
        <v>68</v>
      </c>
    </row>
    <row r="15" customFormat="false" ht="30" hidden="false" customHeight="true" outlineLevel="0" collapsed="false">
      <c r="A15" s="18" t="n">
        <v>13</v>
      </c>
      <c r="B15" s="17" t="s">
        <v>69</v>
      </c>
      <c r="C15" s="18" t="s">
        <v>31</v>
      </c>
      <c r="D15" s="19" t="s">
        <v>32</v>
      </c>
      <c r="E15" s="17" t="s">
        <v>70</v>
      </c>
      <c r="F15" s="17" t="s">
        <v>71</v>
      </c>
    </row>
    <row r="16" customFormat="false" ht="30" hidden="false" customHeight="true" outlineLevel="0" collapsed="false">
      <c r="A16" s="18" t="n">
        <v>14</v>
      </c>
      <c r="B16" s="17" t="s">
        <v>72</v>
      </c>
      <c r="C16" s="18" t="s">
        <v>31</v>
      </c>
      <c r="D16" s="19" t="s">
        <v>32</v>
      </c>
      <c r="E16" s="17" t="s">
        <v>73</v>
      </c>
      <c r="F16" s="17" t="s">
        <v>74</v>
      </c>
    </row>
    <row r="17" customFormat="false" ht="30" hidden="false" customHeight="true" outlineLevel="0" collapsed="false">
      <c r="A17" s="18" t="n">
        <v>15</v>
      </c>
      <c r="B17" s="17" t="s">
        <v>75</v>
      </c>
      <c r="C17" s="18" t="s">
        <v>31</v>
      </c>
      <c r="D17" s="19" t="s">
        <v>32</v>
      </c>
      <c r="E17" s="17" t="s">
        <v>76</v>
      </c>
      <c r="F17" s="20" t="s">
        <v>77</v>
      </c>
    </row>
    <row r="18" customFormat="false" ht="30" hidden="false" customHeight="true" outlineLevel="0" collapsed="false">
      <c r="A18" s="18" t="n">
        <v>16</v>
      </c>
      <c r="B18" s="20" t="s">
        <v>78</v>
      </c>
      <c r="C18" s="18" t="s">
        <v>58</v>
      </c>
      <c r="D18" s="21" t="s">
        <v>45</v>
      </c>
      <c r="E18" s="20" t="s">
        <v>79</v>
      </c>
      <c r="F18" s="22" t="s">
        <v>80</v>
      </c>
    </row>
    <row r="19" customFormat="false" ht="30" hidden="false" customHeight="true" outlineLevel="0" collapsed="false">
      <c r="A19" s="18" t="n">
        <v>17</v>
      </c>
      <c r="B19" s="20" t="s">
        <v>81</v>
      </c>
      <c r="C19" s="18" t="s">
        <v>31</v>
      </c>
      <c r="D19" s="19" t="s">
        <v>32</v>
      </c>
      <c r="E19" s="20" t="s">
        <v>82</v>
      </c>
      <c r="F19" s="20" t="s">
        <v>37</v>
      </c>
    </row>
    <row r="20" customFormat="false" ht="30" hidden="false" customHeight="true" outlineLevel="0" collapsed="false">
      <c r="A20" s="18" t="n">
        <v>18</v>
      </c>
      <c r="B20" s="20" t="s">
        <v>83</v>
      </c>
      <c r="C20" s="18" t="s">
        <v>44</v>
      </c>
      <c r="D20" s="24" t="s">
        <v>84</v>
      </c>
      <c r="E20" s="17" t="s">
        <v>85</v>
      </c>
      <c r="F20" s="22" t="s">
        <v>86</v>
      </c>
    </row>
    <row r="21" customFormat="false" ht="30" hidden="false" customHeight="true" outlineLevel="0" collapsed="false">
      <c r="A21" s="18" t="n">
        <v>19</v>
      </c>
      <c r="B21" s="20" t="s">
        <v>87</v>
      </c>
      <c r="C21" s="18" t="s">
        <v>31</v>
      </c>
      <c r="D21" s="19" t="s">
        <v>32</v>
      </c>
      <c r="E21" s="17" t="s">
        <v>88</v>
      </c>
      <c r="F21" s="20" t="s">
        <v>37</v>
      </c>
    </row>
    <row r="22" customFormat="false" ht="30" hidden="false" customHeight="true" outlineLevel="0" collapsed="false">
      <c r="A22" s="18" t="n">
        <v>20</v>
      </c>
      <c r="B22" s="17" t="s">
        <v>89</v>
      </c>
      <c r="C22" s="18" t="s">
        <v>31</v>
      </c>
      <c r="D22" s="19" t="s">
        <v>32</v>
      </c>
      <c r="E22" s="17" t="s">
        <v>90</v>
      </c>
      <c r="F22" s="20" t="s">
        <v>37</v>
      </c>
    </row>
    <row r="23" customFormat="false" ht="30" hidden="false" customHeight="true" outlineLevel="0" collapsed="false">
      <c r="A23" s="18" t="n">
        <v>21</v>
      </c>
      <c r="B23" s="17" t="s">
        <v>91</v>
      </c>
      <c r="C23" s="18" t="s">
        <v>31</v>
      </c>
      <c r="D23" s="19" t="s">
        <v>32</v>
      </c>
      <c r="E23" s="20" t="s">
        <v>92</v>
      </c>
      <c r="F23" s="20" t="s">
        <v>37</v>
      </c>
    </row>
    <row r="24" customFormat="false" ht="30" hidden="false" customHeight="true" outlineLevel="0" collapsed="false">
      <c r="A24" s="18" t="n">
        <v>22</v>
      </c>
      <c r="B24" s="17" t="s">
        <v>93</v>
      </c>
      <c r="C24" s="18" t="s">
        <v>44</v>
      </c>
      <c r="D24" s="21" t="s">
        <v>45</v>
      </c>
      <c r="E24" s="17" t="s">
        <v>94</v>
      </c>
      <c r="F24" s="22" t="s">
        <v>95</v>
      </c>
    </row>
    <row r="25" customFormat="false" ht="30" hidden="false" customHeight="true" outlineLevel="0" collapsed="false">
      <c r="A25" s="18" t="n">
        <v>23</v>
      </c>
      <c r="B25" s="17" t="s">
        <v>96</v>
      </c>
      <c r="C25" s="18" t="s">
        <v>31</v>
      </c>
      <c r="D25" s="19" t="s">
        <v>32</v>
      </c>
      <c r="E25" s="17" t="s">
        <v>97</v>
      </c>
      <c r="F25" s="20" t="s">
        <v>37</v>
      </c>
    </row>
    <row r="26" customFormat="false" ht="30" hidden="false" customHeight="true" outlineLevel="0" collapsed="false">
      <c r="A26" s="18" t="n">
        <v>24</v>
      </c>
      <c r="B26" s="17" t="s">
        <v>98</v>
      </c>
      <c r="C26" s="18" t="s">
        <v>44</v>
      </c>
      <c r="D26" s="24" t="s">
        <v>84</v>
      </c>
      <c r="E26" s="17" t="s">
        <v>99</v>
      </c>
      <c r="F26" s="22" t="s">
        <v>86</v>
      </c>
    </row>
    <row r="27" customFormat="false" ht="30" hidden="false" customHeight="true" outlineLevel="0" collapsed="false">
      <c r="A27" s="18" t="n">
        <v>25</v>
      </c>
      <c r="B27" s="17" t="s">
        <v>100</v>
      </c>
      <c r="C27" s="18" t="s">
        <v>44</v>
      </c>
      <c r="D27" s="24" t="s">
        <v>84</v>
      </c>
      <c r="E27" s="17" t="s">
        <v>101</v>
      </c>
      <c r="F27" s="22" t="s">
        <v>86</v>
      </c>
    </row>
    <row r="28" customFormat="false" ht="30" hidden="false" customHeight="true" outlineLevel="0" collapsed="false">
      <c r="A28" s="18" t="n">
        <v>26</v>
      </c>
      <c r="B28" s="17" t="s">
        <v>102</v>
      </c>
      <c r="C28" s="18" t="s">
        <v>31</v>
      </c>
      <c r="D28" s="19" t="s">
        <v>32</v>
      </c>
      <c r="E28" s="17" t="s">
        <v>103</v>
      </c>
      <c r="F28" s="20" t="s">
        <v>37</v>
      </c>
    </row>
    <row r="29" customFormat="false" ht="30" hidden="false" customHeight="true" outlineLevel="0" collapsed="false">
      <c r="A29" s="18" t="n">
        <v>27</v>
      </c>
      <c r="B29" s="17" t="s">
        <v>104</v>
      </c>
      <c r="C29" s="18" t="s">
        <v>31</v>
      </c>
      <c r="D29" s="19" t="s">
        <v>32</v>
      </c>
      <c r="E29" s="17" t="s">
        <v>105</v>
      </c>
      <c r="F29" s="20" t="s">
        <v>37</v>
      </c>
    </row>
    <row r="30" customFormat="false" ht="30" hidden="false" customHeight="true" outlineLevel="0" collapsed="false">
      <c r="A30" s="18" t="n">
        <v>28</v>
      </c>
      <c r="B30" s="17" t="s">
        <v>64</v>
      </c>
      <c r="C30" s="18" t="s">
        <v>31</v>
      </c>
      <c r="D30" s="19" t="s">
        <v>32</v>
      </c>
      <c r="E30" s="17" t="s">
        <v>65</v>
      </c>
      <c r="F30" s="20" t="s">
        <v>37</v>
      </c>
    </row>
    <row r="31" customFormat="false" ht="30" hidden="false" customHeight="true" outlineLevel="0" collapsed="false">
      <c r="A31" s="18" t="n">
        <v>29</v>
      </c>
      <c r="B31" s="17" t="s">
        <v>106</v>
      </c>
      <c r="C31" s="18" t="s">
        <v>44</v>
      </c>
      <c r="D31" s="24" t="s">
        <v>84</v>
      </c>
      <c r="E31" s="17" t="s">
        <v>107</v>
      </c>
      <c r="F31" s="22" t="s">
        <v>86</v>
      </c>
    </row>
    <row r="32" customFormat="false" ht="30" hidden="false" customHeight="true" outlineLevel="0" collapsed="false">
      <c r="A32" s="18" t="n">
        <v>30</v>
      </c>
      <c r="B32" s="17" t="s">
        <v>108</v>
      </c>
      <c r="C32" s="18" t="s">
        <v>31</v>
      </c>
      <c r="D32" s="19" t="s">
        <v>32</v>
      </c>
      <c r="E32" s="17" t="s">
        <v>103</v>
      </c>
      <c r="F32" s="20" t="s">
        <v>37</v>
      </c>
    </row>
    <row r="33" customFormat="false" ht="30" hidden="false" customHeight="true" outlineLevel="0" collapsed="false">
      <c r="A33" s="18" t="n">
        <v>31</v>
      </c>
      <c r="B33" s="17" t="s">
        <v>109</v>
      </c>
      <c r="C33" s="18" t="s">
        <v>31</v>
      </c>
      <c r="D33" s="19" t="s">
        <v>32</v>
      </c>
      <c r="E33" s="17" t="s">
        <v>110</v>
      </c>
      <c r="F33" s="20" t="s">
        <v>37</v>
      </c>
    </row>
    <row r="34" customFormat="false" ht="30" hidden="false" customHeight="true" outlineLevel="0" collapsed="false">
      <c r="A34" s="18" t="n">
        <v>32</v>
      </c>
      <c r="B34" s="17" t="s">
        <v>111</v>
      </c>
      <c r="C34" s="18" t="s">
        <v>31</v>
      </c>
      <c r="D34" s="19" t="s">
        <v>32</v>
      </c>
      <c r="E34" s="17" t="s">
        <v>112</v>
      </c>
      <c r="F34" s="20" t="s">
        <v>37</v>
      </c>
    </row>
    <row r="35" customFormat="false" ht="30" hidden="false" customHeight="true" outlineLevel="0" collapsed="false">
      <c r="A35" s="18" t="n">
        <v>33</v>
      </c>
      <c r="B35" s="17" t="s">
        <v>113</v>
      </c>
      <c r="C35" s="18" t="s">
        <v>31</v>
      </c>
      <c r="D35" s="19" t="s">
        <v>32</v>
      </c>
      <c r="E35" s="17" t="s">
        <v>114</v>
      </c>
      <c r="F35" s="20" t="s">
        <v>37</v>
      </c>
    </row>
    <row r="36" customFormat="false" ht="30" hidden="false" customHeight="true" outlineLevel="0" collapsed="false">
      <c r="A36" s="18" t="n">
        <v>34</v>
      </c>
      <c r="B36" s="17" t="s">
        <v>115</v>
      </c>
      <c r="C36" s="18" t="s">
        <v>44</v>
      </c>
      <c r="D36" s="21" t="s">
        <v>45</v>
      </c>
      <c r="E36" s="17" t="s">
        <v>116</v>
      </c>
      <c r="F36" s="23" t="s">
        <v>117</v>
      </c>
    </row>
    <row r="37" customFormat="false" ht="30" hidden="false" customHeight="true" outlineLevel="0" collapsed="false">
      <c r="A37" s="18" t="n">
        <v>35</v>
      </c>
      <c r="B37" s="17" t="s">
        <v>118</v>
      </c>
      <c r="C37" s="18" t="s">
        <v>31</v>
      </c>
      <c r="D37" s="19" t="s">
        <v>32</v>
      </c>
      <c r="E37" s="17" t="s">
        <v>119</v>
      </c>
      <c r="F37" s="17" t="s">
        <v>120</v>
      </c>
    </row>
    <row r="38" customFormat="false" ht="30" hidden="false" customHeight="true" outlineLevel="0" collapsed="false">
      <c r="A38" s="18" t="n">
        <v>36</v>
      </c>
      <c r="B38" s="17" t="s">
        <v>121</v>
      </c>
      <c r="C38" s="18" t="s">
        <v>58</v>
      </c>
      <c r="D38" s="19" t="s">
        <v>32</v>
      </c>
      <c r="E38" s="20" t="s">
        <v>122</v>
      </c>
      <c r="F38" s="2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2026-08-26T17:09:03Z</dcterms:created>
  <dc:creator>openpyxl</dc:creator>
  <dc:description/>
  <dc:language>en-US</dc:language>
  <cp:lastModifiedBy/>
  <dcterms:modified xsi:type="dcterms:W3CDTF">2026-08-26T17:09:03Z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
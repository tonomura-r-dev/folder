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通知メッセ有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通知メッセ無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3_LINE登録2%" sheetId="5" state="visible" r:id="rId5"/>
    <sheet xmlns:r="http://schemas.openxmlformats.org/officeDocument/2006/relationships" name="SIM3_比較" sheetId="6" state="visible" r:id="rId6"/>
    <sheet xmlns:r="http://schemas.openxmlformats.org/officeDocument/2006/relationships" name="SIM考え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株式会社チェングロウス御中_LINEOA施策提案【SIM】（通知メッセージ有）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1</v>
      </c>
      <c r="F20" s="57" t="b">
        <v>1</v>
      </c>
      <c r="G20" s="57" t="b">
        <v>1</v>
      </c>
      <c r="H20" s="57" t="b">
        <v>1</v>
      </c>
      <c r="I20" s="57" t="b">
        <v>1</v>
      </c>
      <c r="J20" s="57" t="b">
        <v>1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2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ROUND(E29*0.3*2*0.015,0)</f>
        <v/>
      </c>
      <c r="F37" s="111">
        <f>ROUND(F29*0.3*2*0.015,0)</f>
        <v/>
      </c>
      <c r="G37" s="111">
        <f>ROUND(G29*0.3*2*0.015,0)</f>
        <v/>
      </c>
      <c r="H37" s="111">
        <f>ROUND(H29*0.3*2*0.015,0)</f>
        <v/>
      </c>
      <c r="I37" s="111">
        <f>ROUND(I29*0.3*2*0.015,0)</f>
        <v/>
      </c>
      <c r="J37" s="111">
        <f>ROUND(J29*0.3*2*0.015,0)</f>
        <v/>
      </c>
      <c r="K37" s="115">
        <f>SUM(E37:J37)</f>
        <v/>
      </c>
      <c r="L37" s="7" t="n"/>
      <c r="N37" s="69" t="inlineStr">
        <is>
          <t>リッチメニュー経由の応募：有効な友だち×月に使う率30%×2回検索×応募率1.5%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100000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+'SIM1_通知メッセ有'!D24</f>
        <v/>
      </c>
      <c r="D4" s="178">
        <f>+'SIM1_通知メッセ有'!G51</f>
        <v/>
      </c>
      <c r="E4" s="178">
        <f>+'SIM1_通知メッセ有'!J51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+'SIM1_通知メッセ有'!D25</f>
        <v/>
      </c>
      <c r="D5" s="178">
        <f>+'SIM1_通知メッセ有'!G61</f>
        <v/>
      </c>
      <c r="E5" s="178">
        <f>+'SIM1_通知メッセ有'!J61</f>
        <v/>
      </c>
      <c r="F5" s="177" t="n"/>
    </row>
    <row r="6">
      <c r="A6" s="85" t="inlineStr">
        <is>
          <t>友だち数想定</t>
        </is>
      </c>
      <c r="B6" s="7" t="n"/>
      <c r="C6" s="117">
        <f>+'SIM1_通知メッセ有'!D28</f>
        <v/>
      </c>
      <c r="D6" s="87">
        <f>+'SIM1_通知メッセ有'!G28</f>
        <v/>
      </c>
      <c r="E6" s="87">
        <f>+'SIM1_通知メッセ有'!J28</f>
        <v/>
      </c>
      <c r="F6" s="10" t="n"/>
    </row>
    <row r="7">
      <c r="A7" s="85" t="inlineStr">
        <is>
          <t>ブロック率想定</t>
        </is>
      </c>
      <c r="B7" s="7" t="n"/>
      <c r="C7" s="88">
        <f>+'SIM1_通知メッセ有'!D27</f>
        <v/>
      </c>
      <c r="D7" s="189">
        <f>'SIM1_通知メッセ有'!G27</f>
        <v/>
      </c>
      <c r="E7" s="189">
        <f>'SIM1_通知メッセ有'!J27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+'SIM1_通知メッセ有'!D29</f>
        <v/>
      </c>
      <c r="D8" s="10">
        <f>+'SIM1_通知メッセ有'!G29</f>
        <v/>
      </c>
      <c r="E8" s="10">
        <f>+'SIM1_通知メッセ有'!J29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+'SIM1_通知メッセ有'!D34</f>
        <v/>
      </c>
      <c r="D10" s="10">
        <f>+'SIM1_通知メッセ有'!G34</f>
        <v/>
      </c>
      <c r="E10" s="10">
        <f>+'SIM1_通知メッセ有'!J34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+'SIM1_通知メッセ有'!D35</f>
        <v/>
      </c>
      <c r="D11" s="10">
        <f>+'SIM1_通知メッセ有'!G35</f>
        <v/>
      </c>
      <c r="E11" s="10">
        <f>+'SIM1_通知メッセ有'!J35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+'SIM1_通知メッセ有'!D16</f>
        <v/>
      </c>
      <c r="D15" s="87">
        <f>+'SIM1_通知メッセ有'!E16</f>
        <v/>
      </c>
      <c r="E15" s="87">
        <f>+'SIM1_通知メッセ有'!F16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+'SIM1_通知メッセ有'!D36</f>
        <v/>
      </c>
      <c r="D17" s="87">
        <f>+'SIM1_通知メッセ有'!G36</f>
        <v/>
      </c>
      <c r="E17" s="87">
        <f>+'SIM1_通知メッセ有'!J36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+'SIM1_通知メッセ有'!D37</f>
        <v/>
      </c>
      <c r="D18" s="87">
        <f>+'SIM1_通知メッセ有'!G37</f>
        <v/>
      </c>
      <c r="E18" s="87">
        <f>+'SIM1_通知メッセ有'!J37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+'SIM1_通知メッセ有'!D38</f>
        <v/>
      </c>
      <c r="D19" s="87">
        <f>+'SIM1_通知メッセ有'!G38</f>
        <v/>
      </c>
      <c r="E19" s="87">
        <f>+'SIM1_通知メッセ有'!J38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+'SIM1_通知メッセ有'!D39</f>
        <v/>
      </c>
      <c r="D20" s="87">
        <f>+'SIM1_通知メッセ有'!G39</f>
        <v/>
      </c>
      <c r="E20" s="87">
        <f>+'SIM1_通知メッセ有'!J39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1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ROUND(E29*0.3*2*0.015,0)</f>
        <v/>
      </c>
      <c r="F37" s="111">
        <f>ROUND(F29*0.3*2*0.015,0)</f>
        <v/>
      </c>
      <c r="G37" s="111">
        <f>ROUND(G29*0.3*2*0.015,0)</f>
        <v/>
      </c>
      <c r="H37" s="111">
        <f>ROUND(H29*0.3*2*0.015,0)</f>
        <v/>
      </c>
      <c r="I37" s="111">
        <f>ROUND(I29*0.3*2*0.015,0)</f>
        <v/>
      </c>
      <c r="J37" s="111">
        <f>ROUND(J29*0.3*2*0.015,0)</f>
        <v/>
      </c>
      <c r="K37" s="115">
        <f>SUM(E37:J37)</f>
        <v/>
      </c>
      <c r="L37" s="7" t="n"/>
      <c r="N37" s="69" t="inlineStr">
        <is>
          <t>リッチメニュー経由の応募：有効な友だち×月に使う率30%×2回検索×応募率1.5%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+'SIM2_通知メッセ無'!D24</f>
        <v/>
      </c>
      <c r="D4" s="178">
        <f>+'SIM2_通知メッセ無'!G51</f>
        <v/>
      </c>
      <c r="E4" s="178">
        <f>+'SIM2_通知メッセ無'!J51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+'SIM2_通知メッセ無'!D25</f>
        <v/>
      </c>
      <c r="D5" s="178">
        <f>+'SIM2_通知メッセ無'!G61</f>
        <v/>
      </c>
      <c r="E5" s="178">
        <f>+'SIM2_通知メッセ無'!J61</f>
        <v/>
      </c>
      <c r="F5" s="177" t="n"/>
    </row>
    <row r="6">
      <c r="A6" s="85" t="inlineStr">
        <is>
          <t>友だち数想定</t>
        </is>
      </c>
      <c r="B6" s="7" t="n"/>
      <c r="C6" s="117">
        <f>+'SIM2_通知メッセ無'!D28</f>
        <v/>
      </c>
      <c r="D6" s="87">
        <f>+'SIM2_通知メッセ無'!G28</f>
        <v/>
      </c>
      <c r="E6" s="87">
        <f>+'SIM2_通知メッセ無'!J28</f>
        <v/>
      </c>
      <c r="F6" s="10" t="n"/>
    </row>
    <row r="7">
      <c r="A7" s="85" t="inlineStr">
        <is>
          <t>ブロック率想定</t>
        </is>
      </c>
      <c r="B7" s="7" t="n"/>
      <c r="C7" s="88">
        <f>+'SIM2_通知メッセ無'!D27</f>
        <v/>
      </c>
      <c r="D7" s="189">
        <f>'SIM2_通知メッセ無'!G27</f>
        <v/>
      </c>
      <c r="E7" s="189">
        <f>'SIM2_通知メッセ無'!J27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+'SIM2_通知メッセ無'!D29</f>
        <v/>
      </c>
      <c r="D8" s="10">
        <f>+'SIM2_通知メッセ無'!G29</f>
        <v/>
      </c>
      <c r="E8" s="10">
        <f>+'SIM2_通知メッセ無'!J29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+'SIM2_通知メッセ無'!D34</f>
        <v/>
      </c>
      <c r="D10" s="10">
        <f>+'SIM2_通知メッセ無'!G34</f>
        <v/>
      </c>
      <c r="E10" s="10">
        <f>+'SIM2_通知メッセ無'!J34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+'SIM2_通知メッセ無'!D35</f>
        <v/>
      </c>
      <c r="D11" s="10">
        <f>+'SIM2_通知メッセ無'!G35</f>
        <v/>
      </c>
      <c r="E11" s="10">
        <f>+'SIM2_通知メッセ無'!J35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+'SIM2_通知メッセ無'!D16</f>
        <v/>
      </c>
      <c r="D15" s="87">
        <f>+'SIM2_通知メッセ無'!E16</f>
        <v/>
      </c>
      <c r="E15" s="87">
        <f>+'SIM2_通知メッセ無'!F16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+'SIM2_通知メッセ無'!D36</f>
        <v/>
      </c>
      <c r="D17" s="87">
        <f>+'SIM2_通知メッセ無'!G36</f>
        <v/>
      </c>
      <c r="E17" s="87">
        <f>+'SIM2_通知メッセ無'!J36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+'SIM2_通知メッセ無'!D37</f>
        <v/>
      </c>
      <c r="D18" s="87">
        <f>+'SIM2_通知メッセ無'!G37</f>
        <v/>
      </c>
      <c r="E18" s="87">
        <f>+'SIM2_通知メッセ無'!J37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+'SIM2_通知メッセ無'!D38</f>
        <v/>
      </c>
      <c r="D19" s="87">
        <f>+'SIM2_通知メッセ無'!G38</f>
        <v/>
      </c>
      <c r="E19" s="87">
        <f>+'SIM2_通知メッセ無'!J38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+'SIM2_通知メッセ無'!D39</f>
        <v/>
      </c>
      <c r="D20" s="87">
        <f>+'SIM2_通知メッセ無'!G39</f>
        <v/>
      </c>
      <c r="E20" s="87">
        <f>+'SIM2_通知メッセ無'!J39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株式会社チェングロウス御中_LINEOA施策提案【SIM】（通知メッセージ無・LINEで登録2.0%）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SUM(E22:E25)+E14*0.02*0.62</f>
        <v/>
      </c>
      <c r="F26" s="46">
        <f>SUM(F22:F25)+F14*0.02*0.81</f>
        <v/>
      </c>
      <c r="G26" s="46">
        <f>SUM(G22:G25)+G14*0.02*0.93</f>
        <v/>
      </c>
      <c r="H26" s="46">
        <f>SUM(H22:H25)+H14*0.02*1.0</f>
        <v/>
      </c>
      <c r="I26" s="46">
        <f>SUM(I22:I25)+I14*0.02*1.03</f>
        <v/>
      </c>
      <c r="J26" s="46">
        <f>SUM(J22:J25)+J14*0.02*1.05</f>
        <v/>
      </c>
      <c r="K26" s="11" t="n"/>
      <c r="L26" s="7" t="n"/>
      <c r="N26" s="72" t="inlineStr">
        <is>
          <t>＋サイト内「LINEで登録」：UU×2.0%×立ち上げ係数（Profile+で入力ほぼゼロになる前提）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1</v>
      </c>
      <c r="F36" s="111" t="n">
        <v>2</v>
      </c>
      <c r="G36" s="111" t="n">
        <v>3</v>
      </c>
      <c r="H36" s="111" t="n">
        <v>4</v>
      </c>
      <c r="I36" s="111" t="n">
        <v>5</v>
      </c>
      <c r="J36" s="111" t="n">
        <v>6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ROUND(E29*0.3*2*0.015,0)</f>
        <v/>
      </c>
      <c r="F37" s="111">
        <f>ROUND(F29*0.3*2*0.015,0)</f>
        <v/>
      </c>
      <c r="G37" s="111">
        <f>ROUND(G29*0.3*2*0.015,0)</f>
        <v/>
      </c>
      <c r="H37" s="111">
        <f>ROUND(H29*0.3*2*0.015,0)</f>
        <v/>
      </c>
      <c r="I37" s="111">
        <f>ROUND(I29*0.3*2*0.015,0)</f>
        <v/>
      </c>
      <c r="J37" s="111">
        <f>ROUND(J29*0.3*2*0.015,0)</f>
        <v/>
      </c>
      <c r="K37" s="115">
        <f>SUM(E37:J37)</f>
        <v/>
      </c>
      <c r="L37" s="7" t="n"/>
      <c r="N37" s="69" t="inlineStr">
        <is>
          <t>リッチメニュー経由の応募：有効な友だち×月に使う率30%×2回検索×応募率1.5%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+'SIM3_LINE登録2%'!D24</f>
        <v/>
      </c>
      <c r="D4" s="178">
        <f>+'SIM3_LINE登録2%'!G51</f>
        <v/>
      </c>
      <c r="E4" s="178">
        <f>+'SIM3_LINE登録2%'!J51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+'SIM3_LINE登録2%'!D25</f>
        <v/>
      </c>
      <c r="D5" s="178">
        <f>+'SIM3_LINE登録2%'!G61</f>
        <v/>
      </c>
      <c r="E5" s="178">
        <f>+'SIM3_LINE登録2%'!J61</f>
        <v/>
      </c>
      <c r="F5" s="177" t="n"/>
    </row>
    <row r="6">
      <c r="A6" s="85" t="inlineStr">
        <is>
          <t>友だち数想定</t>
        </is>
      </c>
      <c r="B6" s="7" t="n"/>
      <c r="C6" s="117">
        <f>+'SIM3_LINE登録2%'!D28</f>
        <v/>
      </c>
      <c r="D6" s="87">
        <f>+'SIM3_LINE登録2%'!G28</f>
        <v/>
      </c>
      <c r="E6" s="87">
        <f>+'SIM3_LINE登録2%'!J28</f>
        <v/>
      </c>
      <c r="F6" s="10" t="n"/>
    </row>
    <row r="7">
      <c r="A7" s="85" t="inlineStr">
        <is>
          <t>ブロック率想定</t>
        </is>
      </c>
      <c r="B7" s="7" t="n"/>
      <c r="C7" s="88">
        <f>+'SIM3_LINE登録2%'!D27</f>
        <v/>
      </c>
      <c r="D7" s="189">
        <f>'SIM3_LINE登録2%'!G27</f>
        <v/>
      </c>
      <c r="E7" s="189">
        <f>'SIM3_LINE登録2%'!J27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+'SIM3_LINE登録2%'!D29</f>
        <v/>
      </c>
      <c r="D8" s="10">
        <f>+'SIM3_LINE登録2%'!G29</f>
        <v/>
      </c>
      <c r="E8" s="10">
        <f>+'SIM3_LINE登録2%'!J29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+'SIM3_LINE登録2%'!D34</f>
        <v/>
      </c>
      <c r="D10" s="10">
        <f>+'SIM3_LINE登録2%'!G34</f>
        <v/>
      </c>
      <c r="E10" s="10">
        <f>+'SIM3_LINE登録2%'!J34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+'SIM3_LINE登録2%'!D35</f>
        <v/>
      </c>
      <c r="D11" s="10">
        <f>+'SIM3_LINE登録2%'!G35</f>
        <v/>
      </c>
      <c r="E11" s="10">
        <f>+'SIM3_LINE登録2%'!J35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+'SIM3_LINE登録2%'!D16</f>
        <v/>
      </c>
      <c r="D15" s="87">
        <f>+'SIM3_LINE登録2%'!E16</f>
        <v/>
      </c>
      <c r="E15" s="87">
        <f>+'SIM3_LINE登録2%'!F16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+'SIM3_LINE登録2%'!D36</f>
        <v/>
      </c>
      <c r="D17" s="87">
        <f>+'SIM3_LINE登録2%'!G36</f>
        <v/>
      </c>
      <c r="E17" s="87">
        <f>+'SIM3_LINE登録2%'!J36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+'SIM3_LINE登録2%'!D37</f>
        <v/>
      </c>
      <c r="D18" s="87">
        <f>+'SIM3_LINE登録2%'!G37</f>
        <v/>
      </c>
      <c r="E18" s="87">
        <f>+'SIM3_LINE登録2%'!J37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+'SIM3_LINE登録2%'!D38</f>
        <v/>
      </c>
      <c r="D19" s="87">
        <f>+'SIM3_LINE登録2%'!G38</f>
        <v/>
      </c>
      <c r="E19" s="87">
        <f>+'SIM3_LINE登録2%'!J38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+'SIM3_LINE登録2%'!D39</f>
        <v/>
      </c>
      <c r="D20" s="87">
        <f>+'SIM3_LINE登録2%'!G39</f>
        <v/>
      </c>
      <c r="E20" s="87">
        <f>+'SIM3_LINE登録2%'!J39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2026-09-29T04:38:01Z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
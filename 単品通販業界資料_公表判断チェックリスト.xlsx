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マリ" sheetId="1" state="visible" r:id="rId1"/>
    <sheet xmlns:r="http://schemas.openxmlformats.org/officeDocument/2006/relationships" name="判定一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285A"/>
      <sz val="14"/>
    </font>
    <font>
      <name val="Arial"/>
      <color rgb="007F7F7F"/>
      <sz val="9"/>
    </font>
    <font>
      <name val="Arial"/>
      <b val="1"/>
      <color rgb="001F285A"/>
      <sz val="10"/>
    </font>
    <font>
      <name val="Arial"/>
      <sz val="10"/>
    </font>
    <font>
      <name val="Arial"/>
      <b val="1"/>
      <sz val="10"/>
    </font>
    <font>
      <name val="Arial"/>
      <b val="1"/>
      <color rgb="00C00000"/>
      <sz val="10"/>
    </font>
    <font>
      <name val="Arial"/>
      <sz val="9.5"/>
    </font>
    <font>
      <name val="Arial"/>
      <b val="1"/>
      <color rgb="00FFFFFF"/>
      <sz val="10"/>
    </font>
    <font>
      <name val="Arial"/>
      <b val="1"/>
      <sz val="9.5"/>
    </font>
  </fonts>
  <fills count="7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E4"/>
      </patternFill>
    </fill>
    <fill>
      <patternFill patternType="solid">
        <fgColor rgb="001F285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0" borderId="0" pivotButton="0" quotePrefix="0" xfId="0"/>
    <xf numFmtId="0" fontId="5" fillId="0" borderId="1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62" customWidth="1" min="2" max="2"/>
    <col width="14" customWidth="1" min="3" max="3"/>
    <col width="10" customWidth="1" min="4" max="4"/>
    <col width="8" customWidth="1" min="5" max="5"/>
    <col width="40" customWidth="1" min="6" max="6"/>
  </cols>
  <sheetData>
    <row r="2">
      <c r="B2" s="1" t="inlineStr">
        <is>
          <t>単品通販業界_LINEOA施策提案（36枚）｜公表判断チェックリスト</t>
        </is>
      </c>
    </row>
    <row r="3">
      <c r="B3" s="2" t="inlineStr">
        <is>
          <t>作成日：2026-09-02　対象ファイル：単品通販業界_LINEOA施策提案.pptx</t>
        </is>
      </c>
    </row>
    <row r="5">
      <c r="B5" s="3" t="inlineStr">
        <is>
          <t>背骨（この資料が言っていること・1文）</t>
        </is>
      </c>
    </row>
    <row r="6" ht="32" customHeight="1">
      <c r="B6" s="4" t="inlineStr">
        <is>
          <t>単品通販のLTVを決めているのは、新規獲得ではなく解約率。月次解約率が3%なら顧客は33ヶ月、7%なら14ヶ月しか続かない。そして法律は「解約させない」を禁じた。引き止めるのではなく、解約の手前で受け止める導線をつくる。それができれば、限界CPOが上がって、広告が楽になる。</t>
        </is>
      </c>
    </row>
    <row r="8">
      <c r="B8" s="3" t="inlineStr">
        <is>
          <t>判定サマリ</t>
        </is>
      </c>
    </row>
    <row r="9">
      <c r="B9" s="5" t="inlineStr">
        <is>
          <t>緑（そのまま公表可）</t>
        </is>
      </c>
      <c r="D9" s="6">
        <f>COUNTIF(判定一覧!$D$3:$D$38,"緑")</f>
        <v/>
      </c>
      <c r="E9" s="5" t="inlineStr">
        <is>
          <t>枚</t>
        </is>
      </c>
    </row>
    <row r="10">
      <c r="B10" s="5" t="inlineStr">
        <is>
          <t>黄（未取得・仮説明記のうえ公表可）</t>
        </is>
      </c>
      <c r="D10" s="7">
        <f>COUNTIF(判定一覧!$D$3:$D$38,"黄")</f>
        <v/>
      </c>
      <c r="E10" s="5" t="inlineStr">
        <is>
          <t>枚</t>
        </is>
      </c>
    </row>
    <row r="11">
      <c r="B11" s="5" t="inlineStr">
        <is>
          <t>赤（出典確定まで公表不可）</t>
        </is>
      </c>
      <c r="D11" s="8">
        <f>COUNTIF(判定一覧!$D$3:$D$38,"赤")</f>
        <v/>
      </c>
      <c r="E11" s="5" t="inlineStr">
        <is>
          <t>枚</t>
        </is>
      </c>
    </row>
    <row r="12">
      <c r="B12" s="9" t="inlineStr">
        <is>
          <t>合計</t>
        </is>
      </c>
      <c r="D12" s="10">
        <f>SUM(D9:D11)</f>
        <v/>
      </c>
      <c r="E12" s="5" t="inlineStr">
        <is>
          <t>枚</t>
        </is>
      </c>
    </row>
    <row r="14">
      <c r="B14" s="3" t="inlineStr">
        <is>
          <t>納品条件</t>
        </is>
      </c>
    </row>
    <row r="15">
      <c r="B15" s="11">
        <f>IF(D11=0,"OK：赤0件。対外提出可（黄は未取得データの明記つきで提出可）","NG：赤"&amp;D11&amp;"件。出典を確定または該当数値を削除するまで対外提出不可")</f>
        <v/>
      </c>
    </row>
    <row r="17">
      <c r="B17" s="3" t="inlineStr">
        <is>
          <t>★ 上司確認が必要な3点</t>
        </is>
      </c>
    </row>
    <row r="18">
      <c r="B18" s="12" t="inlineStr">
        <is>
          <t>① DYM社内の単品通販広告実績（初回購入／定期引上／F2のCV地点別CPC・CVR・CPO）→ S8が実測になる</t>
        </is>
      </c>
    </row>
    <row r="19">
      <c r="B19" s="12" t="inlineStr">
        <is>
          <t>② 薬機法・特商法で審査／表示に引っかかった実例（社内1〜2例）→ S9が一般論から実務に変わる</t>
        </is>
      </c>
    </row>
    <row r="20">
      <c r="B20" s="12" t="inlineStr">
        <is>
          <t>③ 競合8社・LY公式事例の実名掲載OK（S12／S35）→ NGなら「A社／B社」表記に変更</t>
        </is>
      </c>
    </row>
    <row r="22">
      <c r="B22" s="3" t="inlineStr">
        <is>
          <t>△ データ待ち（人が集める素材・5種に限定）</t>
        </is>
      </c>
    </row>
    <row r="23">
      <c r="B23" s="12" t="inlineStr">
        <is>
          <t>1. Googleトレンド（サプリ／青汁／定期便／解約・一語・5年＋1年。スケールが違うKWは別グラフ）→ S10が黄→緑</t>
        </is>
      </c>
    </row>
    <row r="24">
      <c r="B24" s="12" t="inlineStr">
        <is>
          <t>2. 上司確認3点セット（上記★）→ S8・S9・S12・S35が黄→緑</t>
        </is>
      </c>
    </row>
    <row r="25">
      <c r="B25" s="12" t="inlineStr">
        <is>
          <t>3. LINEヤフーの前後検索データ（サプリ／定期便／解約／口コミ。★「解約」が本命）→ S11が黄→緑</t>
        </is>
      </c>
    </row>
    <row r="26">
      <c r="B26" s="12" t="inlineStr">
        <is>
          <t>4. 競合の友だち数実測（本流8社。page.line.meから取得日つき。解約導線がLINEで完結するかも記録）→ S12が黄→緑</t>
        </is>
      </c>
    </row>
    <row r="27">
      <c r="B27" s="12" t="inlineStr">
        <is>
          <t>5. LINEヤフー公式のD2C・単品通販導入事例（lycbiz.com）→ S35が黄→緑</t>
        </is>
      </c>
    </row>
    <row r="29">
      <c r="B29" s="3" t="inlineStr">
        <is>
          <t>凡例（このファイルの使い方）</t>
        </is>
      </c>
    </row>
    <row r="30">
      <c r="B30" s="12" t="inlineStr">
        <is>
          <t>・「判定一覧」タブのF列（残タスク）が、この資料を完成させるためのTODOです。</t>
        </is>
      </c>
    </row>
    <row r="31">
      <c r="B31" s="12" t="inlineStr">
        <is>
          <t>・黄色で塗られたセルが記入欄です。データが入ったらD列の判定を「緑」に書き換えてください。</t>
        </is>
      </c>
    </row>
    <row r="32">
      <c r="B32" s="12" t="inlineStr">
        <is>
          <t>・D列を書き換えると、このサマリの集計と納品条件の判定が自動で更新されます。</t>
        </is>
      </c>
    </row>
  </sheetData>
  <mergeCells count="10">
    <mergeCell ref="B6:F6"/>
    <mergeCell ref="B24:F24"/>
    <mergeCell ref="B20:F20"/>
    <mergeCell ref="B15:F15"/>
    <mergeCell ref="B25:F25"/>
    <mergeCell ref="B19:F19"/>
    <mergeCell ref="B23:F23"/>
    <mergeCell ref="B26:F26"/>
    <mergeCell ref="B18:F18"/>
    <mergeCell ref="B27:F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1" customWidth="1" min="3" max="3"/>
    <col width="7" customWidth="1" min="4" max="4"/>
    <col width="52" customWidth="1" min="5" max="5"/>
    <col width="46" customWidth="1" min="6" max="6"/>
  </cols>
  <sheetData>
    <row r="2">
      <c r="A2" s="13" t="inlineStr">
        <is>
          <t>枚</t>
        </is>
      </c>
      <c r="B2" s="13" t="inlineStr">
        <is>
          <t>スライドタイトル</t>
        </is>
      </c>
      <c r="C2" s="13" t="inlineStr">
        <is>
          <t>主張の種類</t>
        </is>
      </c>
      <c r="D2" s="13" t="inlineStr">
        <is>
          <t>判定</t>
        </is>
      </c>
      <c r="E2" s="13" t="inlineStr">
        <is>
          <t>根拠・出典</t>
        </is>
      </c>
      <c r="F2" s="13" t="inlineStr">
        <is>
          <t>残タスク（これが埋まれば緑）</t>
        </is>
      </c>
    </row>
    <row r="3" ht="30" customHeight="1">
      <c r="A3" s="14" t="n">
        <v>1</v>
      </c>
      <c r="B3" s="15" t="inlineStr">
        <is>
          <t>表紙</t>
        </is>
      </c>
      <c r="C3" s="14" t="inlineStr">
        <is>
          <t>意見</t>
        </is>
      </c>
      <c r="D3" s="16" t="inlineStr">
        <is>
          <t>緑</t>
        </is>
      </c>
      <c r="E3" s="15" t="inlineStr">
        <is>
          <t>提案タイトル。数値なし</t>
        </is>
      </c>
      <c r="F3" s="15" t="inlineStr">
        <is>
          <t>宛先社名を差し込む</t>
        </is>
      </c>
    </row>
    <row r="4" ht="30" customHeight="1">
      <c r="A4" s="14" t="n">
        <v>2</v>
      </c>
      <c r="B4" s="15" t="inlineStr">
        <is>
          <t>資料アジェンダ</t>
        </is>
      </c>
      <c r="C4" s="14" t="inlineStr">
        <is>
          <t>意見</t>
        </is>
      </c>
      <c r="D4" s="16" t="inlineStr">
        <is>
          <t>緑</t>
        </is>
      </c>
      <c r="E4" s="15" t="inlineStr">
        <is>
          <t>全8章の目次</t>
        </is>
      </c>
      <c r="F4" s="15" t="inlineStr">
        <is>
          <t>―</t>
        </is>
      </c>
    </row>
    <row r="5" ht="30" customHeight="1">
      <c r="A5" s="14" t="n">
        <v>3</v>
      </c>
      <c r="B5" s="15" t="inlineStr">
        <is>
          <t>市場データ｜ニーズ全体図</t>
        </is>
      </c>
      <c r="C5" s="14" t="inlineStr">
        <is>
          <t>事実</t>
        </is>
      </c>
      <c r="D5" s="16" t="inlineStr">
        <is>
          <t>緑</t>
        </is>
      </c>
      <c r="E5" s="15" t="inlineStr">
        <is>
          <t>日本ネット経済新聞／日本流通産業新聞「2025年版 通販売上高ランキング」（化粧品通販は2024年4月〜2025年3月決算・91社）</t>
        </is>
      </c>
      <c r="F5" s="15" t="inlineStr">
        <is>
          <t>提案時に最新年版を確認</t>
        </is>
      </c>
    </row>
    <row r="6" ht="30" customHeight="1">
      <c r="A6" s="14" t="n">
        <v>4</v>
      </c>
      <c r="B6" s="15" t="inlineStr">
        <is>
          <t>単品通販の構造｜3つの壁</t>
        </is>
      </c>
      <c r="C6" s="14" t="inlineStr">
        <is>
          <t>事実</t>
        </is>
      </c>
      <c r="D6" s="16" t="inlineStr">
        <is>
          <t>緑</t>
        </is>
      </c>
      <c r="E6" s="15" t="inlineStr">
        <is>
          <t>初回離脱率・F2転換率＝単品通販のCRM各社／相談件数＝国民生活センター／CPC・広告費＝キーワードマーケティング・電通</t>
        </is>
      </c>
      <c r="F6" s="15" t="inlineStr">
        <is>
          <t>相談件数の最新年度を確認（kokusen.go.jp）</t>
        </is>
      </c>
    </row>
    <row r="7" ht="30" customHeight="1">
      <c r="A7" s="14" t="n">
        <v>5</v>
      </c>
      <c r="B7" s="15" t="inlineStr">
        <is>
          <t>顧客心理｜なぜ1回で終わるのか</t>
        </is>
      </c>
      <c r="C7" s="14" t="inlineStr">
        <is>
          <t>事実</t>
        </is>
      </c>
      <c r="D7" s="16" t="inlineStr">
        <is>
          <t>緑</t>
        </is>
      </c>
      <c r="E7" s="15" t="inlineStr">
        <is>
          <t>継続率の商材差＝定期通販CRM各社／相談件数＝国民生活センター／メルマガ開封率＝国内EC平均／開封率はLINEヤフー公式値</t>
        </is>
      </c>
      <c r="F7" s="15" t="inlineStr">
        <is>
          <t>―</t>
        </is>
      </c>
    </row>
    <row r="8" ht="30" customHeight="1">
      <c r="A8" s="14" t="n">
        <v>6</v>
      </c>
      <c r="B8" s="15" t="inlineStr">
        <is>
          <t>できること／できないこと＋スコープ宣言</t>
        </is>
      </c>
      <c r="C8" s="14" t="inlineStr">
        <is>
          <t>意見</t>
        </is>
      </c>
      <c r="D8" s="16" t="inlineStr">
        <is>
          <t>緑</t>
        </is>
      </c>
      <c r="E8" s="15" t="inlineStr">
        <is>
          <t>DYM提案のスコープ宣言。「解約は止めない」を明記。数値なし</t>
        </is>
      </c>
      <c r="F8" s="15" t="inlineStr">
        <is>
          <t>―</t>
        </is>
      </c>
    </row>
    <row r="9" ht="30" customHeight="1">
      <c r="A9" s="14" t="n">
        <v>7</v>
      </c>
      <c r="B9" s="15" t="inlineStr">
        <is>
          <t>実態調査①｜広告単価は、もう下がらない</t>
        </is>
      </c>
      <c r="C9" s="14" t="inlineStr">
        <is>
          <t>事実</t>
        </is>
      </c>
      <c r="D9" s="16" t="inlineStr">
        <is>
          <t>緑</t>
        </is>
      </c>
      <c r="E9" s="15" t="inlineStr">
        <is>
          <t>電通「2025年 日本の広告費」2026年3月5日発表／キーワードマーケティング。限界CPOの定義は業界標準用語</t>
        </is>
      </c>
      <c r="F9" s="15" t="inlineStr">
        <is>
          <t>―</t>
        </is>
      </c>
    </row>
    <row r="10" ht="30" customHeight="1">
      <c r="A10" s="14" t="n">
        <v>8</v>
      </c>
      <c r="B10" s="15" t="inlineStr">
        <is>
          <t>実態調査②｜弊社の広告実績（CV地点別）</t>
        </is>
      </c>
      <c r="C10" s="14" t="inlineStr">
        <is>
          <t>推定</t>
        </is>
      </c>
      <c r="D10" s="17" t="inlineStr">
        <is>
          <t>黄</t>
        </is>
      </c>
      <c r="E10" s="15" t="inlineStr">
        <is>
          <t>★差込枠。数値は未記入（捏造なし）</t>
        </is>
      </c>
      <c r="F10" s="18" t="inlineStr">
        <is>
          <t>DYM社内の単品通販広告実績をCV地点別（初回購入／定期引上／F2）に取得（上司確認①）</t>
        </is>
      </c>
    </row>
    <row r="11" ht="30" customHeight="1">
      <c r="A11" s="14" t="n">
        <v>9</v>
      </c>
      <c r="B11" s="15" t="inlineStr">
        <is>
          <t>実態調査③｜法規制と広告審査</t>
        </is>
      </c>
      <c r="C11" s="14" t="inlineStr">
        <is>
          <t>事実</t>
        </is>
      </c>
      <c r="D11" s="16" t="inlineStr">
        <is>
          <t>緑</t>
        </is>
      </c>
      <c r="E11" s="15" t="inlineStr">
        <is>
          <t>特定商取引法改正（2021年成立・2022年6月1日施行）／薬機法の広告3要件（薬監発第148号）／景品表示法</t>
        </is>
      </c>
      <c r="F11" s="15" t="inlineStr">
        <is>
          <t>薬機法・特商法の審査落ち実例（社内1〜2例）があれば説得力が上がる（上司確認②）</t>
        </is>
      </c>
    </row>
    <row r="12" ht="30" customHeight="1">
      <c r="A12" s="14" t="n">
        <v>10</v>
      </c>
      <c r="B12" s="15" t="inlineStr">
        <is>
          <t>実態調査④｜検索の季節性</t>
        </is>
      </c>
      <c r="C12" s="14" t="inlineStr">
        <is>
          <t>推定</t>
        </is>
      </c>
      <c r="D12" s="17" t="inlineStr">
        <is>
          <t>黄</t>
        </is>
      </c>
      <c r="E12" s="15" t="inlineStr">
        <is>
          <t>★差込枠。KWのみ提示、データ未記入</t>
        </is>
      </c>
      <c r="F12" s="18" t="inlineStr">
        <is>
          <t>Googleトレンド実データ（サプリ／青汁／定期便／解約・一語・5年＋1年。スケール別に分ける）</t>
        </is>
      </c>
    </row>
    <row r="13" ht="30" customHeight="1">
      <c r="A13" s="14" t="n">
        <v>11</v>
      </c>
      <c r="B13" s="15" t="inlineStr">
        <is>
          <t>実態調査⑤｜前後検索</t>
        </is>
      </c>
      <c r="C13" s="14" t="inlineStr">
        <is>
          <t>推定</t>
        </is>
      </c>
      <c r="D13" s="17" t="inlineStr">
        <is>
          <t>黄</t>
        </is>
      </c>
      <c r="E13" s="15" t="inlineStr">
        <is>
          <t>★差込枠。KWのみ提示、データ未記入</t>
        </is>
      </c>
      <c r="F13" s="18" t="inlineStr">
        <is>
          <t>LINEヤフー前後検索データ（サプリ／定期便／解約／口コミ。★「解約」が本命）</t>
        </is>
      </c>
    </row>
    <row r="14" ht="30" customHeight="1">
      <c r="A14" s="14" t="n">
        <v>12</v>
      </c>
      <c r="B14" s="15" t="inlineStr">
        <is>
          <t>実態調査⑥｜競合のLINE運用</t>
        </is>
      </c>
      <c r="C14" s="14" t="inlineStr">
        <is>
          <t>事実</t>
        </is>
      </c>
      <c r="D14" s="17" t="inlineStr">
        <is>
          <t>黄</t>
        </is>
      </c>
      <c r="E14" s="15" t="inlineStr">
        <is>
          <t>運用の型4分類はDYM整理（意見）。競合8社の選定は知名度優先（事実）。友だち数・解約導線は★未取得</t>
        </is>
      </c>
      <c r="F14" s="18" t="inlineStr">
        <is>
          <t>page.line.meから取得日つきで実測（友だち数／リッチメニューに解約があるか／解約がLINEで完結するか）</t>
        </is>
      </c>
    </row>
    <row r="15" ht="30" customHeight="1">
      <c r="A15" s="14" t="n">
        <v>13</v>
      </c>
      <c r="B15" s="15" t="inlineStr">
        <is>
          <t>全体設計①｜フェーズ8分類×CV3段</t>
        </is>
      </c>
      <c r="C15" s="14" t="inlineStr">
        <is>
          <t>意見</t>
        </is>
      </c>
      <c r="D15" s="16" t="inlineStr">
        <is>
          <t>緑</t>
        </is>
      </c>
      <c r="E15" s="15" t="inlineStr">
        <is>
          <t>CV3段はDYM設計。数値なし</t>
        </is>
      </c>
      <c r="F15" s="15" t="inlineStr">
        <is>
          <t>貴社のCV定義とすり合わせ</t>
        </is>
      </c>
    </row>
    <row r="16" ht="30" customHeight="1">
      <c r="A16" s="14" t="n">
        <v>14</v>
      </c>
      <c r="B16" s="15" t="inlineStr">
        <is>
          <t>全体設計②｜施策全体像と対策領域</t>
        </is>
      </c>
      <c r="C16" s="14" t="inlineStr">
        <is>
          <t>意見</t>
        </is>
      </c>
      <c r="D16" s="16" t="inlineStr">
        <is>
          <t>緑</t>
        </is>
      </c>
      <c r="E16" s="15" t="inlineStr">
        <is>
          <t>DYM提案の対策領域マップ。施策とKPIの対応表</t>
        </is>
      </c>
      <c r="F16" s="15" t="inlineStr">
        <is>
          <t>―</t>
        </is>
      </c>
    </row>
    <row r="17" ht="30" customHeight="1">
      <c r="A17" s="14" t="n">
        <v>15</v>
      </c>
      <c r="B17" s="15" t="inlineStr">
        <is>
          <t>全体設計③｜施策展開図（初期・月次）</t>
        </is>
      </c>
      <c r="C17" s="14" t="inlineStr">
        <is>
          <t>意見</t>
        </is>
      </c>
      <c r="D17" s="16" t="inlineStr">
        <is>
          <t>緑</t>
        </is>
      </c>
      <c r="E17" s="15" t="inlineStr">
        <is>
          <t>DYM標準の展開図を単品通販施策に置換</t>
        </is>
      </c>
      <c r="F17" s="15" t="inlineStr">
        <is>
          <t>―</t>
        </is>
      </c>
    </row>
    <row r="18" ht="30" customHeight="1">
      <c r="A18" s="14" t="n">
        <v>16</v>
      </c>
      <c r="B18" s="15" t="inlineStr">
        <is>
          <t>構築①｜友だち追加動線（同梱物QRが主役）</t>
        </is>
      </c>
      <c r="C18" s="14" t="inlineStr">
        <is>
          <t>意見</t>
        </is>
      </c>
      <c r="D18" s="16" t="inlineStr">
        <is>
          <t>緑</t>
        </is>
      </c>
      <c r="E18" s="15" t="inlineStr">
        <is>
          <t>DYM提案の動線設計</t>
        </is>
      </c>
      <c r="F18" s="15" t="inlineStr">
        <is>
          <t>―</t>
        </is>
      </c>
    </row>
    <row r="19" ht="30" customHeight="1">
      <c r="A19" s="14" t="n">
        <v>17</v>
      </c>
      <c r="B19" s="15" t="inlineStr">
        <is>
          <t>構築②｜あいさつメッセージ</t>
        </is>
      </c>
      <c r="C19" s="14" t="inlineStr">
        <is>
          <t>意見</t>
        </is>
      </c>
      <c r="D19" s="16" t="inlineStr">
        <is>
          <t>緑</t>
        </is>
      </c>
      <c r="E19" s="15" t="inlineStr">
        <is>
          <t>配信文面は初稿。「いつでも解約可能」等の強調表示を使わない旨は特商法に基づく</t>
        </is>
      </c>
      <c r="F19" s="15" t="inlineStr">
        <is>
          <t>担当者名・実際の発送予定に差し替え</t>
        </is>
      </c>
    </row>
    <row r="20" ht="30" customHeight="1">
      <c r="A20" s="14" t="n">
        <v>18</v>
      </c>
      <c r="B20" s="15" t="inlineStr">
        <is>
          <t>構築③｜初期アンケートとタグ設計</t>
        </is>
      </c>
      <c r="C20" s="14" t="inlineStr">
        <is>
          <t>意見</t>
        </is>
      </c>
      <c r="D20" s="16" t="inlineStr">
        <is>
          <t>緑</t>
        </is>
      </c>
      <c r="E20" s="15" t="inlineStr">
        <is>
          <t>設問設計。数値なし。F2の逆算方法のみ提示</t>
        </is>
      </c>
      <c r="F20" s="15" t="inlineStr">
        <is>
          <t>商材ごとに内容量÷1日使用量で日数を確定</t>
        </is>
      </c>
    </row>
    <row r="21" ht="30" customHeight="1">
      <c r="A21" s="14" t="n">
        <v>19</v>
      </c>
      <c r="B21" s="15" t="inlineStr">
        <is>
          <t>構築④｜リッチメニュー</t>
        </is>
      </c>
      <c r="C21" s="14" t="inlineStr">
        <is>
          <t>意見</t>
        </is>
      </c>
      <c r="D21" s="16" t="inlineStr">
        <is>
          <t>緑</t>
        </is>
      </c>
      <c r="E21" s="15" t="inlineStr">
        <is>
          <t>DYM提案のリッチメニュー設計。「解約・休止」を1軍に置く方針</t>
        </is>
      </c>
      <c r="F21" s="15" t="inlineStr">
        <is>
          <t>―</t>
        </is>
      </c>
    </row>
    <row r="22" ht="30" customHeight="1">
      <c r="A22" s="14" t="n">
        <v>20</v>
      </c>
      <c r="B22" s="15" t="inlineStr">
        <is>
          <t>構築⑤｜LINE ID連携（★前提）</t>
        </is>
      </c>
      <c r="C22" s="14" t="inlineStr">
        <is>
          <t>意見</t>
        </is>
      </c>
      <c r="D22" s="16" t="inlineStr">
        <is>
          <t>緑</t>
        </is>
      </c>
      <c r="E22" s="15" t="inlineStr">
        <is>
          <t>仕組みの説明。数値なし</t>
        </is>
      </c>
      <c r="F22" s="15" t="inlineStr">
        <is>
          <t>カート／定期システム側の連携可否を初期に確認</t>
        </is>
      </c>
    </row>
    <row r="23" ht="30" customHeight="1">
      <c r="A23" s="14" t="n">
        <v>21</v>
      </c>
      <c r="B23" s="15" t="inlineStr">
        <is>
          <t>配信設計①｜シナリオ3本の設計表</t>
        </is>
      </c>
      <c r="C23" s="14" t="inlineStr">
        <is>
          <t>意見</t>
        </is>
      </c>
      <c r="D23" s="16" t="inlineStr">
        <is>
          <t>緑</t>
        </is>
      </c>
      <c r="E23" s="15" t="inlineStr">
        <is>
          <t>配信設計。日数は書かず逆算の型のみ（★想定を並べていない）</t>
        </is>
      </c>
      <c r="F23" s="15" t="inlineStr">
        <is>
          <t>F2オファーのタイミングは商材ごとに調整</t>
        </is>
      </c>
    </row>
    <row r="24" ht="30" customHeight="1">
      <c r="A24" s="14" t="n">
        <v>22</v>
      </c>
      <c r="B24" s="15" t="inlineStr">
        <is>
          <t>配信設計②｜実文面（初回購入後→F2）</t>
        </is>
      </c>
      <c r="C24" s="14" t="inlineStr">
        <is>
          <t>意見</t>
        </is>
      </c>
      <c r="D24" s="16" t="inlineStr">
        <is>
          <t>緑</t>
        </is>
      </c>
      <c r="E24" s="15" t="inlineStr">
        <is>
          <t>配信文面は初稿。効果効能を断定しない書き方にしている</t>
        </is>
      </c>
      <c r="F24" s="15" t="inlineStr">
        <is>
          <t>★薬機法チェックを通すこと。実際の商品名・日数に差し替え</t>
        </is>
      </c>
    </row>
    <row r="25" ht="30" customHeight="1">
      <c r="A25" s="14" t="n">
        <v>23</v>
      </c>
      <c r="B25" s="15" t="inlineStr">
        <is>
          <t>配信設計③｜実文面（定期継続中・解約予防）</t>
        </is>
      </c>
      <c r="C25" s="14" t="inlineStr">
        <is>
          <t>意見</t>
        </is>
      </c>
      <c r="D25" s="16" t="inlineStr">
        <is>
          <t>緑</t>
        </is>
      </c>
      <c r="E25" s="15" t="inlineStr">
        <is>
          <t>配信文面は初稿。スキップ提示は解約妨害に当たらない設計</t>
        </is>
      </c>
      <c r="F25" s="15" t="inlineStr">
        <is>
          <t>実際の発送サイクルに差し替え</t>
        </is>
      </c>
    </row>
    <row r="26" ht="30" customHeight="1">
      <c r="A26" s="14" t="n">
        <v>24</v>
      </c>
      <c r="B26" s="15" t="inlineStr">
        <is>
          <t>配信設計④｜解約シナリオ（★核心）</t>
        </is>
      </c>
      <c r="C26" s="14" t="inlineStr">
        <is>
          <t>意見</t>
        </is>
      </c>
      <c r="D26" s="16" t="inlineStr">
        <is>
          <t>緑</t>
        </is>
      </c>
      <c r="E26" s="15" t="inlineStr">
        <is>
          <t>特商法（契約解除の妨害に罰則）に基づく設計。チャーン削減幅1〜2%は業界水準</t>
        </is>
      </c>
      <c r="F26" s="15" t="inlineStr">
        <is>
          <t>★「止めない」の明記を消さないこと。法務確認を推奨</t>
        </is>
      </c>
    </row>
    <row r="27" ht="30" customHeight="1">
      <c r="A27" s="14" t="n">
        <v>25</v>
      </c>
      <c r="B27" s="15" t="inlineStr">
        <is>
          <t>配信設計⑤｜年間の企画投稿カレンダー</t>
        </is>
      </c>
      <c r="C27" s="14" t="inlineStr">
        <is>
          <t>推定</t>
        </is>
      </c>
      <c r="D27" s="17" t="inlineStr">
        <is>
          <t>黄</t>
        </is>
      </c>
      <c r="E27" s="15" t="inlineStr">
        <is>
          <t>現時点の企画は根拠列が未確定の叩き台</t>
        </is>
      </c>
      <c r="F27" s="18" t="inlineStr">
        <is>
          <t>S10のGoogleトレンド確定後に「参照データ」列を埋めて確定</t>
        </is>
      </c>
    </row>
    <row r="28" ht="30" customHeight="1">
      <c r="A28" s="14" t="n">
        <v>26</v>
      </c>
      <c r="B28" s="15" t="inlineStr">
        <is>
          <t>配信設計⑥｜通知メッセージ</t>
        </is>
      </c>
      <c r="C28" s="14" t="inlineStr">
        <is>
          <t>意見</t>
        </is>
      </c>
      <c r="D28" s="16" t="inlineStr">
        <is>
          <t>緑</t>
        </is>
      </c>
      <c r="E28" s="15" t="inlineStr">
        <is>
          <t>利用シーンの設計</t>
        </is>
      </c>
      <c r="F28" s="15" t="inlineStr">
        <is>
          <t>通知メッセージの申請可否・要件を確認</t>
        </is>
      </c>
    </row>
    <row r="29" ht="30" customHeight="1">
      <c r="A29" s="14" t="n">
        <v>27</v>
      </c>
      <c r="B29" s="15" t="inlineStr">
        <is>
          <t>改善①｜LTVを決めているのは、解約率（★山）</t>
        </is>
      </c>
      <c r="C29" s="14" t="inlineStr">
        <is>
          <t>事実</t>
        </is>
      </c>
      <c r="D29" s="16" t="inlineStr">
        <is>
          <t>緑</t>
        </is>
      </c>
      <c r="E29" s="15" t="inlineStr">
        <is>
          <t>継続期間（3%→約33ヶ月／7%→約14ヶ月）・チャーン削減幅は定期通販CRM各社の公開値。初回離脱率・F2転換率は業界水準</t>
        </is>
      </c>
      <c r="F29" s="15" t="inlineStr">
        <is>
          <t>―</t>
        </is>
      </c>
    </row>
    <row r="30" ht="30" customHeight="1">
      <c r="A30" s="14" t="n">
        <v>28</v>
      </c>
      <c r="B30" s="15" t="inlineStr">
        <is>
          <t>改善②｜工数削減と改善モデル</t>
        </is>
      </c>
      <c r="C30" s="14" t="inlineStr">
        <is>
          <t>意見</t>
        </is>
      </c>
      <c r="D30" s="16" t="inlineStr">
        <is>
          <t>緑</t>
        </is>
      </c>
      <c r="E30" s="15" t="inlineStr">
        <is>
          <t>DYM提案の改善モデル。人件費の時給換算では語っていない</t>
        </is>
      </c>
      <c r="F30" s="15" t="inlineStr">
        <is>
          <t>―</t>
        </is>
      </c>
    </row>
    <row r="31" ht="30" customHeight="1">
      <c r="A31" s="14" t="n">
        <v>29</v>
      </c>
      <c r="B31" s="15" t="inlineStr">
        <is>
          <t>成果｜効果測定の設計</t>
        </is>
      </c>
      <c r="C31" s="14" t="inlineStr">
        <is>
          <t>意見</t>
        </is>
      </c>
      <c r="D31" s="16" t="inlineStr">
        <is>
          <t>緑</t>
        </is>
      </c>
      <c r="E31" s="15" t="inlineStr">
        <is>
          <t>数値は入れない（業界汎用のためSIMは作らない）。限界CPOの式は業界標準</t>
        </is>
      </c>
      <c r="F31" s="15" t="inlineStr">
        <is>
          <t>御社の実績をいただければSIMを作成</t>
        </is>
      </c>
    </row>
    <row r="32" ht="30" customHeight="1">
      <c r="A32" s="14" t="n">
        <v>30</v>
      </c>
      <c r="B32" s="15" t="inlineStr">
        <is>
          <t>費用プラン</t>
        </is>
      </c>
      <c r="C32" s="14" t="inlineStr">
        <is>
          <t>意見</t>
        </is>
      </c>
      <c r="D32" s="16" t="inlineStr">
        <is>
          <t>緑</t>
        </is>
      </c>
      <c r="E32" s="15" t="inlineStr">
        <is>
          <t>DYM標準プラン（6ヶ月〜・税抜）。継続費を明記</t>
        </is>
      </c>
      <c r="F32" s="15" t="inlineStr">
        <is>
          <t>―</t>
        </is>
      </c>
    </row>
    <row r="33" ht="30" customHeight="1">
      <c r="A33" s="14" t="n">
        <v>31</v>
      </c>
      <c r="B33" s="15" t="inlineStr">
        <is>
          <t>運用スケジュール（6ヶ月）</t>
        </is>
      </c>
      <c r="C33" s="14" t="inlineStr">
        <is>
          <t>意見</t>
        </is>
      </c>
      <c r="D33" s="16" t="inlineStr">
        <is>
          <t>緑</t>
        </is>
      </c>
      <c r="E33" s="15" t="inlineStr">
        <is>
          <t>DYM標準の運用スケジュール</t>
        </is>
      </c>
      <c r="F33" s="15" t="inlineStr">
        <is>
          <t>ID連携の可否確認を最優先</t>
        </is>
      </c>
    </row>
    <row r="34" ht="30" customHeight="1">
      <c r="A34" s="14" t="n">
        <v>32</v>
      </c>
      <c r="B34" s="15" t="inlineStr">
        <is>
          <t>サポート体制</t>
        </is>
      </c>
      <c r="C34" s="14" t="inlineStr">
        <is>
          <t>意見</t>
        </is>
      </c>
      <c r="D34" s="16" t="inlineStr">
        <is>
          <t>緑</t>
        </is>
      </c>
      <c r="E34" s="15" t="inlineStr">
        <is>
          <t>DYM標準のサポート体制＋法令チェック体制</t>
        </is>
      </c>
      <c r="F34" s="15" t="inlineStr">
        <is>
          <t>―</t>
        </is>
      </c>
    </row>
    <row r="35" ht="30" customHeight="1">
      <c r="A35" s="14" t="n">
        <v>33</v>
      </c>
      <c r="B35" s="15" t="inlineStr">
        <is>
          <t>締め①｜飛び道具｜解約ボタンをLINEに置く</t>
        </is>
      </c>
      <c r="C35" s="14" t="inlineStr">
        <is>
          <t>意見</t>
        </is>
      </c>
      <c r="D35" s="16" t="inlineStr">
        <is>
          <t>緑</t>
        </is>
      </c>
      <c r="E35" s="15" t="inlineStr">
        <is>
          <t>DYM提案。法令上のメリットは特商法に基づく</t>
        </is>
      </c>
      <c r="F35" s="15" t="inlineStr">
        <is>
          <t>法務確認を推奨</t>
        </is>
      </c>
    </row>
    <row r="36" ht="30" customHeight="1">
      <c r="A36" s="14" t="n">
        <v>34</v>
      </c>
      <c r="B36" s="15" t="inlineStr">
        <is>
          <t>締め②｜第2の提案軸｜通知メッセージ</t>
        </is>
      </c>
      <c r="C36" s="14" t="inlineStr">
        <is>
          <t>意見</t>
        </is>
      </c>
      <c r="D36" s="16" t="inlineStr">
        <is>
          <t>緑</t>
        </is>
      </c>
      <c r="E36" s="15" t="inlineStr">
        <is>
          <t>DYM提案の第2軸</t>
        </is>
      </c>
      <c r="F36" s="15" t="inlineStr">
        <is>
          <t>通知メッセージの申請可否を確認</t>
        </is>
      </c>
    </row>
    <row r="37" ht="30" customHeight="1">
      <c r="A37" s="14" t="n">
        <v>35</v>
      </c>
      <c r="B37" s="15" t="inlineStr">
        <is>
          <t>締め③｜LINEOA実績</t>
        </is>
      </c>
      <c r="C37" s="14" t="inlineStr">
        <is>
          <t>事実</t>
        </is>
      </c>
      <c r="D37" s="17" t="inlineStr">
        <is>
          <t>黄</t>
        </is>
      </c>
      <c r="E37" s="15" t="inlineStr">
        <is>
          <t>LINE国内MAU・開封率はLINEヤフー公式値（緑相当）。D2C・単品通販の事例は★未取得</t>
        </is>
      </c>
      <c r="F37" s="18" t="inlineStr">
        <is>
          <t>lycbiz.comから事例取得。無ければ「該当なし」と正直に報告</t>
        </is>
      </c>
    </row>
    <row r="38" ht="30" customHeight="1">
      <c r="A38" s="14" t="n">
        <v>36</v>
      </c>
      <c r="B38" s="15" t="inlineStr">
        <is>
          <t>裏表紙</t>
        </is>
      </c>
      <c r="C38" s="14" t="inlineStr">
        <is>
          <t>事実</t>
        </is>
      </c>
      <c r="D38" s="16" t="inlineStr">
        <is>
          <t>緑</t>
        </is>
      </c>
      <c r="E38" s="15" t="inlineStr">
        <is>
          <t>DYM会社情報（原本のまま）</t>
        </is>
      </c>
      <c r="F38" s="15" t="inlineStr">
        <is>
          <t>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2026-09-02T06:47:31Z</dcterms:created>
  <dcterms:modified xmlns:dcterms="http://purl.org/dc/terms/" xmlns:xsi="http://www.w3.org/2001/XMLSchema-instance" xsi:type="dcterms:W3CDTF">2026-09-02T06:47:31Z</dcterms:modified>
</cp:coreProperties>
</file>
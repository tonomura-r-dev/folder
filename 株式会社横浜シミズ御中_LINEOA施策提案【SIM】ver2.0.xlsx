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ACB2CCE3-EE2A-4DDF-816D-48B33438F9A2}" xr6:coauthVersionLast="47" xr6:coauthVersionMax="47" xr10:uidLastSave="{00000000-0000-0000-0000-000000000000}"/>
  <bookViews>
    <workbookView xWindow="-110" yWindow="-110" windowWidth="19420" windowHeight="11500" xr2:uid="{02433765-3560-48F5-BC99-B30FC64129A4}"/>
  </bookViews>
  <sheets>
    <sheet name="SIM" sheetId="1" r:id="rId1"/>
    <sheet name="SIM_比較" sheetId="2" r:id="rId2"/>
    <sheet name="SIM考え方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E22" i="3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Q33" i="1"/>
  <c r="Q32" i="1"/>
  <c r="D29" i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G27" i="1"/>
  <c r="H27" i="1" s="1"/>
  <c r="I27" i="1" s="1"/>
  <c r="J27" i="1" s="1"/>
  <c r="P36" i="1" l="1"/>
  <c r="E7" i="2"/>
  <c r="D7" i="2"/>
  <c r="C23" i="2"/>
  <c r="C22" i="2"/>
  <c r="K40" i="1"/>
  <c r="C8" i="2"/>
  <c r="D34" i="1"/>
  <c r="D31" i="1"/>
  <c r="D35" i="1" s="1"/>
  <c r="F16" i="1"/>
  <c r="E24" i="1"/>
  <c r="F14" i="1"/>
  <c r="E23" i="1"/>
  <c r="D75" i="1" l="1"/>
  <c r="C10" i="2"/>
  <c r="C29" i="2" s="1"/>
  <c r="C30" i="2" s="1"/>
  <c r="D41" i="1"/>
  <c r="C11" i="2"/>
  <c r="C12" i="2" s="1"/>
  <c r="C13" i="2" s="1"/>
  <c r="G16" i="1"/>
  <c r="F24" i="1"/>
  <c r="G14" i="1"/>
  <c r="F23" i="1"/>
  <c r="F26" i="1" s="1"/>
  <c r="E26" i="1"/>
  <c r="E28" i="1" s="1"/>
  <c r="D76" i="1" l="1"/>
  <c r="D54" i="1" s="1"/>
  <c r="H16" i="1"/>
  <c r="G24" i="1"/>
  <c r="H14" i="1"/>
  <c r="G23" i="1"/>
  <c r="G26" i="1" s="1"/>
  <c r="E56" i="1"/>
  <c r="E46" i="1"/>
  <c r="E29" i="1"/>
  <c r="F28" i="1"/>
  <c r="I16" i="1" l="1"/>
  <c r="H24" i="1"/>
  <c r="I14" i="1"/>
  <c r="H23" i="1"/>
  <c r="H26" i="1" s="1"/>
  <c r="E31" i="1"/>
  <c r="E33" i="1"/>
  <c r="E34" i="1"/>
  <c r="G28" i="1"/>
  <c r="F29" i="1"/>
  <c r="F46" i="1"/>
  <c r="F56" i="1"/>
  <c r="J16" i="1" l="1"/>
  <c r="J24" i="1" s="1"/>
  <c r="I24" i="1"/>
  <c r="J14" i="1"/>
  <c r="J23" i="1" s="1"/>
  <c r="I23" i="1"/>
  <c r="I26" i="1" s="1"/>
  <c r="E75" i="1"/>
  <c r="E68" i="1"/>
  <c r="H28" i="1"/>
  <c r="G29" i="1"/>
  <c r="G46" i="1"/>
  <c r="G56" i="1"/>
  <c r="D6" i="2"/>
  <c r="F31" i="1"/>
  <c r="F33" i="1"/>
  <c r="F34" i="1"/>
  <c r="E35" i="1"/>
  <c r="J26" i="1" l="1"/>
  <c r="E76" i="1"/>
  <c r="C25" i="2"/>
  <c r="E45" i="1"/>
  <c r="I28" i="1"/>
  <c r="H29" i="1"/>
  <c r="H46" i="1"/>
  <c r="H56" i="1"/>
  <c r="G31" i="1"/>
  <c r="G33" i="1"/>
  <c r="D8" i="2"/>
  <c r="G34" i="1"/>
  <c r="F75" i="1"/>
  <c r="F68" i="1"/>
  <c r="F45" i="1" s="1"/>
  <c r="E58" i="1"/>
  <c r="E41" i="1"/>
  <c r="E48" i="1"/>
  <c r="F35" i="1"/>
  <c r="E54" i="1" l="1"/>
  <c r="E44" i="1"/>
  <c r="E51" i="1" s="1"/>
  <c r="J28" i="1"/>
  <c r="I29" i="1"/>
  <c r="I46" i="1"/>
  <c r="I56" i="1"/>
  <c r="H31" i="1"/>
  <c r="H33" i="1"/>
  <c r="H34" i="1"/>
  <c r="G75" i="1"/>
  <c r="G68" i="1"/>
  <c r="D10" i="2"/>
  <c r="D29" i="2" s="1"/>
  <c r="D30" i="2" s="1"/>
  <c r="F76" i="1"/>
  <c r="F58" i="1"/>
  <c r="F48" i="1"/>
  <c r="F41" i="1"/>
  <c r="G35" i="1"/>
  <c r="E61" i="1" l="1"/>
  <c r="E57" i="1" s="1"/>
  <c r="E55" i="1"/>
  <c r="E59" i="1" s="1"/>
  <c r="E73" i="1"/>
  <c r="F54" i="1"/>
  <c r="F44" i="1"/>
  <c r="F51" i="1" s="1"/>
  <c r="E47" i="1"/>
  <c r="E49" i="1"/>
  <c r="J29" i="1"/>
  <c r="J46" i="1"/>
  <c r="J56" i="1"/>
  <c r="E6" i="2"/>
  <c r="I31" i="1"/>
  <c r="I33" i="1"/>
  <c r="I34" i="1"/>
  <c r="H68" i="1"/>
  <c r="H45" i="1" s="1"/>
  <c r="H75" i="1"/>
  <c r="G76" i="1"/>
  <c r="D25" i="2"/>
  <c r="G45" i="1"/>
  <c r="F61" i="1"/>
  <c r="F57" i="1" s="1"/>
  <c r="D11" i="2"/>
  <c r="G58" i="1"/>
  <c r="G48" i="1"/>
  <c r="G41" i="1"/>
  <c r="H35" i="1"/>
  <c r="F55" i="1" l="1"/>
  <c r="F59" i="1" s="1"/>
  <c r="F73" i="1"/>
  <c r="F49" i="1"/>
  <c r="F47" i="1"/>
  <c r="G54" i="1"/>
  <c r="G44" i="1"/>
  <c r="G51" i="1" s="1"/>
  <c r="J31" i="1"/>
  <c r="J33" i="1"/>
  <c r="E8" i="2"/>
  <c r="J34" i="1"/>
  <c r="I68" i="1"/>
  <c r="I45" i="1" s="1"/>
  <c r="I75" i="1"/>
  <c r="H76" i="1"/>
  <c r="H58" i="1"/>
  <c r="H48" i="1"/>
  <c r="H41" i="1"/>
  <c r="I35" i="1"/>
  <c r="G73" i="1" l="1"/>
  <c r="G55" i="1"/>
  <c r="G59" i="1" s="1"/>
  <c r="G61" i="1"/>
  <c r="H54" i="1"/>
  <c r="H44" i="1"/>
  <c r="H51" i="1" s="1"/>
  <c r="J68" i="1"/>
  <c r="J75" i="1"/>
  <c r="E10" i="2"/>
  <c r="E29" i="2" s="1"/>
  <c r="E30" i="2" s="1"/>
  <c r="I76" i="1"/>
  <c r="I58" i="1"/>
  <c r="I48" i="1"/>
  <c r="I41" i="1"/>
  <c r="G49" i="1"/>
  <c r="G47" i="1"/>
  <c r="D4" i="2"/>
  <c r="J35" i="1"/>
  <c r="H55" i="1" l="1"/>
  <c r="H59" i="1" s="1"/>
  <c r="H61" i="1"/>
  <c r="H57" i="1" s="1"/>
  <c r="H73" i="1"/>
  <c r="D5" i="2"/>
  <c r="G57" i="1"/>
  <c r="H47" i="1"/>
  <c r="H49" i="1"/>
  <c r="I54" i="1"/>
  <c r="I55" i="1" s="1"/>
  <c r="I59" i="1" s="1"/>
  <c r="I44" i="1"/>
  <c r="I51" i="1" s="1"/>
  <c r="E25" i="2"/>
  <c r="J45" i="1"/>
  <c r="J76" i="1"/>
  <c r="D22" i="2"/>
  <c r="D12" i="2"/>
  <c r="E11" i="2"/>
  <c r="J58" i="1"/>
  <c r="J48" i="1"/>
  <c r="J41" i="1"/>
  <c r="D13" i="2" l="1"/>
  <c r="D23" i="2"/>
  <c r="I47" i="1"/>
  <c r="I49" i="1"/>
  <c r="I61" i="1"/>
  <c r="I57" i="1" s="1"/>
  <c r="I73" i="1"/>
  <c r="J44" i="1"/>
  <c r="J51" i="1" s="1"/>
  <c r="J47" i="1" s="1"/>
  <c r="J54" i="1"/>
  <c r="J55" i="1"/>
  <c r="J59" i="1" s="1"/>
  <c r="J49" i="1" l="1"/>
  <c r="E4" i="2"/>
  <c r="J61" i="1"/>
  <c r="J73" i="1"/>
  <c r="E12" i="2" l="1"/>
  <c r="E22" i="2"/>
  <c r="E5" i="2"/>
  <c r="J57" i="1"/>
  <c r="E13" i="2" l="1"/>
  <c r="E23" i="2"/>
</calcChain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<sst xmlns="http://schemas.openxmlformats.org/spreadsheetml/2006/main" count="280" uniqueCount="195">
  <si>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</si>
  <si>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</si>
  <si>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</si>
  <si>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</si>
  <si>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</si>
  <si>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</si>
  <si>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</si>
  <si>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</si>
  <si>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</si>
  <si>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</si>
  <si>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</si>
  <si>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</si>
  <si>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</si>
  <si>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</si>
  <si>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</si>
  <si>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</si>
  <si>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</si>
  <si>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</si>
  <si>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</si>
  <si>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</si>
  <si>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</si>
  <si>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</si>
  <si>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</si>
  <si>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</si>
  <si>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</si>
  <si>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</si>
  <si>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</si>
  <si>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</si>
  <si>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</si>
  <si>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</si>
  <si>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</si>
  <si>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</si>
  <si>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</si>
  <si>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</si>
  <si>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</si>
  <si>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</si>
  <si>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</si>
  <si>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</si>
  <si>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</si>
  <si>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</si>
  <si>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</si>
  <si>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</si>
  <si>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</si>
  <si>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</si>
  <si>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</si>
  <si>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</si>
  <si>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</si>
  <si>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</si>
  <si>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</si>
  <si>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</si>
  <si>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</si>
  <si>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</si>
  <si>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</si>
  <si>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</si>
  <si>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</si>
  <si>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</si>
  <si>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</si>
  <si>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</si>
  <si>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</si>
  <si>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</si>
  <si>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</si>
  <si>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</si>
  <si>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</si>
  <si>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</si>
  <si>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</si>
  <si>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</si>
  <si>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</si>
  <si>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</si>
  <si>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</si>
  <si>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</si>
  <si>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</si>
  <si>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</si>
  <si>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</si>
  <si>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</si>
  <si>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</si>
  <si>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</si>
  <si>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</si>
  <si>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</si>
  <si>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</si>
  <si>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</si>
  <si>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</si>
  <si>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</si>
  <si>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</si>
  <si>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</si>
  <si>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</si>
  <si>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</si>
  <si>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</si>
  <si>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</si>
  <si>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</si>
  <si>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</si>
  <si>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</si>
  <si>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</si>
  <si>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</si>
  <si>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</si>
  <si>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</si>
  <si>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</si>
  <si>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</si>
  <si>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</si>
  <si>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</si>
  <si>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</si>
  <si>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</si>
  <si>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</si>
  <si>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</si>
  <si>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</si>
  <si>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</si>
  <si>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</si>
  <si>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</si>
  <si>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</si>
  <si>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</si>
  <si>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</si>
  <si>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</si>
  <si>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</si>
  <si>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</si>
  <si>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</si>
  <si>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</si>
  <si>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</si>
  <si>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</si>
  <si>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</si>
  <si>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</si>
  <si>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</si>
  <si>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</si>
  <si>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</si>
  <si>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</si>
  <si>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</si>
  <si>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</si>
  <si>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</si>
  <si>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</si>
  <si>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</si>
  <si>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</si>
  <si>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</si>
  <si>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</si>
  <si>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</si>
  <si>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</si>
  <si>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</si>
  <si>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</si>
  <si>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</si>
  <si>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</si>
  <si>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</si>
  <si>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</si>
  <si>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</si>
  <si>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</si>
  <si>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</si>
  <si>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</si>
  <si>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</si>
  <si>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</si>
  <si>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</si>
  <si>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</si>
  <si>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</si>
  <si>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</si>
  <si>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</si>
  <si>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</si>
  <si>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</si>
  <si>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</si>
  <si>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</si>
  <si>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</si>
  <si>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</si>
  <si>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</si>
  <si>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</si>
  <si>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</si>
  <si>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</si>
  <si>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</si>
  <si>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</si>
  <si>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</si>
  <si>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</si>
  <si>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</si>
  <si>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</si>
  <si>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</si>
  <si>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</si>
  <si>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</si>
  <si>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</si>
  <si>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</si>
  <si>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</si>
  <si>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</si>
  <si>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</si>
  <si>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</si>
  <si>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</si>
  <si>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</si>
  <si>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</si>
  <si>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株式会社横浜シミズ御中_LINEOA施策提案【SIM】（サイトのLINEボタン＋サンクスLINE誘導）</t>
  </si>
  <si>
    <t>新規応募</t>
  </si>
  <si>
    <t>CV①新規応募：サイトのLINEボタンで友だちになった方（応募前）が、配信から応募した数。サンクスLINE誘導で友だちになった方は応募済みなので、新規応募には数えない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</si>
  <si>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</si>
  <si>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</si>
  <si>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</si>
  <si>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サイトのLINEボタン（UUの0.5%・FMTの係数）＋サンクスLINE誘導。離脱防止は入れていない</t>
  </si>
  <si>
    <t>ブロック率：1か月目（E27）から、2か月目以降は前の月×1.025（式）</t>
  </si>
  <si>
    <t>企画配信 月4回（週1回。次回イベントの募集・会場の案内）</t>
  </si>
  <si>
    <t>ステップ配信は入れていない（資料に無いため）</t>
  </si>
  <si>
    <t>新規応募：合計CVでクリックの0.3〜1.0%前後になるように置く</t>
  </si>
  <si>
    <t>再応募：一度勤務した方が、次回イベントの募集から勤務希望を出した数（応募→勤務を経てからなので4か月目から）</t>
  </si>
  <si>
    <t>離脱防止ポップアップ：入れていない（入れる場合 初期1.5万円・月3万円）</t>
  </si>
  <si>
    <t>LINE運用（運用代行・効率改善）</t>
  </si>
  <si>
    <t>LINE運用：資料の金額（初期構築10万円・月10万円）</t>
  </si>
  <si>
    <t>CV①_新規応募</t>
  </si>
  <si>
    <t>CV③_再応募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</si>
</sst>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23" zoomScale="70" zoomScaleNormal="55" workbookViewId="0">
      <selection activeCell="I41" sqref="I41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179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inlineStr">
        <is>
          <t xml:space="preserve">CV①新規応募：サイトのLINEボタン・離脱防止で友だちになった方（応募前）が、配信から応募した数。サンクスLINE誘導で友だちになった方は応募済みなので、新規応募には数えない</t>
        </is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181</v>
      </c>
      <c r="D10" s="33">
        <v>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182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  <v>89</v>
      </c>
      <c r="E16" s="43">
        <f t="shared" si="2"/>
        <v>89</v>
      </c>
      <c r="F16" s="43">
        <f t="shared" si="2"/>
        <v>89</v>
      </c>
      <c r="G16" s="43">
        <f t="shared" si="2"/>
        <v>89</v>
      </c>
      <c r="H16" s="43">
        <f t="shared" si="2"/>
        <v>89</v>
      </c>
      <c r="I16" s="43">
        <f t="shared" si="2"/>
        <v>89</v>
      </c>
      <c r="J16" s="43">
        <f t="shared" si="2"/>
        <v>89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  <v>28.480000000000004</v>
      </c>
      <c r="F24" s="63">
        <f t="shared" si="4"/>
        <v>28.480000000000004</v>
      </c>
      <c r="G24" s="63">
        <f t="shared" si="4"/>
        <v>28.480000000000004</v>
      </c>
      <c r="H24" s="63">
        <f t="shared" si="4"/>
        <v>28.480000000000004</v>
      </c>
      <c r="I24" s="63">
        <f t="shared" si="4"/>
        <v>28.480000000000004</v>
      </c>
      <c r="J24" s="63">
        <f t="shared" si="4"/>
        <v>28.480000000000004</v>
      </c>
      <c r="K24" s="11"/>
      <c r="L24" s="7"/>
      <c r="N24" s="69" t="s">
        <v>183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  <v>164.08296875000002</v>
      </c>
      <c r="F26" s="46">
        <f t="shared" ref="F26:J26" si="6">+SUM(F22:F25)+$H$9*$P$16+($H$8-$H$9)*$P$15</f>
        <v>164.08296875000002</v>
      </c>
      <c r="G26" s="46">
        <f>+SUM(G22:G25)+$H$9*$P$16+($H$8-$H$9)*$P$15</f>
        <v>164.08296875000002</v>
      </c>
      <c r="H26" s="46">
        <f t="shared" si="6"/>
        <v>164.08296875000002</v>
      </c>
      <c r="I26" s="46">
        <f t="shared" si="6"/>
        <v>164.08296875000002</v>
      </c>
      <c r="J26" s="46">
        <f t="shared" si="6"/>
        <v>164.08296875000002</v>
      </c>
      <c r="K26" s="11"/>
      <c r="L26" s="7"/>
      <c r="N26" s="72" t="inlineStr">
        <is>
          <t xml:space="preserve">サイトのLINEボタン（UUの0.5%・FMTの係数）＋離脱防止ポップアップ＋サンクスLINE誘導</t>
        </is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  <v>0.32799999999999996</v>
      </c>
      <c r="G27" s="47">
        <f>+F$27*1.025</f>
        <v>0.33619999999999994</v>
      </c>
      <c r="H27" s="47">
        <f>+G$27*1.025</f>
        <v>0.34460499999999994</v>
      </c>
      <c r="I27" s="47">
        <f>+H$27*1.025</f>
        <v>0.35322012499999988</v>
      </c>
      <c r="J27" s="47">
        <f>+I$27*1.025</f>
        <v>0.36205062812499983</v>
      </c>
      <c r="K27" s="11"/>
      <c r="L27" s="7"/>
      <c r="N27" t="s">
        <v>185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  <v>164.08296875000002</v>
      </c>
      <c r="F28" s="49">
        <f t="shared" ref="F28:J28" si="7">+E28+F26</f>
        <v>328.16593750000004</v>
      </c>
      <c r="G28" s="49">
        <f t="shared" si="7"/>
        <v>492.24890625000006</v>
      </c>
      <c r="H28" s="49">
        <f t="shared" si="7"/>
        <v>656.33187500000008</v>
      </c>
      <c r="I28" s="49">
        <f t="shared" si="7"/>
        <v>820.41484375000005</v>
      </c>
      <c r="J28" s="49">
        <f t="shared" si="7"/>
        <v>984.49781250000001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  <v>0</v>
      </c>
      <c r="E29" s="50">
        <f>+E28*(1-E27)</f>
        <v>111.57641875</v>
      </c>
      <c r="F29" s="50">
        <f t="shared" ref="F29:J29" si="8">+F28*(1-F27)</f>
        <v>220.52751000000004</v>
      </c>
      <c r="G29" s="50">
        <f t="shared" si="8"/>
        <v>326.75482396875009</v>
      </c>
      <c r="H29" s="50">
        <f t="shared" si="8"/>
        <v>430.15662921562512</v>
      </c>
      <c r="I29" s="50">
        <f t="shared" si="8"/>
        <v>530.62781008876971</v>
      </c>
      <c r="J29" s="50">
        <f t="shared" si="8"/>
        <v>628.05976109668677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186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  <v>0</v>
      </c>
      <c r="E31" s="63">
        <f>+E29*E30*$P$24*$P$22*$P$23*$P$36</f>
        <v>40.774415059092021</v>
      </c>
      <c r="F31" s="63">
        <f>+F29*F30*$P$24*$P$22*$P$23*$P$36</f>
        <v>80.58943211679366</v>
      </c>
      <c r="G31" s="63">
        <f>+G29*G30*$P$24*$P$22*$P$23*$P$36</f>
        <v>119.40907374805278</v>
      </c>
      <c r="H31" s="63">
        <f>+H29*H30*$P$24*$P$22*$P$23*$P$36*$Q$24</f>
        <v>125.75693062425235</v>
      </c>
      <c r="I31" s="63">
        <f>+I29*I30*$P$24*$P$22*$P$23*$P$36*$Q$24</f>
        <v>155.12982985363337</v>
      </c>
      <c r="J31" s="63">
        <f>+J29*J30*$P$24*$P$22*$P$23*$P$36*$Q$24</f>
        <v>183.61420570954101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inlineStr">
        <is>
          <t xml:space="preserve">ステップ配信 4通（あいさつメッセージの後、友だち追加から14日以内）</t>
        </is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  <v>11.369788814554505</v>
      </c>
      <c r="F33" s="63">
        <f t="shared" ref="F33:G33" si="9">+F29*F32*$P$26*$P$27*$P$28*$P$36</f>
        <v>22.472053186413611</v>
      </c>
      <c r="G33" s="63">
        <f t="shared" si="9"/>
        <v>33.296760948976249</v>
      </c>
      <c r="H33" s="63">
        <f>+H29*H32*$P$26*$P$27*$P$28*$P$36*$Q$28</f>
        <v>35.066836424070367</v>
      </c>
      <c r="I33" s="63">
        <f t="shared" ref="I33:J33" si="10">+I29*I32*$P$26*$P$27*$P$28*$P$36*$Q$28</f>
        <v>43.257356401493901</v>
      </c>
      <c r="J33" s="63">
        <f t="shared" si="10"/>
        <v>51.200115053622007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3" t="s">
        <v>25</v>
      </c>
      <c r="B34" s="144"/>
      <c r="C34" s="102"/>
      <c r="D34" s="108">
        <f>+D29*D30</f>
        <v>0</v>
      </c>
      <c r="E34" s="46">
        <f>+E29*E30*$P$24+E29*E32*$P$28</f>
        <v>446.30567500000006</v>
      </c>
      <c r="F34" s="46">
        <f>+F29*F30*$P$24+F29*F32*$P$28</f>
        <v>882.11004000000014</v>
      </c>
      <c r="G34" s="46">
        <f>+G29*G30*$P$24+G29*G32*$P$28</f>
        <v>1307.0192958750004</v>
      </c>
      <c r="H34" s="46">
        <f>+H29*H30*$P$24*$Q$24+H29*H32*$P$28*$Q$28</f>
        <v>1376.5012134900005</v>
      </c>
      <c r="I34" s="46">
        <f>+I29*I30*$P$24*$Q$24+I29*I32*$P$28*$Q$28</f>
        <v>1698.0089922840634</v>
      </c>
      <c r="J34" s="46">
        <f>+J29*J30*$P$24*$Q$24+J29*J32*$P$28*$Q$28</f>
        <v>2009.7912355093979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3" t="s">
        <v>24</v>
      </c>
      <c r="B35" s="144"/>
      <c r="C35" s="102"/>
      <c r="D35" s="109">
        <f>+D31*1.02</f>
        <v>0</v>
      </c>
      <c r="E35" s="50">
        <f>+E31+E33+1.05*(E31+E33)</f>
        <v>106.89561794097537</v>
      </c>
      <c r="F35" s="50">
        <f t="shared" ref="F35:J35" si="12">+F31+F33+1.05*(F31+F33)</f>
        <v>211.2760448715749</v>
      </c>
      <c r="G35" s="50">
        <f t="shared" si="12"/>
        <v>313.04696112890952</v>
      </c>
      <c r="H35" s="50">
        <f t="shared" si="12"/>
        <v>329.68872244906157</v>
      </c>
      <c r="I35" s="50">
        <f t="shared" si="12"/>
        <v>406.69373182301092</v>
      </c>
      <c r="J35" s="50">
        <f t="shared" si="12"/>
        <v>481.36935756448418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45" t="s">
        <v>5</v>
      </c>
      <c r="B36" s="6" t="str">
        <f>+C8</f>
        <v>新規応募</v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  <v>24</v>
      </c>
      <c r="L36" s="7"/>
      <c r="N36" s="69" t="inlineStr">
        <is>
          <t xml:space="preserve">新規応募：サイトのLINEボタン・離脱防止で友だちになった方が、企画配信・ステップ配信から応募した数</t>
        </is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46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117</v>
      </c>
    </row>
    <row r="38" spans="1:17" x14ac:dyDescent="0.55000000000000004">
      <c r="A38" s="145" t="s">
        <v>8</v>
      </c>
      <c r="B38" s="6" t="str">
        <f>+C10</f>
        <v>再応募</v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  <v>9</v>
      </c>
      <c r="L38" s="7"/>
      <c r="N38" s="69" t="inlineStr">
        <is>
          <t xml:space="preserve">再応募：一度勤務した方が、次回イベントの募集から勤務希望を出した数（応募→勤務を経てからなので3か月目から）</t>
        </is>
      </c>
      <c r="O38" s="21" t="s">
        <v>36</v>
      </c>
    </row>
    <row r="39" spans="1:17" x14ac:dyDescent="0.55000000000000004">
      <c r="A39" s="146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  <v>0</v>
      </c>
      <c r="E40" s="10">
        <f t="shared" si="13"/>
        <v>2</v>
      </c>
      <c r="F40" s="10">
        <f t="shared" si="13"/>
        <v>2</v>
      </c>
      <c r="G40" s="10">
        <f t="shared" si="13"/>
        <v>5</v>
      </c>
      <c r="H40" s="10">
        <f t="shared" si="13"/>
        <v>7</v>
      </c>
      <c r="I40" s="10">
        <f t="shared" si="13"/>
        <v>8</v>
      </c>
      <c r="J40" s="10">
        <f t="shared" si="13"/>
        <v>9</v>
      </c>
      <c r="K40" s="115">
        <f>SUM(E40:J40)</f>
        <v>33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1.8709840857127947E-2</v>
      </c>
      <c r="F41" s="18">
        <f t="shared" ref="F41:J41" si="15">+IFERROR(F40/F35,0)</f>
        <v>9.4662885289040176E-3</v>
      </c>
      <c r="G41" s="18">
        <f t="shared" si="15"/>
        <v>1.5972044519994722E-2</v>
      </c>
      <c r="H41" s="18">
        <f t="shared" si="15"/>
        <v>2.1232148761417012E-2</v>
      </c>
      <c r="I41" s="18">
        <f t="shared" si="15"/>
        <v>1.9670821982281057E-2</v>
      </c>
      <c r="J41" s="18">
        <f t="shared" si="15"/>
        <v>1.8696661635331371E-2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37" t="s">
        <v>26</v>
      </c>
      <c r="B44" s="138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x14ac:dyDescent="0.55000000000000004">
      <c r="A45" s="137" t="s">
        <v>131</v>
      </c>
      <c r="B45" s="138"/>
      <c r="C45" s="104">
        <f>+SUM(C65:C72)</f>
        <v>0</v>
      </c>
      <c r="D45" s="80">
        <f>+SUM(D65:D72)</f>
        <v>295000</v>
      </c>
      <c r="E45" s="27">
        <f>SUM(E65:E69)+SUM(E71:E72)</f>
        <v>165000</v>
      </c>
      <c r="F45" s="27">
        <f t="shared" ref="F45:J45" si="17">SUM(F65:F69)+SUM(F71:F72)</f>
        <v>165000</v>
      </c>
      <c r="G45" s="27">
        <f t="shared" si="17"/>
        <v>165000</v>
      </c>
      <c r="H45" s="27">
        <f t="shared" si="17"/>
        <v>165000</v>
      </c>
      <c r="I45" s="27">
        <f t="shared" si="17"/>
        <v>165000</v>
      </c>
      <c r="J45" s="27">
        <f t="shared" si="17"/>
        <v>165000</v>
      </c>
      <c r="K45" s="11"/>
      <c r="L45" s="7"/>
    </row>
    <row r="46" spans="1:17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  <v>365.66866419522893</v>
      </c>
      <c r="F46" s="28">
        <f t="shared" si="18"/>
        <v>365.66866419522893</v>
      </c>
      <c r="G46" s="28">
        <f t="shared" si="18"/>
        <v>365.66866419522893</v>
      </c>
      <c r="H46" s="28">
        <f t="shared" si="18"/>
        <v>365.66866419522893</v>
      </c>
      <c r="I46" s="28">
        <f t="shared" si="18"/>
        <v>365.66866419522904</v>
      </c>
      <c r="J46" s="28">
        <f t="shared" si="18"/>
        <v>365.66866419522904</v>
      </c>
      <c r="K46" s="11"/>
      <c r="L46" s="7"/>
    </row>
    <row r="47" spans="1:17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  <v>1543.5618707130554</v>
      </c>
      <c r="F47" s="28">
        <f t="shared" si="19"/>
        <v>780.96880363458149</v>
      </c>
      <c r="G47" s="28">
        <f t="shared" si="19"/>
        <v>527.0774691598258</v>
      </c>
      <c r="H47" s="28">
        <f t="shared" si="19"/>
        <v>500.47207794768673</v>
      </c>
      <c r="I47" s="28">
        <f t="shared" si="19"/>
        <v>405.71070338454678</v>
      </c>
      <c r="J47" s="28">
        <f>+J51/J35</f>
        <v>342.77212998107512</v>
      </c>
      <c r="K47" s="11"/>
      <c r="L47" s="7"/>
    </row>
    <row r="48" spans="1:17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  <v>1.8709840857127947E-2</v>
      </c>
      <c r="F48" s="32">
        <f t="shared" si="20"/>
        <v>9.4662885289040176E-3</v>
      </c>
      <c r="G48" s="32">
        <f t="shared" si="20"/>
        <v>1.5972044519994722E-2</v>
      </c>
      <c r="H48" s="32">
        <f t="shared" si="20"/>
        <v>2.1232148761417012E-2</v>
      </c>
      <c r="I48" s="32">
        <f t="shared" si="20"/>
        <v>1.9670821982281057E-2</v>
      </c>
      <c r="J48" s="32">
        <f t="shared" si="20"/>
        <v>1.8696661635331371E-2</v>
      </c>
      <c r="K48" s="11"/>
      <c r="L48" s="7"/>
    </row>
    <row r="49" spans="1:12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  <v>82500</v>
      </c>
      <c r="F49" s="28">
        <f t="shared" ref="F49:J49" si="21">+IFERROR(F51/SUM(F36:F39),0)</f>
        <v>82500</v>
      </c>
      <c r="G49" s="28">
        <f t="shared" si="21"/>
        <v>33000</v>
      </c>
      <c r="H49" s="28">
        <f t="shared" si="21"/>
        <v>23571.428571428572</v>
      </c>
      <c r="I49" s="28">
        <f t="shared" si="21"/>
        <v>20625</v>
      </c>
      <c r="J49" s="28">
        <f t="shared" si="21"/>
        <v>18333.333333333332</v>
      </c>
      <c r="K49" s="11"/>
      <c r="L49" s="7"/>
    </row>
    <row r="50" spans="1:12" x14ac:dyDescent="0.55000000000000004">
      <c r="A50" s="139" t="s">
        <v>115</v>
      </c>
      <c r="B50" s="140"/>
      <c r="C50" s="105"/>
      <c r="D50" s="64" t="s">
        <v>21</v>
      </c>
      <c r="E50" s="65">
        <f>+E36*$D$8+E38*$D$10</f>
        <v>0</v>
      </c>
      <c r="F50" s="65">
        <f t="shared" ref="F50:J50" si="22">+F36*$D$8+F38*$D$10</f>
        <v>0</v>
      </c>
      <c r="G50" s="65">
        <f t="shared" si="22"/>
        <v>0</v>
      </c>
      <c r="H50" s="65">
        <f t="shared" si="22"/>
        <v>0</v>
      </c>
      <c r="I50" s="65">
        <f t="shared" si="22"/>
        <v>0</v>
      </c>
      <c r="J50" s="65">
        <f t="shared" si="22"/>
        <v>0</v>
      </c>
      <c r="K50" s="11"/>
      <c r="L50" s="7"/>
    </row>
    <row r="51" spans="1:12" x14ac:dyDescent="0.55000000000000004">
      <c r="A51" s="135" t="s">
        <v>68</v>
      </c>
      <c r="B51" s="136"/>
      <c r="C51" s="110">
        <f>+C45</f>
        <v>0</v>
      </c>
      <c r="D51" s="40">
        <f>+D45</f>
        <v>295000</v>
      </c>
      <c r="E51" s="40">
        <f>SUM(E45,E50)+E44</f>
        <v>165000</v>
      </c>
      <c r="F51" s="40">
        <f t="shared" ref="F51:I51" si="23">SUM(F45,F50)+F44</f>
        <v>165000</v>
      </c>
      <c r="G51" s="40">
        <f t="shared" si="23"/>
        <v>165000</v>
      </c>
      <c r="H51" s="40">
        <f t="shared" si="23"/>
        <v>165000</v>
      </c>
      <c r="I51" s="40">
        <f t="shared" si="23"/>
        <v>165000</v>
      </c>
      <c r="J51" s="40">
        <f>SUM(J45,J50)+J44</f>
        <v>165000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  <v>295000</v>
      </c>
      <c r="E55" s="27">
        <f>SUM(E65:E72)+E54</f>
        <v>165000</v>
      </c>
      <c r="F55" s="27">
        <f t="shared" ref="F55:J55" si="25">SUM(F65:F72)+F54</f>
        <v>165000</v>
      </c>
      <c r="G55" s="27">
        <f t="shared" si="25"/>
        <v>165000</v>
      </c>
      <c r="H55" s="27">
        <f t="shared" si="25"/>
        <v>165000</v>
      </c>
      <c r="I55" s="27">
        <f t="shared" si="25"/>
        <v>165000</v>
      </c>
      <c r="J55" s="27">
        <f t="shared" si="25"/>
        <v>165000</v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  <v>365.66866419522893</v>
      </c>
      <c r="F56" s="28">
        <f t="shared" si="26"/>
        <v>365.66866419522893</v>
      </c>
      <c r="G56" s="28">
        <f t="shared" si="26"/>
        <v>365.66866419522893</v>
      </c>
      <c r="H56" s="28">
        <f t="shared" si="26"/>
        <v>365.66866419522893</v>
      </c>
      <c r="I56" s="28">
        <f t="shared" si="26"/>
        <v>365.66866419522904</v>
      </c>
      <c r="J56" s="28">
        <f t="shared" si="26"/>
        <v>365.66866419522904</v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  <v>1543.5618707130554</v>
      </c>
      <c r="F57" s="28">
        <f t="shared" ref="F57:J57" si="27">+F61/F35</f>
        <v>780.96880363458149</v>
      </c>
      <c r="G57" s="28">
        <f t="shared" si="27"/>
        <v>527.0774691598258</v>
      </c>
      <c r="H57" s="28">
        <f t="shared" si="27"/>
        <v>500.47207794768673</v>
      </c>
      <c r="I57" s="28">
        <f t="shared" si="27"/>
        <v>405.71070338454678</v>
      </c>
      <c r="J57" s="28">
        <f t="shared" si="27"/>
        <v>342.77212998107512</v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  <v>1.8709840857127947E-2</v>
      </c>
      <c r="F58" s="32">
        <f t="shared" si="28"/>
        <v>9.4662885289040176E-3</v>
      </c>
      <c r="G58" s="32">
        <f t="shared" si="28"/>
        <v>1.5972044519994722E-2</v>
      </c>
      <c r="H58" s="32">
        <f t="shared" si="28"/>
        <v>2.1232148761417012E-2</v>
      </c>
      <c r="I58" s="32">
        <f t="shared" si="28"/>
        <v>1.9670821982281057E-2</v>
      </c>
      <c r="J58" s="32">
        <f t="shared" si="28"/>
        <v>1.8696661635331371E-2</v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  <v>82500</v>
      </c>
      <c r="F59" s="28">
        <f t="shared" ref="F59:J59" si="29">+IFERROR(F55/F40,0)</f>
        <v>82500</v>
      </c>
      <c r="G59" s="28">
        <f t="shared" si="29"/>
        <v>33000</v>
      </c>
      <c r="H59" s="28">
        <f t="shared" si="29"/>
        <v>23571.428571428572</v>
      </c>
      <c r="I59" s="28">
        <f t="shared" si="29"/>
        <v>20625</v>
      </c>
      <c r="J59" s="28">
        <f t="shared" si="29"/>
        <v>18333.333333333332</v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  <v>295000</v>
      </c>
      <c r="E61" s="40">
        <f>+SUM(E65:E72)+E54</f>
        <v>165000</v>
      </c>
      <c r="F61" s="40">
        <f t="shared" ref="F61:J61" si="30">+SUM(F65:F72)+F54</f>
        <v>165000</v>
      </c>
      <c r="G61" s="40">
        <f t="shared" si="30"/>
        <v>165000</v>
      </c>
      <c r="H61" s="40">
        <f t="shared" si="30"/>
        <v>165000</v>
      </c>
      <c r="I61" s="40">
        <f t="shared" si="30"/>
        <v>165000</v>
      </c>
      <c r="J61" s="40">
        <f t="shared" si="30"/>
        <v>165000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100000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s">
        <v>192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295000</v>
      </c>
      <c r="E73" s="114">
        <f t="shared" ref="E73:J73" si="32">SUM(E65:E72)+E54</f>
        <v>165000</v>
      </c>
      <c r="F73" s="114">
        <f t="shared" si="32"/>
        <v>165000</v>
      </c>
      <c r="G73" s="114">
        <f t="shared" si="32"/>
        <v>165000</v>
      </c>
      <c r="H73" s="114">
        <f t="shared" si="32"/>
        <v>165000</v>
      </c>
      <c r="I73" s="114">
        <f t="shared" si="32"/>
        <v>165000</v>
      </c>
      <c r="J73" s="114">
        <f t="shared" si="32"/>
        <v>165000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 t="str">
        <f>+SIM!D24</f>
        <v>--</v>
      </c>
      <c r="D4" s="28">
        <f>+SIM!G51</f>
        <v>165000</v>
      </c>
      <c r="E4" s="28">
        <f>+SIM!J51</f>
        <v>165000</v>
      </c>
      <c r="F4" s="28"/>
    </row>
    <row r="5" spans="1:25" x14ac:dyDescent="0.55000000000000004">
      <c r="A5" s="85" t="s">
        <v>140</v>
      </c>
      <c r="B5" s="7"/>
      <c r="C5" s="86" t="str">
        <f>+SIM!D25</f>
        <v>--</v>
      </c>
      <c r="D5" s="28">
        <f>+SIM!G61</f>
        <v>165000</v>
      </c>
      <c r="E5" s="28">
        <f>+SIM!J61</f>
        <v>165000</v>
      </c>
      <c r="F5" s="27"/>
    </row>
    <row r="6" spans="1:25" x14ac:dyDescent="0.55000000000000004">
      <c r="A6" s="85" t="s">
        <v>74</v>
      </c>
      <c r="B6" s="7"/>
      <c r="C6" s="117">
        <f>+SIM!D28</f>
        <v>0</v>
      </c>
      <c r="D6" s="87">
        <f>+SIM!G28</f>
        <v>492.24890625000006</v>
      </c>
      <c r="E6" s="87">
        <f>+SIM!J28</f>
        <v>984.49781250000001</v>
      </c>
      <c r="F6" s="10"/>
    </row>
    <row r="7" spans="1:25" x14ac:dyDescent="0.55000000000000004">
      <c r="A7" s="85" t="s">
        <v>75</v>
      </c>
      <c r="B7" s="7"/>
      <c r="C7" s="88">
        <f>+SIM!D27</f>
        <v>0</v>
      </c>
      <c r="D7" s="89">
        <f>+SIM!G27</f>
        <v>0.33619999999999994</v>
      </c>
      <c r="E7" s="89">
        <f>+SIM!J27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+SIM!D29</f>
        <v>0</v>
      </c>
      <c r="D8" s="10">
        <f>+SIM!G29</f>
        <v>326.75482396875009</v>
      </c>
      <c r="E8" s="10">
        <f>+SIM!J29</f>
        <v>628.05976109668677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+SIM!D34</f>
        <v>0</v>
      </c>
      <c r="D10" s="10">
        <f>+SIM!G34</f>
        <v>1307.0192958750004</v>
      </c>
      <c r="E10" s="10">
        <f>+SIM!J34</f>
        <v>2009.7912355093979</v>
      </c>
      <c r="F10" s="10"/>
    </row>
    <row r="11" spans="1:25" x14ac:dyDescent="0.55000000000000004">
      <c r="A11" s="85" t="s">
        <v>79</v>
      </c>
      <c r="B11" s="7"/>
      <c r="C11" s="117">
        <f>+SIM!D35</f>
        <v>0</v>
      </c>
      <c r="D11" s="10">
        <f>+SIM!G35</f>
        <v>313.04696112890952</v>
      </c>
      <c r="E11" s="10">
        <f>+SIM!J35</f>
        <v>481.36935756448418</v>
      </c>
      <c r="F11" s="10"/>
    </row>
    <row r="12" spans="1:25" x14ac:dyDescent="0.55000000000000004">
      <c r="A12" s="85" t="s">
        <v>146</v>
      </c>
      <c r="B12" s="7"/>
      <c r="C12" s="28">
        <f>+IFERROR(C5/C11,0)</f>
        <v>0</v>
      </c>
      <c r="D12" s="28">
        <f>+D4/D11</f>
        <v>527.0774691598258</v>
      </c>
      <c r="E12" s="28">
        <f t="shared" ref="E12" si="0">+E4/E11</f>
        <v>342.77212998107512</v>
      </c>
      <c r="F12" s="28"/>
    </row>
    <row r="13" spans="1:25" x14ac:dyDescent="0.55000000000000004">
      <c r="A13" s="85" t="s">
        <v>147</v>
      </c>
      <c r="B13" s="7"/>
      <c r="C13" s="28">
        <f>+IFERROR(C6/C12,0)</f>
        <v>0</v>
      </c>
      <c r="D13" s="28">
        <f>+D5/D11</f>
        <v>527.0774691598258</v>
      </c>
      <c r="E13" s="28">
        <f t="shared" ref="E13" si="1">+E5/E11</f>
        <v>342.77212998107512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+SIM!$H$10</f>
        <v>89</v>
      </c>
      <c r="D15" s="87">
        <f>+SIM!$H$10</f>
        <v>89</v>
      </c>
      <c r="E15" s="87">
        <f>+SIM!$H$10</f>
        <v>89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5</v>
      </c>
      <c r="E16" s="87">
        <f>SUM(E17:E20)</f>
        <v>9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193</v>
      </c>
      <c r="B17" s="7"/>
      <c r="C17" s="87">
        <f>+SIM!D36</f>
        <v>0</v>
      </c>
      <c r="D17" s="87">
        <f>+SIM!G36</f>
        <v>4</v>
      </c>
      <c r="E17" s="87">
        <f>+SIM!J36</f>
        <v>6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+SIM!D37</f>
        <v>0</v>
      </c>
      <c r="D18" s="87">
        <f>+SIM!G37</f>
        <v>0</v>
      </c>
      <c r="E18" s="87">
        <f>+SIM!J37</f>
        <v>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194</v>
      </c>
      <c r="B19" s="7"/>
      <c r="C19" s="87">
        <f>+SIM!D38</f>
        <v>0</v>
      </c>
      <c r="D19" s="87">
        <f>+SIM!G38</f>
        <v>1</v>
      </c>
      <c r="E19" s="87">
        <f>+SIM!J38</f>
        <v>3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+SIM!D39</f>
        <v>0</v>
      </c>
      <c r="D20" s="87">
        <f>+SIM!G39</f>
        <v>0</v>
      </c>
      <c r="E20" s="87">
        <f>+SIM!J39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33000</v>
      </c>
      <c r="E22" s="90">
        <f t="shared" si="2"/>
        <v>18333.333333333332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33000</v>
      </c>
      <c r="E23" s="90">
        <f t="shared" ref="E23" si="4">+IFERROR(E5/E16,"--")</f>
        <v>18333.333333333332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+SIM!E68+C29*C30</f>
        <v>5000</v>
      </c>
      <c r="D25" s="10">
        <f>+SIM!G68+D29*D30</f>
        <v>5000</v>
      </c>
      <c r="E25" s="10">
        <f>+SIM!J68+E29*E30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2026-10-20T15:55:09Z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
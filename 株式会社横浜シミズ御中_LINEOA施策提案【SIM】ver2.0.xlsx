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DE04A555-0F5C-46B0-AE5A-53A40C66D669}" xr6:coauthVersionLast="47" xr6:coauthVersionMax="47" xr10:uidLastSave="{00000000-0000-0000-0000-000000000000}"/>
  <bookViews>
    <workbookView xWindow="-110" yWindow="-110" windowWidth="19420" windowHeight="11500" xr2:uid="{02433765-3560-48F5-BC99-B30FC64129A4}"/>
  </bookViews>
  <sheets>
    <sheet name="SIM" sheetId="1" r:id="rId1"/>
    <sheet name="SIM_比較" sheetId="2" r:id="rId2"/>
    <sheet name="SIM考え方" sheetId="3" r:id="rId3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E22" i="3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Q33" i="1"/>
  <c r="Q32" i="1"/>
  <c r="D29" i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G27" i="1"/>
  <c r="H27" i="1" s="1"/>
  <c r="I27" i="1" s="1"/>
  <c r="J27" i="1" s="1"/>
  <c r="P36" i="1" l="1"/>
  <c r="E7" i="2"/>
  <c r="D7" i="2"/>
  <c r="C23" i="2"/>
  <c r="C22" i="2"/>
  <c r="K40" i="1"/>
  <c r="C8" i="2"/>
  <c r="D34" i="1"/>
  <c r="D31" i="1"/>
  <c r="D35" i="1" s="1"/>
  <c r="F16" i="1"/>
  <c r="E24" i="1"/>
  <c r="F14" i="1"/>
  <c r="E23" i="1"/>
  <c r="D75" i="1" l="1"/>
  <c r="C10" i="2"/>
  <c r="C29" i="2" s="1"/>
  <c r="C30" i="2" s="1"/>
  <c r="D41" i="1"/>
  <c r="C11" i="2"/>
  <c r="C12" i="2" s="1"/>
  <c r="C13" i="2" s="1"/>
  <c r="G16" i="1"/>
  <c r="F24" i="1"/>
  <c r="G14" i="1"/>
  <c r="F23" i="1"/>
  <c r="F26" i="1" s="1"/>
  <c r="E26" i="1"/>
  <c r="E28" i="1" s="1"/>
  <c r="D76" i="1" l="1"/>
  <c r="D54" i="1" s="1"/>
  <c r="H16" i="1"/>
  <c r="G24" i="1"/>
  <c r="H14" i="1"/>
  <c r="G23" i="1"/>
  <c r="G26" i="1" s="1"/>
  <c r="E56" i="1"/>
  <c r="E46" i="1"/>
  <c r="E29" i="1"/>
  <c r="F28" i="1"/>
  <c r="I16" i="1" l="1"/>
  <c r="H24" i="1"/>
  <c r="I14" i="1"/>
  <c r="H23" i="1"/>
  <c r="H26" i="1" s="1"/>
  <c r="E31" i="1"/>
  <c r="E33" i="1"/>
  <c r="E34" i="1"/>
  <c r="G28" i="1"/>
  <c r="F29" i="1"/>
  <c r="F46" i="1"/>
  <c r="F56" i="1"/>
  <c r="J16" i="1" l="1"/>
  <c r="J24" i="1" s="1"/>
  <c r="I24" i="1"/>
  <c r="J14" i="1"/>
  <c r="J23" i="1" s="1"/>
  <c r="I23" i="1"/>
  <c r="I26" i="1" s="1"/>
  <c r="E75" i="1"/>
  <c r="E68" i="1"/>
  <c r="H28" i="1"/>
  <c r="G29" i="1"/>
  <c r="G46" i="1"/>
  <c r="G56" i="1"/>
  <c r="D6" i="2"/>
  <c r="F31" i="1"/>
  <c r="F33" i="1"/>
  <c r="F34" i="1"/>
  <c r="E35" i="1"/>
  <c r="J26" i="1" l="1"/>
  <c r="E76" i="1"/>
  <c r="C25" i="2"/>
  <c r="E45" i="1"/>
  <c r="I28" i="1"/>
  <c r="H29" i="1"/>
  <c r="H46" i="1"/>
  <c r="H56" i="1"/>
  <c r="G31" i="1"/>
  <c r="G33" i="1"/>
  <c r="D8" i="2"/>
  <c r="G34" i="1"/>
  <c r="F75" i="1"/>
  <c r="F68" i="1"/>
  <c r="F45" i="1" s="1"/>
  <c r="E58" i="1"/>
  <c r="E41" i="1"/>
  <c r="E48" i="1"/>
  <c r="F35" i="1"/>
  <c r="E54" i="1" l="1"/>
  <c r="E44" i="1"/>
  <c r="E51" i="1" s="1"/>
  <c r="J28" i="1"/>
  <c r="I29" i="1"/>
  <c r="I46" i="1"/>
  <c r="I56" i="1"/>
  <c r="H31" i="1"/>
  <c r="H33" i="1"/>
  <c r="H34" i="1"/>
  <c r="G75" i="1"/>
  <c r="G68" i="1"/>
  <c r="D10" i="2"/>
  <c r="D29" i="2" s="1"/>
  <c r="D30" i="2" s="1"/>
  <c r="F76" i="1"/>
  <c r="F58" i="1"/>
  <c r="F48" i="1"/>
  <c r="F41" i="1"/>
  <c r="G35" i="1"/>
  <c r="E61" i="1" l="1"/>
  <c r="E57" i="1" s="1"/>
  <c r="E55" i="1"/>
  <c r="E59" i="1" s="1"/>
  <c r="E73" i="1"/>
  <c r="F54" i="1"/>
  <c r="F44" i="1"/>
  <c r="F51" i="1" s="1"/>
  <c r="E47" i="1"/>
  <c r="E49" i="1"/>
  <c r="J29" i="1"/>
  <c r="J46" i="1"/>
  <c r="J56" i="1"/>
  <c r="E6" i="2"/>
  <c r="I31" i="1"/>
  <c r="I33" i="1"/>
  <c r="I34" i="1"/>
  <c r="H68" i="1"/>
  <c r="H45" i="1" s="1"/>
  <c r="H75" i="1"/>
  <c r="G76" i="1"/>
  <c r="D25" i="2"/>
  <c r="G45" i="1"/>
  <c r="F61" i="1"/>
  <c r="F57" i="1" s="1"/>
  <c r="D11" i="2"/>
  <c r="G58" i="1"/>
  <c r="G48" i="1"/>
  <c r="G41" i="1"/>
  <c r="H35" i="1"/>
  <c r="F55" i="1" l="1"/>
  <c r="F59" i="1" s="1"/>
  <c r="F73" i="1"/>
  <c r="F49" i="1"/>
  <c r="F47" i="1"/>
  <c r="G54" i="1"/>
  <c r="G44" i="1"/>
  <c r="G51" i="1" s="1"/>
  <c r="J31" i="1"/>
  <c r="J33" i="1"/>
  <c r="E8" i="2"/>
  <c r="J34" i="1"/>
  <c r="I68" i="1"/>
  <c r="I45" i="1" s="1"/>
  <c r="I75" i="1"/>
  <c r="H76" i="1"/>
  <c r="H58" i="1"/>
  <c r="H48" i="1"/>
  <c r="H41" i="1"/>
  <c r="I35" i="1"/>
  <c r="G73" i="1" l="1"/>
  <c r="G55" i="1"/>
  <c r="G59" i="1" s="1"/>
  <c r="G61" i="1"/>
  <c r="H54" i="1"/>
  <c r="H44" i="1"/>
  <c r="H51" i="1" s="1"/>
  <c r="J68" i="1"/>
  <c r="J75" i="1"/>
  <c r="E10" i="2"/>
  <c r="E29" i="2" s="1"/>
  <c r="E30" i="2" s="1"/>
  <c r="I76" i="1"/>
  <c r="I58" i="1"/>
  <c r="I48" i="1"/>
  <c r="I41" i="1"/>
  <c r="G49" i="1"/>
  <c r="G47" i="1"/>
  <c r="D4" i="2"/>
  <c r="J35" i="1"/>
  <c r="H55" i="1" l="1"/>
  <c r="H59" i="1" s="1"/>
  <c r="H61" i="1"/>
  <c r="H57" i="1" s="1"/>
  <c r="H73" i="1"/>
  <c r="D5" i="2"/>
  <c r="G57" i="1"/>
  <c r="H47" i="1"/>
  <c r="H49" i="1"/>
  <c r="I54" i="1"/>
  <c r="I55" i="1" s="1"/>
  <c r="I59" i="1" s="1"/>
  <c r="I44" i="1"/>
  <c r="I51" i="1" s="1"/>
  <c r="E25" i="2"/>
  <c r="J45" i="1"/>
  <c r="J76" i="1"/>
  <c r="D22" i="2"/>
  <c r="D12" i="2"/>
  <c r="E11" i="2"/>
  <c r="J58" i="1"/>
  <c r="J48" i="1"/>
  <c r="J41" i="1"/>
  <c r="D13" i="2" l="1"/>
  <c r="D23" i="2"/>
  <c r="I47" i="1"/>
  <c r="I49" i="1"/>
  <c r="I61" i="1"/>
  <c r="I57" i="1" s="1"/>
  <c r="I73" i="1"/>
  <c r="J44" i="1"/>
  <c r="J51" i="1" s="1"/>
  <c r="J54" i="1"/>
  <c r="J47" i="1"/>
  <c r="J55" i="1"/>
  <c r="J59" i="1" s="1"/>
  <c r="J49" i="1" l="1"/>
  <c r="E4" i="2"/>
  <c r="J61" i="1"/>
  <c r="J73" i="1"/>
  <c r="E12" i="2" l="1"/>
  <c r="E22" i="2"/>
  <c r="E5" i="2"/>
  <c r="J57" i="1"/>
  <c r="E13" i="2" l="1"/>
  <c r="E23" i="2"/>
</calcChain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<sst xmlns="http://schemas.openxmlformats.org/spreadsheetml/2006/main" count="280" uniqueCount="195">
  <si>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</si>
  <si>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</si>
  <si>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</si>
  <si>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</si>
  <si>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</si>
  <si>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</si>
  <si>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</si>
  <si>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</si>
  <si>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</si>
  <si>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</si>
  <si>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</si>
  <si>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</si>
  <si>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</si>
  <si>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</si>
  <si>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</si>
  <si>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</si>
  <si>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</si>
  <si>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</si>
  <si>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</si>
  <si>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</si>
  <si>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</si>
  <si>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</si>
  <si>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</si>
  <si>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</si>
  <si>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</si>
  <si>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</si>
  <si>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</si>
  <si>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</si>
  <si>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</si>
  <si>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</si>
  <si>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</si>
  <si>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</si>
  <si>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</si>
  <si>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</si>
  <si>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</si>
  <si>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</si>
  <si>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</si>
  <si>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</si>
  <si>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</si>
  <si>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</si>
  <si>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</si>
  <si>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</si>
  <si>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</si>
  <si>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</si>
  <si>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</si>
  <si>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</si>
  <si>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</si>
  <si>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</si>
  <si>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</si>
  <si>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</si>
  <si>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</si>
  <si>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</si>
  <si>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</si>
  <si>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</si>
  <si>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</si>
  <si>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</si>
  <si>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</si>
  <si>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</si>
  <si>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</si>
  <si>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</si>
  <si>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</si>
  <si>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</si>
  <si>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</si>
  <si>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</si>
  <si>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</si>
  <si>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</si>
  <si>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</si>
  <si>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</si>
  <si>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</si>
  <si>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</si>
  <si>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</si>
  <si>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</si>
  <si>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</si>
  <si>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</si>
  <si>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</si>
  <si>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</si>
  <si>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</si>
  <si>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</si>
  <si>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</si>
  <si>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</si>
  <si>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</si>
  <si>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</si>
  <si>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</si>
  <si>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</si>
  <si>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</si>
  <si>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</si>
  <si>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</si>
  <si>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</si>
  <si>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</si>
  <si>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</si>
  <si>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</si>
  <si>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</si>
  <si>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</si>
  <si>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</si>
  <si>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</si>
  <si>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</si>
  <si>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</si>
  <si>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</si>
  <si>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</si>
  <si>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</si>
  <si>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</si>
  <si>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</si>
  <si>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</si>
  <si>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</si>
  <si>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</si>
  <si>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</si>
  <si>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</si>
  <si>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</si>
  <si>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</si>
  <si>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</si>
  <si>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</si>
  <si>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</si>
  <si>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</si>
  <si>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</si>
  <si>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</si>
  <si>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</si>
  <si>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</si>
  <si>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</si>
  <si>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</si>
  <si>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</si>
  <si>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</si>
  <si>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</si>
  <si>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</si>
  <si>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</si>
  <si>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</si>
  <si>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</si>
  <si>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</si>
  <si>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</si>
  <si>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</si>
  <si>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</si>
  <si>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</si>
  <si>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</si>
  <si>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</si>
  <si>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</si>
  <si>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</si>
  <si>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</si>
  <si>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</si>
  <si>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</si>
  <si>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</si>
  <si>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</si>
  <si>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</si>
  <si>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</si>
  <si>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</si>
  <si>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</si>
  <si>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</si>
  <si>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</si>
  <si>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</si>
  <si>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</si>
  <si>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</si>
  <si>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</si>
  <si>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</si>
  <si>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</si>
  <si>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</si>
  <si>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</si>
  <si>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</si>
  <si>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</si>
  <si>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</si>
  <si>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</si>
  <si>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</si>
  <si>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</si>
  <si>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</si>
  <si>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</si>
  <si>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</si>
  <si>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</si>
  <si>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</si>
  <si>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</si>
  <si>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</si>
  <si>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</si>
  <si>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</si>
  <si>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</si>
  <si>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</si>
  <si>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</si>
  <si>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</si>
  <si>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</si>
  <si>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</si>
  <si>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</si>
  <si>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</si>
  <si>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</si>
  <si>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株式会社横浜シミズ御中_LINEOA施策提案【SIM】（サイトのLINEボタン＋サンクスLINE誘導）</t>
  </si>
  <si>
    <t>新規応募</t>
  </si>
  <si>
    <t>CV①新規応募：サイトのLINEボタンで友だちになった方（応募前）が、配信から応募した数。サンクスLINE誘導で友だちになった方は応募済みなので、新規応募には数えない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</si>
  <si>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</si>
  <si>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</si>
  <si>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</si>
  <si>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サイトのLINEボタン（UUの0.5%・FMTの係数）＋サンクスLINE誘導。離脱防止は入れていない</t>
  </si>
  <si>
    <t>ブロック率：1か月目（E27）から、2か月目以降は前の月×1.025（式）</t>
  </si>
  <si>
    <t>企画配信 月4回（週1回。次回イベントの募集・会場の案内）</t>
  </si>
  <si>
    <t>ステップ配信は入れていない（資料に無いため）</t>
  </si>
  <si>
    <t>新規応募：合計CVでクリックの0.3〜1.0%前後になるように置く</t>
  </si>
  <si>
    <t>再応募：一度勤務した方が、次回イベントの募集から勤務希望を出した数（応募→勤務を経てからなので4か月目から）</t>
  </si>
  <si>
    <t>離脱防止ポップアップ：入れていない（入れる場合 初期1.5万円・月3万円）</t>
  </si>
  <si>
    <t>LINE運用（運用代行・効率改善）</t>
  </si>
  <si>
    <t>LINE運用：資料の金額（初期構築10万円・月10万円）</t>
  </si>
  <si>
    <t>CV①_新規応募</t>
  </si>
  <si>
    <t>CV③_再応募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</si>
</sst>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16" zoomScale="70" zoomScaleNormal="55" workbookViewId="0">
      <selection activeCell="I34" sqref="I3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179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s">
        <v>180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181</v>
      </c>
      <c r="D10" s="33">
        <v>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182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183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サイトのLINEボタン（UUの0.5%・FMTの係数）＋離脱防止ポップアップ＋サンクスLINE誘導</t>
        </is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185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186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inlineStr">
        <is>
          <t xml:space="preserve">ステップ配信 4通（あいさつメッセージの後、友だち追加から14日以内）</t>
        </is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0</v>
      </c>
      <c r="F36" s="111">
        <v>0</v>
      </c>
      <c r="G36" s="111">
        <v>1</v>
      </c>
      <c r="H36" s="111">
        <v>0</v>
      </c>
      <c r="I36" s="111">
        <v>1</v>
      </c>
      <c r="J36" s="111">
        <v>1</v>
      </c>
      <c r="K36" s="115">
        <f>SUM(E36:J36)</f>
      </c>
      <c r="L36" s="7"/>
      <c r="N36" s="69" t="s">
        <v>188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1</v>
      </c>
      <c r="I38" s="111">
        <v>0</v>
      </c>
      <c r="J38" s="111">
        <v>1</v>
      </c>
      <c r="K38" s="115">
        <f>SUM(E38:J38)</f>
      </c>
      <c r="L38" s="7"/>
      <c r="N38" s="69" t="s">
        <v>189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>
      <c r="A45" s="137" t="s">
        <v>131</v>
      </c>
      <c r="B45" s="138"/>
      <c r="C45" s="104">
        <f>+SUM(C65:C72)</f>
      </c>
      <c r="D45" s="80">
        <f>+SUM(D65:D72)</f>
      </c>
      <c r="E45" s="27">
        <f>SUM(E65:E69)+SUM(E71:E72)</f>
      </c>
      <c r="F45" s="27">
        <f t="shared" ref="F45:J45" si="17">SUM(F65:F69)+SUM(F71:F72)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100000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s">
        <v>192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 t="str">
        <f>+SIM!D24</f>
        <v>--</v>
      </c>
      <c r="D4" s="28">
        <f>+SIM!G51</f>
        <v>135000</v>
      </c>
      <c r="E4" s="28">
        <f>+SIM!J51</f>
        <v>135000</v>
      </c>
      <c r="F4" s="28"/>
    </row>
    <row r="5" spans="1:25" x14ac:dyDescent="0.55000000000000004">
      <c r="A5" s="85" t="s">
        <v>140</v>
      </c>
      <c r="B5" s="7"/>
      <c r="C5" s="86" t="str">
        <f>+SIM!D25</f>
        <v>--</v>
      </c>
      <c r="D5" s="28">
        <f>+SIM!G61</f>
        <v>135000</v>
      </c>
      <c r="E5" s="28">
        <f>+SIM!J61</f>
        <v>135000</v>
      </c>
      <c r="F5" s="27"/>
    </row>
    <row r="6" spans="1:25" x14ac:dyDescent="0.55000000000000004">
      <c r="A6" s="85" t="s">
        <v>74</v>
      </c>
      <c r="B6" s="7"/>
      <c r="C6" s="117">
        <f>+SIM!D28</f>
        <v>0</v>
      </c>
      <c r="D6" s="87">
        <f>+SIM!G28</f>
        <v>492.24890625000006</v>
      </c>
      <c r="E6" s="87">
        <f>+SIM!J28</f>
        <v>984.49781250000001</v>
      </c>
      <c r="F6" s="10"/>
    </row>
    <row r="7" spans="1:25" x14ac:dyDescent="0.55000000000000004">
      <c r="A7" s="85" t="s">
        <v>75</v>
      </c>
      <c r="B7" s="7"/>
      <c r="C7" s="88">
        <f>+SIM!D27</f>
        <v>0</v>
      </c>
      <c r="D7" s="89">
        <f>+SIM!G27</f>
        <v>0.33619999999999994</v>
      </c>
      <c r="E7" s="89">
        <f>+SIM!J27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+SIM!D29</f>
        <v>0</v>
      </c>
      <c r="D8" s="10">
        <f>+SIM!G29</f>
        <v>326.75482396875009</v>
      </c>
      <c r="E8" s="10">
        <f>+SIM!J29</f>
        <v>628.05976109668677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+SIM!D34</f>
        <v>0</v>
      </c>
      <c r="D10" s="10">
        <f>+SIM!G34</f>
        <v>1307.0192958750004</v>
      </c>
      <c r="E10" s="10">
        <f>+SIM!J34</f>
        <v>2009.7912355093979</v>
      </c>
      <c r="F10" s="10"/>
    </row>
    <row r="11" spans="1:25" x14ac:dyDescent="0.55000000000000004">
      <c r="A11" s="85" t="s">
        <v>79</v>
      </c>
      <c r="B11" s="7"/>
      <c r="C11" s="117">
        <f>+SIM!D35</f>
        <v>0</v>
      </c>
      <c r="D11" s="10">
        <f>+SIM!G35</f>
        <v>313.04696112890952</v>
      </c>
      <c r="E11" s="10">
        <f>+SIM!J35</f>
        <v>481.36935756448418</v>
      </c>
      <c r="F11" s="10"/>
    </row>
    <row r="12" spans="1:25" x14ac:dyDescent="0.55000000000000004">
      <c r="A12" s="85" t="s">
        <v>146</v>
      </c>
      <c r="B12" s="7"/>
      <c r="C12" s="28">
        <f>+IFERROR(C5/C11,0)</f>
        <v>0</v>
      </c>
      <c r="D12" s="28">
        <f>+D4/D11</f>
        <v>431.24520203985747</v>
      </c>
      <c r="E12" s="28">
        <f t="shared" ref="E12" si="0">+E4/E11</f>
        <v>280.44992452997059</v>
      </c>
      <c r="F12" s="28"/>
    </row>
    <row r="13" spans="1:25" x14ac:dyDescent="0.55000000000000004">
      <c r="A13" s="85" t="s">
        <v>147</v>
      </c>
      <c r="B13" s="7"/>
      <c r="C13" s="28">
        <f>+IFERROR(C6/C12,0)</f>
        <v>0</v>
      </c>
      <c r="D13" s="28">
        <f>+D5/D11</f>
        <v>431.24520203985747</v>
      </c>
      <c r="E13" s="28">
        <f t="shared" ref="E13" si="1">+E5/E11</f>
        <v>280.44992452997059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+SIM!$H$10</f>
        <v>89</v>
      </c>
      <c r="D15" s="87">
        <f>+SIM!$H$10</f>
        <v>89</v>
      </c>
      <c r="E15" s="87">
        <f>+SIM!$H$10</f>
        <v>89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1</v>
      </c>
      <c r="E16" s="87">
        <f>SUM(E17:E20)</f>
        <v>2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193</v>
      </c>
      <c r="B17" s="7"/>
      <c r="C17" s="87">
        <f>+SIM!D36</f>
        <v>0</v>
      </c>
      <c r="D17" s="87">
        <f>+SIM!G36</f>
        <v>1</v>
      </c>
      <c r="E17" s="87">
        <f>+SIM!J36</f>
        <v>1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+SIM!D37</f>
        <v>0</v>
      </c>
      <c r="D18" s="87">
        <f>+SIM!G37</f>
        <v>0</v>
      </c>
      <c r="E18" s="87">
        <f>+SIM!J37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194</v>
      </c>
      <c r="B19" s="7"/>
      <c r="C19" s="87">
        <f>+SIM!D38</f>
        <v>0</v>
      </c>
      <c r="D19" s="87">
        <f>+SIM!G38</f>
        <v>0</v>
      </c>
      <c r="E19" s="87">
        <f>+SIM!J38</f>
        <v>1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+SIM!D39</f>
        <v>0</v>
      </c>
      <c r="D20" s="87">
        <f>+SIM!G39</f>
        <v>0</v>
      </c>
      <c r="E20" s="87">
        <f>+SIM!J39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135000</v>
      </c>
      <c r="E22" s="90">
        <f t="shared" si="2"/>
        <v>67500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135000</v>
      </c>
      <c r="E23" s="90">
        <f t="shared" ref="E23" si="4">+IFERROR(E5/E16,"--")</f>
        <v>67500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+SIM!E68+C29*C30</f>
        <v>5000</v>
      </c>
      <c r="D25" s="10">
        <f>+SIM!G68+D29*D30</f>
        <v>5000</v>
      </c>
      <c r="E25" s="10">
        <f>+SIM!J68+E29*E30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2026-10-20T15:46:17Z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
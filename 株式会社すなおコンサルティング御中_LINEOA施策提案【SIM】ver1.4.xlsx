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8CC4036E-C5A4-4F0E-9C66-16927879D67B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_ポップアップ＋サンクスLINE" sheetId="1" r:id="rId1"/>
    <sheet name="SIM_比較" sheetId="2" r:id="rId2"/>
    <sheet name="SIM考え方" sheetId="3" r:id="rId3"/>
  </sheets>
  <calcPr fullCalcOnLoad="1"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7" i="3"/>
  <c r="E12" i="3"/>
  <c r="E7" i="3"/>
  <c r="E20" i="2"/>
  <c r="D20" i="2"/>
  <c r="C20" i="2"/>
  <c r="E19" i="2"/>
  <c r="D19" i="2"/>
  <c r="C19" i="2"/>
  <c r="X18" i="2"/>
  <c r="E18" i="2"/>
  <c r="D18" i="2"/>
  <c r="C18" i="2"/>
  <c r="E17" i="2"/>
  <c r="D17" i="2"/>
  <c r="D16" i="2" s="1"/>
  <c r="C17" i="2"/>
  <c r="C16" i="2"/>
  <c r="E15" i="2"/>
  <c r="D15" i="2"/>
  <c r="C15" i="2"/>
  <c r="E7" i="2"/>
  <c r="D7" i="2"/>
  <c r="C7" i="2"/>
  <c r="C6" i="2"/>
  <c r="C5" i="2"/>
  <c r="C23" i="2" s="1"/>
  <c r="C4" i="2"/>
  <c r="C22" i="2" s="1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P36" i="1" s="1"/>
  <c r="Q34" i="1"/>
  <c r="Q33" i="1"/>
  <c r="Q32" i="1"/>
  <c r="D29" i="1"/>
  <c r="J25" i="1"/>
  <c r="I25" i="1"/>
  <c r="H25" i="1"/>
  <c r="G25" i="1"/>
  <c r="F25" i="1"/>
  <c r="E25" i="1"/>
  <c r="J24" i="1"/>
  <c r="I24" i="1"/>
  <c r="G24" i="1"/>
  <c r="F24" i="1"/>
  <c r="J23" i="1"/>
  <c r="I23" i="1"/>
  <c r="G23" i="1"/>
  <c r="F23" i="1"/>
  <c r="Y19" i="1"/>
  <c r="H16" i="1"/>
  <c r="H24" i="1" s="1"/>
  <c r="E16" i="1"/>
  <c r="E24" i="1" s="1"/>
  <c r="D16" i="1"/>
  <c r="H15" i="1"/>
  <c r="H23" i="1" s="1"/>
  <c r="E15" i="1"/>
  <c r="E23" i="1" s="1"/>
  <c r="D15" i="1"/>
  <c r="H14" i="1"/>
  <c r="E14" i="1"/>
  <c r="D14" i="1"/>
  <c r="E16" i="2" l="1"/>
  <c r="H26" i="1"/>
  <c r="H33" i="1" s="1"/>
  <c r="E26" i="1"/>
  <c r="K40" i="1"/>
  <c r="J26" i="1"/>
  <c r="J33" i="1" s="1"/>
  <c r="I26" i="1"/>
  <c r="I33" i="1" s="1"/>
  <c r="G26" i="1"/>
  <c r="G33" i="1" s="1"/>
  <c r="F26" i="1"/>
  <c r="F33" i="1" s="1"/>
  <c r="C8" i="2"/>
  <c r="D34" i="1"/>
  <c r="D31" i="1"/>
  <c r="D35" i="1" s="1"/>
  <c r="E28" i="1" l="1"/>
  <c r="E33" i="1"/>
  <c r="D75" i="1"/>
  <c r="C10" i="2"/>
  <c r="C29" i="2" s="1"/>
  <c r="C30" i="2" s="1"/>
  <c r="D41" i="1"/>
  <c r="C11" i="2"/>
  <c r="C12" i="2" s="1"/>
  <c r="C13" i="2" s="1"/>
  <c r="F28" i="1" l="1"/>
  <c r="E46" i="1"/>
  <c r="E56" i="1"/>
  <c r="E29" i="1"/>
  <c r="D76" i="1"/>
  <c r="D54" i="1"/>
  <c r="E31" i="1"/>
  <c r="E35" i="1" s="1"/>
  <c r="E34" i="1"/>
  <c r="G28" i="1" l="1"/>
  <c r="G29" i="1" s="1"/>
  <c r="F46" i="1"/>
  <c r="F56" i="1"/>
  <c r="F29" i="1"/>
  <c r="H28" i="1"/>
  <c r="G46" i="1"/>
  <c r="G56" i="1"/>
  <c r="D6" i="2"/>
  <c r="E41" i="1"/>
  <c r="E48" i="1"/>
  <c r="E58" i="1"/>
  <c r="E75" i="1"/>
  <c r="E68" i="1"/>
  <c r="F31" i="1" l="1"/>
  <c r="F35" i="1" s="1"/>
  <c r="F34" i="1"/>
  <c r="I28" i="1"/>
  <c r="H46" i="1"/>
  <c r="H56" i="1"/>
  <c r="H29" i="1"/>
  <c r="G31" i="1"/>
  <c r="G35" i="1" s="1"/>
  <c r="G34" i="1"/>
  <c r="D8" i="2"/>
  <c r="F75" i="1"/>
  <c r="F68" i="1"/>
  <c r="F45" i="1" s="1"/>
  <c r="E76" i="1"/>
  <c r="C25" i="2"/>
  <c r="E45" i="1"/>
  <c r="F48" i="1" l="1"/>
  <c r="F41" i="1"/>
  <c r="F58" i="1"/>
  <c r="E54" i="1"/>
  <c r="E55" i="1" s="1"/>
  <c r="E59" i="1" s="1"/>
  <c r="E44" i="1"/>
  <c r="E51" i="1" s="1"/>
  <c r="J28" i="1"/>
  <c r="I46" i="1"/>
  <c r="I56" i="1"/>
  <c r="I29" i="1"/>
  <c r="H31" i="1"/>
  <c r="H35" i="1" s="1"/>
  <c r="H34" i="1"/>
  <c r="G41" i="1"/>
  <c r="G58" i="1"/>
  <c r="D11" i="2"/>
  <c r="G48" i="1"/>
  <c r="G75" i="1"/>
  <c r="G68" i="1"/>
  <c r="D10" i="2"/>
  <c r="D29" i="2" s="1"/>
  <c r="D30" i="2" s="1"/>
  <c r="F76" i="1"/>
  <c r="E61" i="1" l="1"/>
  <c r="E57" i="1" s="1"/>
  <c r="E73" i="1"/>
  <c r="E47" i="1"/>
  <c r="E49" i="1"/>
  <c r="F44" i="1"/>
  <c r="F51" i="1" s="1"/>
  <c r="F54" i="1"/>
  <c r="J46" i="1"/>
  <c r="J56" i="1"/>
  <c r="E6" i="2"/>
  <c r="J29" i="1"/>
  <c r="I31" i="1"/>
  <c r="I35" i="1" s="1"/>
  <c r="I34" i="1"/>
  <c r="H41" i="1"/>
  <c r="H58" i="1"/>
  <c r="H48" i="1"/>
  <c r="H75" i="1"/>
  <c r="H68" i="1"/>
  <c r="H45" i="1" s="1"/>
  <c r="G76" i="1"/>
  <c r="D25" i="2"/>
  <c r="G45" i="1"/>
  <c r="G54" i="1" l="1"/>
  <c r="G44" i="1"/>
  <c r="G51" i="1" s="1"/>
  <c r="F49" i="1"/>
  <c r="F47" i="1"/>
  <c r="F73" i="1"/>
  <c r="F55" i="1"/>
  <c r="F59" i="1" s="1"/>
  <c r="F61" i="1"/>
  <c r="F57" i="1" s="1"/>
  <c r="J31" i="1"/>
  <c r="J35" i="1" s="1"/>
  <c r="J34" i="1"/>
  <c r="E8" i="2"/>
  <c r="I41" i="1"/>
  <c r="I58" i="1"/>
  <c r="I48" i="1"/>
  <c r="I75" i="1"/>
  <c r="I68" i="1"/>
  <c r="I45" i="1" s="1"/>
  <c r="H76" i="1"/>
  <c r="G73" i="1" l="1"/>
  <c r="G61" i="1"/>
  <c r="G55" i="1"/>
  <c r="G59" i="1" s="1"/>
  <c r="H44" i="1"/>
  <c r="H51" i="1" s="1"/>
  <c r="H54" i="1"/>
  <c r="J41" i="1"/>
  <c r="J58" i="1"/>
  <c r="E11" i="2"/>
  <c r="J48" i="1"/>
  <c r="J75" i="1"/>
  <c r="J68" i="1"/>
  <c r="E10" i="2"/>
  <c r="E29" i="2" s="1"/>
  <c r="E30" i="2" s="1"/>
  <c r="I76" i="1"/>
  <c r="G49" i="1"/>
  <c r="G47" i="1"/>
  <c r="D4" i="2"/>
  <c r="G57" i="1" l="1"/>
  <c r="D5" i="2"/>
  <c r="H47" i="1"/>
  <c r="H49" i="1"/>
  <c r="H73" i="1"/>
  <c r="H61" i="1"/>
  <c r="H57" i="1" s="1"/>
  <c r="H55" i="1"/>
  <c r="H59" i="1" s="1"/>
  <c r="J76" i="1"/>
  <c r="E25" i="2"/>
  <c r="J45" i="1"/>
  <c r="D13" i="2"/>
  <c r="D23" i="2"/>
  <c r="D12" i="2"/>
  <c r="D22" i="2"/>
  <c r="I44" i="1"/>
  <c r="I51" i="1" s="1"/>
  <c r="I54" i="1"/>
  <c r="J44" i="1" l="1"/>
  <c r="J51" i="1" s="1"/>
  <c r="J54" i="1"/>
  <c r="I49" i="1"/>
  <c r="I47" i="1"/>
  <c r="I55" i="1"/>
  <c r="I59" i="1" s="1"/>
  <c r="I61" i="1"/>
  <c r="I57" i="1" s="1"/>
  <c r="I73" i="1"/>
  <c r="J73" i="1" l="1"/>
  <c r="J61" i="1"/>
  <c r="J55" i="1"/>
  <c r="J59" i="1" s="1"/>
  <c r="J49" i="1"/>
  <c r="J47" i="1"/>
  <c r="E4" i="2"/>
  <c r="E5" i="2" l="1"/>
  <c r="J57" i="1"/>
  <c r="E12" i="2"/>
  <c r="E22" i="2"/>
  <c r="E13" i="2" l="1"/>
  <c r="E23" i="2"/>
</calcChain>
</file>

<file path=xl/sharedStrings.xml><?xml version="1.0" encoding="utf-8"?>
<sst xmlns="http://schemas.openxmlformats.org/spreadsheetml/2006/main" count="287" uniqueCount="197">
  <si>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</si>
  <si>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</si>
  <si>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</si>
  <si>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</si>
  <si>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</si>
  <si>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</si>
  <si>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</si>
  <si>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</si>
  <si>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</si>
  <si>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</si>
  <si>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</si>
  <si>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</si>
  <si>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</si>
  <si>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</si>
  <si>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</si>
  <si>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</si>
  <si>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</si>
  <si>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</si>
  <si>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</si>
  <si>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</si>
  <si>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</si>
  <si>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</si>
  <si>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</si>
  <si>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</si>
  <si>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</si>
  <si>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</si>
  <si>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</si>
  <si>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</si>
  <si>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</si>
  <si>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</si>
  <si>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</si>
  <si>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</si>
  <si>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</si>
  <si>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</si>
  <si>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</si>
  <si>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</si>
  <si>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</si>
  <si>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</si>
  <si>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</si>
  <si>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</si>
  <si>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</si>
  <si>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</si>
  <si>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</si>
  <si>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</si>
  <si>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</si>
  <si>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</si>
  <si>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</si>
  <si>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</si>
  <si>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</si>
  <si>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</si>
  <si>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</si>
  <si>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</si>
  <si>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</si>
  <si>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</si>
  <si>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</si>
  <si>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</si>
  <si>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</si>
  <si>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</si>
  <si>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</si>
  <si>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</si>
  <si>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</si>
  <si>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</si>
  <si>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</si>
  <si>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</si>
  <si>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</si>
  <si>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</si>
  <si>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</si>
  <si>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</si>
  <si>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</si>
  <si>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</si>
  <si>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</si>
  <si>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</si>
  <si>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</si>
  <si>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</si>
  <si>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</si>
  <si>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</si>
  <si>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</si>
  <si>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</si>
  <si>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</si>
  <si>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</si>
  <si>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</si>
  <si>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</si>
  <si>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</si>
  <si>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</si>
  <si>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</si>
  <si>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</si>
  <si>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</si>
  <si>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</si>
  <si>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</si>
  <si>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</si>
  <si>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</si>
  <si>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</si>
  <si>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</si>
  <si>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</si>
  <si>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</si>
  <si>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</si>
  <si>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</si>
  <si>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</si>
  <si>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</si>
  <si>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</si>
  <si>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</si>
  <si>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</si>
  <si>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</si>
  <si>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</si>
  <si>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</si>
  <si>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</si>
  <si>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</si>
  <si>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</si>
  <si>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</si>
  <si>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</si>
  <si>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</si>
  <si>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</si>
  <si>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</si>
  <si>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</si>
  <si>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</si>
  <si>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</si>
  <si>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</si>
  <si>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</si>
  <si>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</si>
  <si>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</si>
  <si>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</si>
  <si>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</si>
  <si>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</si>
  <si>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</si>
  <si>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</si>
  <si>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</si>
  <si>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</si>
  <si>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</si>
  <si>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</si>
  <si>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</si>
  <si>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</si>
  <si>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</si>
  <si>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</si>
  <si>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</si>
  <si>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</si>
  <si>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</si>
  <si>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</si>
  <si>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</si>
  <si>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</si>
  <si>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</si>
  <si>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</si>
  <si>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</si>
  <si>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</si>
  <si>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</si>
  <si>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</si>
  <si>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</si>
  <si>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</si>
  <si>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</si>
  <si>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</si>
  <si>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</si>
  <si>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</si>
  <si>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</si>
  <si>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</si>
  <si>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</si>
  <si>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</si>
  <si>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</si>
  <si>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</si>
  <si>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</si>
  <si>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株式会社すなおコンサルティング御中_LINEOA施策提案【SIM】ver1.2（ポップアップツール＋サンクスLINE誘導）</t>
  </si>
  <si>
    <t>セミナー予約</t>
  </si>
  <si>
    <t>LP UU（イベント月）</t>
  </si>
  <si>
    <t>CV①セミナー予約（成果単価 1.2万円）。LINEのリンク経由だけ。サンクスLINEで友だちになった方（予約済み）は数えない</t>
  </si>
  <si>
    <t>サロン入会</t>
  </si>
  <si>
    <t>うち広告</t>
  </si>
  <si>
    <t>CV②サロン入会（成果単価 2.5万円）。LINEのリンク経由だけ</t>
  </si>
  <si>
    <t>セミナー予約（イベント月）</t>
  </si>
  <si>
    <t>イベント月（1・4か月目）：LP UU 仮に3,000（広告クリック 約2,760＋自社のSNS等が少し）・セミナー予約 81件（前回1回分の実績）。広告費はADの予算なので入れていない</t>
  </si>
  <si>
    <t>イベント期</t>
  </si>
  <si>
    <t>平常期</t>
  </si>
  <si>
    <t>1か月目</t>
  </si>
  <si>
    <t>2か月目</t>
  </si>
  <si>
    <t>3か月目</t>
  </si>
  <si>
    <t>4か月目</t>
  </si>
  <si>
    <t>5か月目</t>
  </si>
  <si>
    <t>6か月目</t>
  </si>
  <si>
    <t>平常期も少量の広告が続いている → LP UU 仮に月130（広告 月10万円÷クリック単価765円）</t>
  </si>
  <si>
    <t>ポップアップツール</t>
  </si>
  <si>
    <t>友だち追加広告（CPF）は入れていない</t>
  </si>
  <si>
    <t>ポップアップツール＝LP UU×表示65%×クリック12.5%×追加12.5%（定義テキストの係数）</t>
  </si>
  <si>
    <t>サンクスLINE誘導＝セミナー予約×遷移80%×追加45%（定義テキストの係数）。平常期は予約が無いので0</t>
  </si>
  <si>
    <t>友だちの入口はポップアップツール＋サンクスLINE誘導だけ（資料の「友だちの入口」と同じ）</t>
  </si>
  <si>
    <t>ブロック率：殿村さんの表（28.0%→31.0%）</t>
  </si>
  <si>
    <t>企画配信：イベント期 月4回／平常期 月2回（資料の料金 プラン②と同じ）</t>
  </si>
  <si>
    <t>ステップ配信5通（その月の新しい友だち。セミナーの見どころ→参加特典→予約の案内）</t>
  </si>
  <si>
    <t>セミナー予約＝クリックの0.3〜1.0%前後（目安。細かい件数は殿村さん）</t>
  </si>
  <si>
    <t>サロン入会＝目安では0（クリックが少ないため）。件数は殿村さん</t>
  </si>
  <si>
    <t>従量課金は54行（新料金テーブル）で計算。65行の旧式は二重計上になるため0</t>
  </si>
  <si>
    <t>ポップアップツール：初期1.5万・月3万</t>
  </si>
  <si>
    <t>サンクスLINE誘導</t>
  </si>
  <si>
    <t>サンクスLINE誘導：初期15万・月3万〜</t>
  </si>
  <si>
    <t>アカウント費：FMTの式（開設3万円）</t>
  </si>
  <si>
    <t>LINE運用コンサル（プラン②）</t>
  </si>
  <si>
    <t>LINE運用コンサル（プラン②）：初期10万円〜／平常期 月5〜10万円（10万で計算）／イベント期 月30万円程度</t>
  </si>
  <si>
    <t>セミナー予約（広告・イベント1回あたり）</t>
  </si>
  <si>
    <t>CV数（+LINEOA施策）</t>
  </si>
  <si>
    <t>CV①_セミナー予約</t>
  </si>
  <si>
    <t>CV②_サロン入会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</si>
</sst>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4" zoomScale="48" zoomScaleNormal="55" workbookViewId="0">
      <selection activeCell="N45" sqref="N45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157</v>
      </c>
      <c r="B2" s="134">
        <v>46314</v>
      </c>
    </row>
    <row r="4" spans="1:25" ht="45.75" customHeight="1" x14ac:dyDescent="0.55000000000000004">
      <c r="A4" s="56" t="inlineStr">
        <is>
          <t xml:space="preserve">株式会社すなおコンサルティング御中_LINEOA施策提案【SIM】ver1.4（ポップアップツール＋サンクスLINE誘導）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153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37" t="s">
        <v>5</v>
      </c>
      <c r="B8" s="19" t="s">
        <v>6</v>
      </c>
      <c r="C8" s="19" t="s">
        <v>159</v>
      </c>
      <c r="D8" s="33">
        <v>12000</v>
      </c>
      <c r="G8" s="121" t="s">
        <v>160</v>
      </c>
      <c r="H8" s="122">
        <v>3000</v>
      </c>
      <c r="I8" s="123"/>
      <c r="J8" s="123" t="s">
        <v>69</v>
      </c>
      <c r="K8" s="129">
        <v>4000</v>
      </c>
      <c r="N8" s="69" t="s">
        <v>161</v>
      </c>
      <c r="O8" s="35" t="s">
        <v>152</v>
      </c>
    </row>
    <row r="9" spans="1:25" ht="18" thickBot="1" x14ac:dyDescent="0.6">
      <c r="A9" s="138"/>
      <c r="B9" s="19" t="s">
        <v>7</v>
      </c>
      <c r="C9" s="38" t="s">
        <v>162</v>
      </c>
      <c r="D9" s="33">
        <v>0</v>
      </c>
      <c r="G9" s="124" t="s">
        <v>163</v>
      </c>
      <c r="H9" s="125">
        <v>3000</v>
      </c>
      <c r="I9" s="22"/>
      <c r="J9" s="29"/>
      <c r="K9" s="118"/>
      <c r="N9" s="132" t="inlineStr">
        <is>
          <t xml:space="preserve">CV②サロン入会：成果報酬の対象外（入会はLINEから計測できないため。成果単価0円）。資料内のCVとしては数える</t>
        </is>
      </c>
      <c r="O9" s="130" t="s">
        <v>151</v>
      </c>
      <c r="P9" s="131" t="b">
        <v>0</v>
      </c>
    </row>
    <row r="10" spans="1:25" x14ac:dyDescent="0.55000000000000004">
      <c r="A10" s="137" t="s">
        <v>8</v>
      </c>
      <c r="B10" s="19" t="s">
        <v>9</v>
      </c>
      <c r="C10" s="19" t="s">
        <v>159</v>
      </c>
      <c r="D10" s="33">
        <v>12000</v>
      </c>
      <c r="G10" s="124" t="s">
        <v>165</v>
      </c>
      <c r="H10" s="125">
        <v>80</v>
      </c>
      <c r="I10" s="22" t="s">
        <v>150</v>
      </c>
      <c r="J10" s="29"/>
      <c r="K10" s="118"/>
      <c r="N10" s="132" t="inlineStr">
        <is>
          <t xml:space="preserve">イベント月（1・4か月目）：LP UU 仮に3,000（広告クリック 約2,760＋自社のSNS等が少し）・セミナー予約 80件（前回1回分の実績）。広告費はADの予算なので入れていない</t>
        </is>
      </c>
    </row>
    <row r="11" spans="1:25" ht="18" thickBot="1" x14ac:dyDescent="0.6">
      <c r="A11" s="138"/>
      <c r="B11" s="19" t="s">
        <v>10</v>
      </c>
      <c r="C11" s="38" t="s">
        <v>61</v>
      </c>
      <c r="D11" s="33">
        <v>0</v>
      </c>
      <c r="G11" s="126" t="s">
        <v>61</v>
      </c>
      <c r="H11" s="127">
        <v>0</v>
      </c>
      <c r="I11" s="128" t="s">
        <v>149</v>
      </c>
      <c r="J11" s="119"/>
      <c r="K11" s="120"/>
    </row>
    <row r="12" spans="1:25" ht="18" x14ac:dyDescent="0.55000000000000004">
      <c r="E12" t="s">
        <v>167</v>
      </c>
      <c r="F12" t="s">
        <v>168</v>
      </c>
      <c r="G12" t="s">
        <v>168</v>
      </c>
      <c r="H12" t="s">
        <v>167</v>
      </c>
      <c r="I12" t="s">
        <v>168</v>
      </c>
      <c r="J12" t="s">
        <v>168</v>
      </c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28</v>
      </c>
      <c r="E13" s="36" t="s">
        <v>169</v>
      </c>
      <c r="F13" s="36" t="s">
        <v>170</v>
      </c>
      <c r="G13" s="36" t="s">
        <v>171</v>
      </c>
      <c r="H13" s="36" t="s">
        <v>172</v>
      </c>
      <c r="I13" s="36" t="s">
        <v>173</v>
      </c>
      <c r="J13" s="36" t="s">
        <v>174</v>
      </c>
      <c r="K13" s="3" t="s">
        <v>1</v>
      </c>
      <c r="L13" s="4" t="s">
        <v>2</v>
      </c>
      <c r="N13" s="71" t="s">
        <v>120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31</v>
      </c>
      <c r="B14" s="20" t="s">
        <v>35</v>
      </c>
      <c r="C14" s="99"/>
      <c r="D14" s="42">
        <f>+H8</f>
      </c>
      <c r="E14" s="43">
        <f>+$H$8</f>
      </c>
      <c r="F14" s="43">
        <v>300</v>
      </c>
      <c r="G14" s="43">
        <v>300</v>
      </c>
      <c r="H14" s="43">
        <f>+$H$8</f>
      </c>
      <c r="I14" s="43">
        <v>300</v>
      </c>
      <c r="J14" s="43">
        <v>300</v>
      </c>
      <c r="K14" s="11"/>
      <c r="L14" s="7"/>
      <c r="N14" t="s">
        <v>175</v>
      </c>
    </row>
    <row r="15" spans="1:25" ht="19" x14ac:dyDescent="0.55000000000000004">
      <c r="A15" s="141"/>
      <c r="B15" s="20" t="s">
        <v>34</v>
      </c>
      <c r="C15" s="99"/>
      <c r="D15" s="42">
        <f>+H9</f>
      </c>
      <c r="E15" s="43">
        <f>+$H$9</f>
      </c>
      <c r="F15" s="43">
        <v>300</v>
      </c>
      <c r="G15" s="43">
        <v>300</v>
      </c>
      <c r="H15" s="43">
        <f>+$H$9</f>
      </c>
      <c r="I15" s="43">
        <v>300</v>
      </c>
      <c r="J15" s="43">
        <v>300</v>
      </c>
      <c r="K15" s="11"/>
      <c r="L15" s="7"/>
      <c r="N15" s="69" t="s">
        <v>156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42"/>
      <c r="B16" s="20" t="s">
        <v>147</v>
      </c>
      <c r="C16" s="99"/>
      <c r="D16" s="42">
        <f>+H10</f>
      </c>
      <c r="E16" s="43">
        <f>+$H$10</f>
      </c>
      <c r="F16" s="43">
        <v>0</v>
      </c>
      <c r="G16" s="43">
        <v>0</v>
      </c>
      <c r="H16" s="43">
        <f>+$H$10</f>
      </c>
      <c r="I16" s="43">
        <v>0</v>
      </c>
      <c r="J16" s="43">
        <v>0</v>
      </c>
      <c r="K16" s="11"/>
      <c r="L16" s="7"/>
      <c r="N16" s="69" t="s">
        <v>155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41"/>
      <c r="B18" s="8" t="s">
        <v>176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154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41"/>
      <c r="B19" s="8" t="s">
        <v>113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154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</c>
      <c r="Z19" s="35">
        <v>2.5</v>
      </c>
    </row>
    <row r="20" spans="1:26" x14ac:dyDescent="0.55000000000000004">
      <c r="A20" s="141"/>
      <c r="B20" s="8" t="s">
        <v>111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112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177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176</v>
      </c>
      <c r="C23" s="17"/>
      <c r="D23" s="44" t="s">
        <v>20</v>
      </c>
      <c r="E23" s="46">
        <f t="shared" ref="E23:J23" si="0">IF(E18=FALSE,0,E15*$P$18*0.125*0.125+(E14-E15)*$P$19*0.12*0.1)</f>
      </c>
      <c r="F23" s="46">
        <f t="shared" si="0"/>
      </c>
      <c r="G23" s="63">
        <f t="shared" si="0"/>
      </c>
      <c r="H23" s="63">
        <f t="shared" si="0"/>
      </c>
      <c r="I23" s="63">
        <f t="shared" si="0"/>
      </c>
      <c r="J23" s="63">
        <f t="shared" si="0"/>
      </c>
      <c r="K23" s="11"/>
      <c r="L23" s="7"/>
      <c r="N23" s="69" t="s">
        <v>178</v>
      </c>
      <c r="O23" s="17" t="s">
        <v>41</v>
      </c>
      <c r="P23" s="24">
        <v>0.1</v>
      </c>
      <c r="Q23" s="5" t="s">
        <v>117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113</v>
      </c>
      <c r="C24" s="17"/>
      <c r="D24" s="44" t="s">
        <v>20</v>
      </c>
      <c r="E24" s="46">
        <f t="shared" ref="E24:J24" si="1">IF(E19=FALSE,0,E16*0.8*0.45)</f>
      </c>
      <c r="F24" s="63">
        <f t="shared" si="1"/>
      </c>
      <c r="G24" s="63">
        <f t="shared" si="1"/>
      </c>
      <c r="H24" s="63">
        <f t="shared" si="1"/>
      </c>
      <c r="I24" s="63">
        <f t="shared" si="1"/>
      </c>
      <c r="J24" s="63">
        <f t="shared" si="1"/>
      </c>
      <c r="K24" s="11"/>
      <c r="L24" s="7"/>
      <c r="N24" s="69" t="s">
        <v>179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67</v>
      </c>
      <c r="C25" s="17"/>
      <c r="D25" s="44" t="s">
        <v>20</v>
      </c>
      <c r="E25" s="46">
        <f>+IF(E20=FALSE,0,SUM($H$10:$H$11)*0.7*0.3)+IF($E$21=FALSE,0,$K$8*0.15*0.15)</f>
      </c>
      <c r="F25" s="46">
        <f t="shared" ref="F25:J25" si="2">+IF(F20=FALSE,0,SUM($H$10:$H$11)*0.7*0.3)+IF($E$21=FALSE,0,$K$8*0.15*0.15)</f>
      </c>
      <c r="G25" s="46">
        <f t="shared" si="2"/>
      </c>
      <c r="H25" s="46">
        <f t="shared" si="2"/>
      </c>
      <c r="I25" s="46">
        <f t="shared" si="2"/>
      </c>
      <c r="J25" s="46">
        <f t="shared" si="2"/>
      </c>
      <c r="K25" s="11"/>
      <c r="L25" s="7"/>
      <c r="N25" s="69" t="s">
        <v>119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15</v>
      </c>
      <c r="B26" s="145"/>
      <c r="C26" s="23"/>
      <c r="D26" s="44" t="s">
        <v>20</v>
      </c>
      <c r="E26" s="46">
        <f t="shared" ref="E26:J26" si="3">+SUM(E22:E25)</f>
      </c>
      <c r="F26" s="46">
        <f t="shared" si="3"/>
      </c>
      <c r="G26" s="46">
        <f t="shared" si="3"/>
      </c>
      <c r="H26" s="46">
        <f t="shared" si="3"/>
      </c>
      <c r="I26" s="46">
        <f t="shared" si="3"/>
      </c>
      <c r="J26" s="46">
        <f t="shared" si="3"/>
      </c>
      <c r="K26" s="11"/>
      <c r="L26" s="7"/>
      <c r="N26" s="72" t="s">
        <v>180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14</v>
      </c>
      <c r="B27" s="145"/>
      <c r="C27" s="23"/>
      <c r="D27" s="107">
        <v>0</v>
      </c>
      <c r="E27" s="47">
        <v>0.28000000000000003</v>
      </c>
      <c r="F27" s="47">
        <v>0.28999999999999998</v>
      </c>
      <c r="G27" s="47">
        <v>0.29499999999999998</v>
      </c>
      <c r="H27" s="47">
        <v>0.3</v>
      </c>
      <c r="I27" s="47">
        <v>0.30499999999999999</v>
      </c>
      <c r="J27" s="47">
        <v>0.31</v>
      </c>
      <c r="K27" s="11"/>
      <c r="L27" s="7"/>
      <c r="N27" t="s">
        <v>181</v>
      </c>
      <c r="O27" s="17" t="s">
        <v>41</v>
      </c>
      <c r="P27" s="24">
        <v>0.12</v>
      </c>
      <c r="Q27" s="5" t="s">
        <v>117</v>
      </c>
      <c r="S27" s="34"/>
      <c r="U27" s="34"/>
      <c r="W27" s="34"/>
      <c r="Y27" s="34"/>
      <c r="Z27" s="35"/>
    </row>
    <row r="28" spans="1:26" ht="19" x14ac:dyDescent="0.55000000000000004">
      <c r="A28" s="146" t="s">
        <v>12</v>
      </c>
      <c r="B28" s="147"/>
      <c r="C28" s="101"/>
      <c r="D28" s="106">
        <v>0</v>
      </c>
      <c r="E28" s="49">
        <f>+D28+E26</f>
      </c>
      <c r="F28" s="49">
        <f t="shared" ref="F28:J28" si="4">+E28+F26</f>
      </c>
      <c r="G28" s="49">
        <f t="shared" si="4"/>
      </c>
      <c r="H28" s="49">
        <f t="shared" si="4"/>
      </c>
      <c r="I28" s="49">
        <f t="shared" si="4"/>
      </c>
      <c r="J28" s="49">
        <f t="shared" si="4"/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13</v>
      </c>
      <c r="B29" s="149"/>
      <c r="C29" s="102"/>
      <c r="D29" s="108">
        <f>+D28*(1-D27)</f>
      </c>
      <c r="E29" s="50">
        <f>+E28*(1-E27)</f>
      </c>
      <c r="F29" s="50">
        <f t="shared" ref="F29:J29" si="5">+F28*(1-F27)</f>
      </c>
      <c r="G29" s="50">
        <f t="shared" si="5"/>
      </c>
      <c r="H29" s="50">
        <f t="shared" si="5"/>
      </c>
      <c r="I29" s="50">
        <f t="shared" si="5"/>
      </c>
      <c r="J29" s="50">
        <f t="shared" si="5"/>
      </c>
      <c r="K29" s="12"/>
      <c r="L29" s="7"/>
      <c r="N29" s="69" t="s">
        <v>128</v>
      </c>
      <c r="S29" s="34"/>
      <c r="U29" s="34"/>
      <c r="W29" s="34"/>
      <c r="Y29" s="34"/>
      <c r="Z29" s="35"/>
    </row>
    <row r="30" spans="1:26" ht="19" x14ac:dyDescent="0.55000000000000004">
      <c r="A30" s="135" t="s">
        <v>22</v>
      </c>
      <c r="B30" s="136"/>
      <c r="C30" s="30"/>
      <c r="D30" s="48">
        <v>0</v>
      </c>
      <c r="E30" s="45">
        <v>4</v>
      </c>
      <c r="F30" s="45">
        <v>2</v>
      </c>
      <c r="G30" s="45">
        <v>2</v>
      </c>
      <c r="H30" s="45">
        <v>4</v>
      </c>
      <c r="I30" s="45">
        <v>2</v>
      </c>
      <c r="J30" s="45">
        <v>2</v>
      </c>
      <c r="K30" s="11"/>
      <c r="L30" s="7"/>
      <c r="N30" s="69" t="s">
        <v>182</v>
      </c>
      <c r="O30" s="17" t="s">
        <v>118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23</v>
      </c>
      <c r="B31" s="145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29</v>
      </c>
      <c r="B32" s="136"/>
      <c r="C32" s="30"/>
      <c r="D32" s="48">
        <v>0</v>
      </c>
      <c r="E32" s="45">
        <v>8</v>
      </c>
      <c r="F32" s="45">
        <v>8</v>
      </c>
      <c r="G32" s="45">
        <v>8</v>
      </c>
      <c r="H32" s="45">
        <v>8</v>
      </c>
      <c r="I32" s="45">
        <v>8</v>
      </c>
      <c r="J32" s="45">
        <v>8</v>
      </c>
      <c r="K32" s="11"/>
      <c r="L32" s="7"/>
      <c r="N32" s="69" t="inlineStr">
        <is>
          <t xml:space="preserve">ステップ配信8通（友だち追加から15日、2日おき。その月の新しい友だち。比べる→確かめる→始める→予約の案内）</t>
        </is>
      </c>
      <c r="O32" s="17" t="s">
        <v>121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44" t="s">
        <v>30</v>
      </c>
      <c r="B33" s="145"/>
      <c r="C33" s="23"/>
      <c r="D33" s="44">
        <v>0</v>
      </c>
      <c r="E33" s="63">
        <f t="shared" ref="E33:J33" si="6">+E26*E32*$P$26*$P$27*$P$36</f>
      </c>
      <c r="F33" s="63">
        <f t="shared" si="6"/>
      </c>
      <c r="G33" s="63">
        <f t="shared" si="6"/>
      </c>
      <c r="H33" s="63">
        <f t="shared" si="6"/>
      </c>
      <c r="I33" s="63">
        <f t="shared" si="6"/>
      </c>
      <c r="J33" s="63">
        <f t="shared" si="6"/>
      </c>
      <c r="K33" s="11"/>
      <c r="L33" s="7"/>
      <c r="O33" s="17" t="s">
        <v>129</v>
      </c>
      <c r="P33" s="75" t="b">
        <v>1</v>
      </c>
      <c r="Q33" s="73">
        <f t="shared" ref="Q33:Q35" si="7">+IF(P33=TRUE,1.1,0.95)</f>
      </c>
    </row>
    <row r="34" spans="1:17" ht="19" x14ac:dyDescent="0.55000000000000004">
      <c r="A34" s="148" t="s">
        <v>25</v>
      </c>
      <c r="B34" s="149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130</v>
      </c>
      <c r="P34" s="75" t="b">
        <v>1</v>
      </c>
      <c r="Q34" s="73">
        <f t="shared" si="7"/>
      </c>
    </row>
    <row r="35" spans="1:17" ht="19" x14ac:dyDescent="0.55000000000000004">
      <c r="A35" s="148" t="s">
        <v>24</v>
      </c>
      <c r="B35" s="149"/>
      <c r="C35" s="102"/>
      <c r="D35" s="109">
        <f>+D31*1.02</f>
      </c>
      <c r="E35" s="50">
        <f>+E31+E33+1.05*(E31+E33)</f>
      </c>
      <c r="F35" s="50">
        <f t="shared" ref="F35:J35" si="8">+F31+F33+1.05*(F31+F33)</f>
      </c>
      <c r="G35" s="50">
        <f>+G31+G33+1.05*(G31+G33)</f>
      </c>
      <c r="H35" s="50">
        <f t="shared" si="8"/>
      </c>
      <c r="I35" s="50">
        <f t="shared" si="8"/>
      </c>
      <c r="J35" s="50">
        <f t="shared" si="8"/>
      </c>
      <c r="K35" s="11"/>
      <c r="L35" s="7"/>
      <c r="O35" s="17" t="s">
        <v>131</v>
      </c>
      <c r="P35" s="75" t="b">
        <v>1</v>
      </c>
      <c r="Q35" s="73">
        <f t="shared" si="7"/>
      </c>
    </row>
    <row r="36" spans="1:17" x14ac:dyDescent="0.55000000000000004">
      <c r="A36" s="150" t="s">
        <v>5</v>
      </c>
      <c r="B36" s="6">
        <f>+C8</f>
      </c>
      <c r="C36" s="6"/>
      <c r="D36" s="11">
        <v>0</v>
      </c>
      <c r="E36" s="111">
        <v>3</v>
      </c>
      <c r="F36" s="111">
        <v>0</v>
      </c>
      <c r="G36" s="111">
        <v>1</v>
      </c>
      <c r="H36" s="111">
        <v>4</v>
      </c>
      <c r="I36" s="111">
        <v>0</v>
      </c>
      <c r="J36" s="111">
        <v>1</v>
      </c>
      <c r="K36" s="115">
        <f>SUM(E36:J36)</f>
      </c>
      <c r="L36" s="7"/>
      <c r="N36" s="69" t="s">
        <v>184</v>
      </c>
      <c r="O36" s="17" t="s">
        <v>122</v>
      </c>
      <c r="P36" s="74">
        <f>1*(Q32*Q33*Q34*Q35)</f>
      </c>
      <c r="Q36" s="73"/>
    </row>
    <row r="37" spans="1:17" x14ac:dyDescent="0.55000000000000004">
      <c r="A37" s="151"/>
      <c r="B37" s="6">
        <f>+C9</f>
      </c>
      <c r="C37" s="6"/>
      <c r="D37" s="11">
        <v>0</v>
      </c>
      <c r="E37" s="111">
        <v>1</v>
      </c>
      <c r="F37" s="111">
        <v>1</v>
      </c>
      <c r="G37" s="111">
        <v>0</v>
      </c>
      <c r="H37" s="111">
        <v>1</v>
      </c>
      <c r="I37" s="111">
        <v>1</v>
      </c>
      <c r="J37" s="111">
        <v>0</v>
      </c>
      <c r="K37" s="115">
        <f>SUM(E37:J37)</f>
      </c>
      <c r="L37" s="7"/>
      <c r="N37" s="69" t="inlineStr">
        <is>
          <t xml:space="preserve">サロン入会＝資料内のCVとして数える（成果報酬の対象外）</t>
        </is>
      </c>
    </row>
    <row r="38" spans="1:17" x14ac:dyDescent="0.55000000000000004">
      <c r="A38" s="150" t="s">
        <v>8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2</v>
      </c>
      <c r="I38" s="111">
        <v>0</v>
      </c>
      <c r="J38" s="111">
        <v>0</v>
      </c>
      <c r="K38" s="115">
        <f>SUM(E38:J38)</f>
      </c>
      <c r="L38" s="7"/>
      <c r="N38" s="69" t="inlineStr">
        <is>
          <t xml:space="preserve">リピート予約＝2回目以降のイベントのセミナー予約（LINEのリンク経由・過去に予約がある方）。成果単価1.2万円</t>
        </is>
      </c>
      <c r="O38" s="21" t="s">
        <v>36</v>
      </c>
    </row>
    <row r="39" spans="1:17" x14ac:dyDescent="0.55000000000000004">
      <c r="A39" s="151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116</v>
      </c>
      <c r="O39" s="21" t="s">
        <v>37</v>
      </c>
    </row>
    <row r="40" spans="1:17" x14ac:dyDescent="0.55000000000000004">
      <c r="A40" s="152" t="s">
        <v>52</v>
      </c>
      <c r="B40" s="153"/>
      <c r="C40" s="97"/>
      <c r="D40" s="11">
        <f t="shared" ref="D40:J40" si="9">+SUM(D36:D39)</f>
      </c>
      <c r="E40" s="10">
        <f t="shared" si="9"/>
      </c>
      <c r="F40" s="10">
        <f t="shared" si="9"/>
      </c>
      <c r="G40" s="10">
        <f t="shared" si="9"/>
      </c>
      <c r="H40" s="10">
        <f t="shared" si="9"/>
      </c>
      <c r="I40" s="10">
        <f t="shared" si="9"/>
      </c>
      <c r="J40" s="10">
        <f t="shared" si="9"/>
      </c>
      <c r="K40" s="115">
        <f>SUM(E40:J40)</f>
      </c>
      <c r="L40" s="7"/>
      <c r="O40" s="17"/>
    </row>
    <row r="41" spans="1:17" x14ac:dyDescent="0.55000000000000004">
      <c r="B41" s="5" t="s">
        <v>65</v>
      </c>
      <c r="D41" s="18">
        <f t="shared" ref="D41" si="10">+IFERROR(D40/D35,0)</f>
      </c>
      <c r="E41" s="18">
        <f>+IFERROR(E40/E35,0)</f>
      </c>
      <c r="F41" s="18">
        <f t="shared" ref="F41:J41" si="11">+IFERROR(F40/F35,0)</f>
      </c>
      <c r="G41" s="18">
        <f t="shared" si="11"/>
      </c>
      <c r="H41" s="18">
        <f t="shared" si="11"/>
      </c>
      <c r="I41" s="18">
        <f t="shared" si="11"/>
      </c>
      <c r="J41" s="18">
        <f t="shared" si="11"/>
      </c>
      <c r="N41" s="69" t="s">
        <v>115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145</v>
      </c>
      <c r="D43" s="5" t="s">
        <v>146</v>
      </c>
    </row>
    <row r="44" spans="1:17" x14ac:dyDescent="0.55000000000000004">
      <c r="A44" s="144" t="s">
        <v>26</v>
      </c>
      <c r="B44" s="145"/>
      <c r="C44" s="103"/>
      <c r="D44" s="16" t="s">
        <v>21</v>
      </c>
      <c r="E44" s="31">
        <f>+E75*E76</f>
      </c>
      <c r="F44" s="31">
        <f t="shared" ref="F44:J44" si="12">+F75*F76</f>
      </c>
      <c r="G44" s="31">
        <f t="shared" si="12"/>
      </c>
      <c r="H44" s="31">
        <f t="shared" si="12"/>
      </c>
      <c r="I44" s="31">
        <f t="shared" si="12"/>
      </c>
      <c r="J44" s="31">
        <f t="shared" si="12"/>
      </c>
      <c r="K44" s="11"/>
      <c r="L44" s="7"/>
    </row>
    <row r="45" spans="1:17" x14ac:dyDescent="0.55000000000000004">
      <c r="A45" s="144" t="s">
        <v>127</v>
      </c>
      <c r="B45" s="145"/>
      <c r="C45" s="104">
        <f>+SUM(C65:C72)</f>
      </c>
      <c r="D45" s="80">
        <f>+SUM(D65:D72)</f>
      </c>
      <c r="E45" s="27">
        <f>SUM(E65:E68)+SUM(E71:E72)</f>
      </c>
      <c r="F45" s="27">
        <f>SUM(F65:F68)+SUM(F71:F72)</f>
      </c>
      <c r="G45" s="27">
        <f>SUM(G65:G68)+SUM(G71:G72)</f>
      </c>
      <c r="H45" s="27">
        <f>SUM(H65:H68)+SUM(H71:H72)</f>
      </c>
      <c r="I45" s="27">
        <f>SUM(I65:I68)+SUM(I71:I72)</f>
      </c>
      <c r="J45" s="27">
        <f>SUM(J65:J68)+SUM(J71:J72)</f>
      </c>
      <c r="K45" s="11"/>
      <c r="L45" s="7"/>
      <c r="N45" t="inlineStr">
        <is>
          <t xml:space="preserve">成果報酬プランの月額＝ツール費＋アカウント費（65〜68・71〜72行）。69行のLINE運用コンサルの月額は成果報酬に置き換わるので入れない。初期は全部入れる</t>
        </is>
      </c>
    </row>
    <row r="46" spans="1:17" x14ac:dyDescent="0.55000000000000004">
      <c r="A46" s="144" t="s">
        <v>16</v>
      </c>
      <c r="B46" s="145"/>
      <c r="C46" s="103"/>
      <c r="D46" s="16" t="s">
        <v>21</v>
      </c>
      <c r="E46" s="28">
        <f t="shared" ref="E46:J46" si="14">IFERROR(SUM(E65:E67)/(E28-D28),"-")</f>
      </c>
      <c r="F46" s="28">
        <f t="shared" si="14"/>
      </c>
      <c r="G46" s="28">
        <f t="shared" si="14"/>
      </c>
      <c r="H46" s="28">
        <f t="shared" si="14"/>
      </c>
      <c r="I46" s="28">
        <f t="shared" si="14"/>
      </c>
      <c r="J46" s="28">
        <f t="shared" si="14"/>
      </c>
      <c r="K46" s="11"/>
      <c r="L46" s="7"/>
    </row>
    <row r="47" spans="1:17" x14ac:dyDescent="0.55000000000000004">
      <c r="A47" s="144" t="s">
        <v>17</v>
      </c>
      <c r="B47" s="145"/>
      <c r="C47" s="103"/>
      <c r="D47" s="16" t="s">
        <v>21</v>
      </c>
      <c r="E47" s="28">
        <f t="shared" ref="E47:I47" si="15">+E51/E35</f>
      </c>
      <c r="F47" s="28">
        <f t="shared" si="15"/>
      </c>
      <c r="G47" s="28">
        <f t="shared" si="15"/>
      </c>
      <c r="H47" s="28">
        <f t="shared" si="15"/>
      </c>
      <c r="I47" s="28">
        <f t="shared" si="15"/>
      </c>
      <c r="J47" s="28">
        <f>+J51/J35</f>
      </c>
      <c r="K47" s="11"/>
      <c r="L47" s="7"/>
    </row>
    <row r="48" spans="1:17" x14ac:dyDescent="0.55000000000000004">
      <c r="A48" s="144" t="s">
        <v>19</v>
      </c>
      <c r="B48" s="145"/>
      <c r="C48" s="103"/>
      <c r="D48" s="16" t="s">
        <v>21</v>
      </c>
      <c r="E48" s="32">
        <f t="shared" ref="E48:J48" si="16">+SUM(E36:E39)/E35</f>
      </c>
      <c r="F48" s="32">
        <f t="shared" si="16"/>
      </c>
      <c r="G48" s="32">
        <f t="shared" si="16"/>
      </c>
      <c r="H48" s="32">
        <f t="shared" si="16"/>
      </c>
      <c r="I48" s="32">
        <f t="shared" si="16"/>
      </c>
      <c r="J48" s="32">
        <f t="shared" si="16"/>
      </c>
      <c r="K48" s="11"/>
      <c r="L48" s="7"/>
    </row>
    <row r="49" spans="1:12" x14ac:dyDescent="0.55000000000000004">
      <c r="A49" s="152" t="s">
        <v>18</v>
      </c>
      <c r="B49" s="153"/>
      <c r="C49" s="105"/>
      <c r="D49" s="16" t="s">
        <v>21</v>
      </c>
      <c r="E49" s="28">
        <f>+IFERROR(E51/SUM(E36:E39),0)</f>
      </c>
      <c r="F49" s="28">
        <f t="shared" ref="F49:J49" si="17">+IFERROR(F51/SUM(F36:F39),0)</f>
      </c>
      <c r="G49" s="28">
        <f t="shared" si="17"/>
      </c>
      <c r="H49" s="28">
        <f t="shared" si="17"/>
      </c>
      <c r="I49" s="28">
        <f t="shared" si="17"/>
      </c>
      <c r="J49" s="28">
        <f t="shared" si="17"/>
      </c>
      <c r="K49" s="11"/>
      <c r="L49" s="7"/>
    </row>
    <row r="50" spans="1:12" x14ac:dyDescent="0.55000000000000004">
      <c r="A50" s="152" t="s">
        <v>114</v>
      </c>
      <c r="B50" s="153"/>
      <c r="C50" s="105"/>
      <c r="D50" s="64" t="s">
        <v>21</v>
      </c>
      <c r="E50" s="65">
        <f>+E36*$D$8+E38*$D$10</f>
      </c>
      <c r="F50" s="65">
        <f t="shared" ref="F50:J50" si="18">+F36*$D$8+F38*$D$10</f>
      </c>
      <c r="G50" s="65">
        <f t="shared" si="18"/>
      </c>
      <c r="H50" s="65">
        <f t="shared" si="18"/>
      </c>
      <c r="I50" s="65">
        <f t="shared" si="18"/>
      </c>
      <c r="J50" s="65">
        <f t="shared" si="18"/>
      </c>
      <c r="K50" s="11"/>
      <c r="L50" s="7"/>
      <c r="N50" t="inlineStr">
        <is>
          <t xml:space="preserve">成果報酬＝新規のセミナー予約（36行）＋リピート予約（38行）×1.2万円。サロン入会（37行）は入れない</t>
        </is>
      </c>
    </row>
    <row r="51" spans="1:12" x14ac:dyDescent="0.55000000000000004">
      <c r="A51" s="154" t="s">
        <v>68</v>
      </c>
      <c r="B51" s="155"/>
      <c r="C51" s="110">
        <f>+C45</f>
      </c>
      <c r="D51" s="40">
        <f>+D45</f>
      </c>
      <c r="E51" s="40">
        <f>SUM(E45,E50)+E44</f>
      </c>
      <c r="F51" s="40">
        <f t="shared" ref="F51:I51" si="19">SUM(F45,F50)+F44</f>
      </c>
      <c r="G51" s="40">
        <f t="shared" si="19"/>
      </c>
      <c r="H51" s="40">
        <f t="shared" si="19"/>
      </c>
      <c r="I51" s="40">
        <f t="shared" si="19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44" t="s">
        <v>26</v>
      </c>
      <c r="B54" s="145"/>
      <c r="C54" s="96"/>
      <c r="D54" s="28">
        <f>+D75*D76</f>
      </c>
      <c r="E54" s="28">
        <f t="shared" ref="E54:J54" si="20">+E75*E76</f>
      </c>
      <c r="F54" s="28">
        <f t="shared" si="20"/>
      </c>
      <c r="G54" s="28">
        <f t="shared" si="20"/>
      </c>
      <c r="H54" s="28">
        <f t="shared" si="20"/>
      </c>
      <c r="I54" s="28">
        <f t="shared" si="20"/>
      </c>
      <c r="J54" s="28">
        <f t="shared" si="20"/>
      </c>
      <c r="K54" s="11"/>
      <c r="L54" s="7"/>
    </row>
    <row r="55" spans="1:12" hidden="1" x14ac:dyDescent="0.55000000000000004">
      <c r="A55" s="144" t="s">
        <v>127</v>
      </c>
      <c r="B55" s="145"/>
      <c r="C55" s="96"/>
      <c r="D55" s="27">
        <f>+SUM(D65:D72)</f>
      </c>
      <c r="E55" s="27">
        <f>SUM(E65:E72)+E54</f>
      </c>
      <c r="F55" s="27">
        <f t="shared" ref="F55:J55" si="21">SUM(F65:F72)+F54</f>
      </c>
      <c r="G55" s="27">
        <f t="shared" si="21"/>
      </c>
      <c r="H55" s="27">
        <f t="shared" si="21"/>
      </c>
      <c r="I55" s="27">
        <f t="shared" si="21"/>
      </c>
      <c r="J55" s="27">
        <f t="shared" si="21"/>
      </c>
      <c r="K55" s="11"/>
      <c r="L55" s="7"/>
    </row>
    <row r="56" spans="1:12" hidden="1" x14ac:dyDescent="0.55000000000000004">
      <c r="A56" s="144" t="s">
        <v>16</v>
      </c>
      <c r="B56" s="145"/>
      <c r="C56" s="96"/>
      <c r="D56" s="39" t="s">
        <v>21</v>
      </c>
      <c r="E56" s="28">
        <f t="shared" ref="E56:J56" si="22">IFERROR(SUM(E65:E67)/(E28-D28),"-")</f>
      </c>
      <c r="F56" s="28">
        <f t="shared" si="22"/>
      </c>
      <c r="G56" s="28">
        <f t="shared" si="22"/>
      </c>
      <c r="H56" s="28">
        <f t="shared" si="22"/>
      </c>
      <c r="I56" s="28">
        <f t="shared" si="22"/>
      </c>
      <c r="J56" s="28">
        <f t="shared" si="22"/>
      </c>
      <c r="K56" s="11"/>
      <c r="L56" s="7"/>
    </row>
    <row r="57" spans="1:12" hidden="1" x14ac:dyDescent="0.55000000000000004">
      <c r="A57" s="144" t="s">
        <v>17</v>
      </c>
      <c r="B57" s="145"/>
      <c r="C57" s="96"/>
      <c r="D57" s="39" t="s">
        <v>21</v>
      </c>
      <c r="E57" s="28">
        <f>+E61/E35</f>
      </c>
      <c r="F57" s="28">
        <f t="shared" ref="F57:J57" si="23">+F61/F35</f>
      </c>
      <c r="G57" s="28">
        <f t="shared" si="23"/>
      </c>
      <c r="H57" s="28">
        <f t="shared" si="23"/>
      </c>
      <c r="I57" s="28">
        <f t="shared" si="23"/>
      </c>
      <c r="J57" s="28">
        <f t="shared" si="23"/>
      </c>
      <c r="K57" s="11"/>
      <c r="L57" s="7"/>
    </row>
    <row r="58" spans="1:12" hidden="1" x14ac:dyDescent="0.55000000000000004">
      <c r="A58" s="144" t="s">
        <v>19</v>
      </c>
      <c r="B58" s="145"/>
      <c r="C58" s="96"/>
      <c r="D58" s="39" t="s">
        <v>21</v>
      </c>
      <c r="E58" s="32">
        <f t="shared" ref="E58:J58" si="24">+SUM(E36:E39)/E35</f>
      </c>
      <c r="F58" s="32">
        <f t="shared" si="24"/>
      </c>
      <c r="G58" s="32">
        <f t="shared" si="24"/>
      </c>
      <c r="H58" s="32">
        <f t="shared" si="24"/>
      </c>
      <c r="I58" s="32">
        <f t="shared" si="24"/>
      </c>
      <c r="J58" s="32">
        <f t="shared" si="24"/>
      </c>
      <c r="K58" s="11"/>
      <c r="L58" s="7"/>
    </row>
    <row r="59" spans="1:12" hidden="1" x14ac:dyDescent="0.55000000000000004">
      <c r="A59" s="152" t="s">
        <v>18</v>
      </c>
      <c r="B59" s="153"/>
      <c r="C59" s="97"/>
      <c r="D59" s="28"/>
      <c r="E59" s="28">
        <f>+IFERROR(E55/E40,0)</f>
      </c>
      <c r="F59" s="28">
        <f t="shared" ref="F59:J59" si="25">+IFERROR(F55/F40,0)</f>
      </c>
      <c r="G59" s="28">
        <f t="shared" si="25"/>
      </c>
      <c r="H59" s="28">
        <f t="shared" si="25"/>
      </c>
      <c r="I59" s="28">
        <f t="shared" si="25"/>
      </c>
      <c r="J59" s="28">
        <f t="shared" si="25"/>
      </c>
      <c r="K59" s="11"/>
      <c r="L59" s="7"/>
    </row>
    <row r="60" spans="1:12" hidden="1" x14ac:dyDescent="0.55000000000000004">
      <c r="A60" s="152" t="s">
        <v>114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54" t="s">
        <v>68</v>
      </c>
      <c r="B61" s="155"/>
      <c r="C61" s="98"/>
      <c r="D61" s="40">
        <f>+D55</f>
      </c>
      <c r="E61" s="40">
        <f>+SUM(E65:E72)+E54</f>
      </c>
      <c r="F61" s="40">
        <f t="shared" ref="F61:J61" si="26">+SUM(F65:F72)+F54</f>
      </c>
      <c r="G61" s="40">
        <f t="shared" si="26"/>
      </c>
      <c r="H61" s="40">
        <f t="shared" si="26"/>
      </c>
      <c r="I61" s="40">
        <f t="shared" si="26"/>
      </c>
      <c r="J61" s="40">
        <f t="shared" si="26"/>
      </c>
      <c r="K61" s="11"/>
      <c r="L61" s="7"/>
    </row>
    <row r="62" spans="1:12" hidden="1" x14ac:dyDescent="0.55000000000000004"/>
    <row r="64" spans="1:12" x14ac:dyDescent="0.55000000000000004">
      <c r="C64" s="5" t="s">
        <v>145</v>
      </c>
      <c r="D64" s="5" t="s">
        <v>146</v>
      </c>
    </row>
    <row r="65" spans="1:16" ht="18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s">
        <v>186</v>
      </c>
    </row>
    <row r="66" spans="1:16" x14ac:dyDescent="0.55000000000000004">
      <c r="A66" s="53" t="s">
        <v>49</v>
      </c>
      <c r="B66" s="6" t="s">
        <v>176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187</v>
      </c>
    </row>
    <row r="67" spans="1:16" x14ac:dyDescent="0.55000000000000004">
      <c r="B67" s="6" t="s">
        <v>188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189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27">IF(E34&lt;5000,5000,15000)</f>
      </c>
      <c r="F68" s="28">
        <f t="shared" si="27"/>
      </c>
      <c r="G68" s="28">
        <f t="shared" si="27"/>
      </c>
      <c r="H68" s="28">
        <f t="shared" si="27"/>
      </c>
      <c r="I68" s="28">
        <f t="shared" si="27"/>
      </c>
      <c r="J68" s="28">
        <f t="shared" si="27"/>
      </c>
      <c r="N68" s="69" t="s">
        <v>190</v>
      </c>
      <c r="O68" s="17" t="s">
        <v>126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100000</v>
      </c>
      <c r="E69" s="28">
        <v>300000</v>
      </c>
      <c r="F69" s="28">
        <v>100000</v>
      </c>
      <c r="G69" s="28">
        <v>100000</v>
      </c>
      <c r="H69" s="28">
        <v>300000</v>
      </c>
      <c r="I69" s="28">
        <v>100000</v>
      </c>
      <c r="J69" s="28">
        <v>100000</v>
      </c>
      <c r="N69" s="69" t="s">
        <v>192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125</v>
      </c>
    </row>
    <row r="71" spans="1:16" x14ac:dyDescent="0.55000000000000004">
      <c r="A71" s="15"/>
      <c r="B71" s="6" t="s">
        <v>123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124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148</v>
      </c>
      <c r="C73" s="113">
        <v>0</v>
      </c>
      <c r="D73" s="114">
        <f>SUM(D65:D72)</f>
      </c>
      <c r="E73" s="114">
        <f t="shared" ref="E73:J73" si="28">SUM(E65:E72)+E54</f>
      </c>
      <c r="F73" s="114">
        <f t="shared" si="28"/>
      </c>
      <c r="G73" s="114">
        <f t="shared" si="28"/>
      </c>
      <c r="H73" s="114">
        <f t="shared" si="28"/>
      </c>
      <c r="I73" s="114">
        <f t="shared" si="28"/>
      </c>
      <c r="J73" s="114">
        <f t="shared" si="28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29">+IF(D34&lt;30001,0,D34-30000)</f>
      </c>
      <c r="E75" s="41">
        <f t="shared" si="29"/>
      </c>
      <c r="F75" s="41">
        <f t="shared" si="29"/>
      </c>
      <c r="G75" s="41">
        <f t="shared" si="29"/>
      </c>
      <c r="H75" s="41">
        <f t="shared" si="29"/>
      </c>
      <c r="I75" s="41">
        <f t="shared" si="29"/>
      </c>
      <c r="J75" s="41">
        <f t="shared" si="29"/>
      </c>
    </row>
    <row r="76" spans="1:16" x14ac:dyDescent="0.55000000000000004">
      <c r="B76" s="5" t="s">
        <v>64</v>
      </c>
      <c r="D76" s="5">
        <f t="shared" ref="D76:J76" si="30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0"/>
      </c>
      <c r="F76" s="5">
        <f t="shared" si="30"/>
      </c>
      <c r="G76" s="5">
        <f t="shared" si="30"/>
      </c>
      <c r="H76" s="5">
        <f t="shared" si="30"/>
      </c>
      <c r="I76" s="5">
        <f t="shared" si="30"/>
      </c>
      <c r="J76" s="5">
        <f t="shared" si="30"/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140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135</v>
      </c>
      <c r="B4" s="7"/>
      <c r="C4" s="86" t="str">
        <f>+'SIM_ポップアップ＋サンクスLINE'!D24</f>
        <v>--</v>
      </c>
      <c r="D4" s="28">
        <f>+'SIM_ポップアップ＋サンクスLINE'!G51</f>
        <v>177000</v>
      </c>
      <c r="E4" s="28">
        <f>+'SIM_ポップアップ＋サンクスLINE'!J51</f>
        <v>177000</v>
      </c>
      <c r="F4" s="28"/>
    </row>
    <row r="5" spans="1:25" x14ac:dyDescent="0.55000000000000004">
      <c r="A5" s="85" t="s">
        <v>136</v>
      </c>
      <c r="B5" s="7"/>
      <c r="C5" s="86" t="str">
        <f>+'SIM_ポップアップ＋サンクスLINE'!D25</f>
        <v>--</v>
      </c>
      <c r="D5" s="28">
        <f>+'SIM_ポップアップ＋サンクスLINE'!G61</f>
        <v>165000</v>
      </c>
      <c r="E5" s="28">
        <f>+'SIM_ポップアップ＋サンクスLINE'!J61</f>
        <v>165000</v>
      </c>
      <c r="F5" s="27"/>
    </row>
    <row r="6" spans="1:25" x14ac:dyDescent="0.55000000000000004">
      <c r="A6" s="85" t="s">
        <v>74</v>
      </c>
      <c r="B6" s="7"/>
      <c r="C6" s="117">
        <f>+'SIM_ポップアップ＋サンクスLINE'!D28</f>
        <v>0</v>
      </c>
      <c r="D6" s="87">
        <f>+'SIM_ポップアップ＋サンクスLINE'!G28</f>
        <v>65.362499999999997</v>
      </c>
      <c r="E6" s="87">
        <f>+'SIM_ポップアップ＋サンクスLINE'!J28</f>
        <v>130.72499999999999</v>
      </c>
      <c r="F6" s="10"/>
    </row>
    <row r="7" spans="1:25" x14ac:dyDescent="0.55000000000000004">
      <c r="A7" s="85" t="s">
        <v>75</v>
      </c>
      <c r="B7" s="7"/>
      <c r="C7" s="88">
        <f>+'SIM_ポップアップ＋サンクスLINE'!D27</f>
        <v>0</v>
      </c>
      <c r="D7" s="89">
        <f>+'SIM_ポップアップ＋サンクスLINE'!G27</f>
        <v>0.29499999999999998</v>
      </c>
      <c r="E7" s="89">
        <f>+'SIM_ポップアップ＋サンクスLINE'!J27</f>
        <v>0.31</v>
      </c>
      <c r="F7" s="89"/>
    </row>
    <row r="8" spans="1:25" x14ac:dyDescent="0.55000000000000004">
      <c r="A8" s="85" t="s">
        <v>76</v>
      </c>
      <c r="B8" s="7"/>
      <c r="C8" s="117">
        <f>+'SIM_ポップアップ＋サンクスLINE'!D29</f>
        <v>0</v>
      </c>
      <c r="D8" s="10">
        <f>+'SIM_ポップアップ＋サンクスLINE'!G29</f>
        <v>46.080562499999999</v>
      </c>
      <c r="E8" s="10">
        <f>+'SIM_ポップアップ＋サンクスLINE'!J29</f>
        <v>90.200249999999983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+'SIM_ポップアップ＋サンクスLINE'!D34</f>
        <v>0</v>
      </c>
      <c r="D10" s="10">
        <f>+'SIM_ポップアップ＋サンクスLINE'!G34</f>
        <v>88.963274999999996</v>
      </c>
      <c r="E10" s="10">
        <f>+'SIM_ポップアップ＋サンクスLINE'!J34</f>
        <v>130.69069500000001</v>
      </c>
      <c r="F10" s="10"/>
    </row>
    <row r="11" spans="1:25" x14ac:dyDescent="0.55000000000000004">
      <c r="A11" s="85" t="s">
        <v>79</v>
      </c>
      <c r="B11" s="7"/>
      <c r="C11" s="117">
        <f>+'SIM_ポップアップ＋サンクスLINE'!D35</f>
        <v>0</v>
      </c>
      <c r="D11" s="10">
        <f>+'SIM_ポップアップ＋サンクスLINE'!G35</f>
        <v>21.238676598979133</v>
      </c>
      <c r="E11" s="10">
        <f>+'SIM_ポップアップ＋サンクスLINE'!J35</f>
        <v>31.00746578693694</v>
      </c>
      <c r="F11" s="10"/>
    </row>
    <row r="12" spans="1:25" x14ac:dyDescent="0.55000000000000004">
      <c r="A12" s="85" t="s">
        <v>142</v>
      </c>
      <c r="B12" s="7"/>
      <c r="C12" s="28">
        <f>+IFERROR(C5/C11,0)</f>
        <v>0</v>
      </c>
      <c r="D12" s="28">
        <f>+D4/D11</f>
        <v>8333.8525908204538</v>
      </c>
      <c r="E12" s="28">
        <f t="shared" ref="E12" si="0">+E4/E11</f>
        <v>5708.3026783365149</v>
      </c>
      <c r="F12" s="28"/>
    </row>
    <row r="13" spans="1:25" x14ac:dyDescent="0.55000000000000004">
      <c r="A13" s="85" t="s">
        <v>143</v>
      </c>
      <c r="B13" s="7"/>
      <c r="C13" s="28">
        <f>+IFERROR(C6/C12,0)</f>
        <v>0</v>
      </c>
      <c r="D13" s="28">
        <f>+D5/D11</f>
        <v>7768.8456355105927</v>
      </c>
      <c r="E13" s="28">
        <f t="shared" ref="E13" si="1">+E5/E11</f>
        <v>5321.2991069238706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193</v>
      </c>
      <c r="B15" s="7"/>
      <c r="C15" s="87">
        <f>+'SIM_ポップアップ＋サンクスLINE'!$H$10</f>
        <v>80</v>
      </c>
      <c r="D15" s="87">
        <f>+'SIM_ポップアップ＋サンクスLINE'!$H$10</f>
        <v>80</v>
      </c>
      <c r="E15" s="87">
        <f>+'SIM_ポップアップ＋サンクスLINE'!$H$10</f>
        <v>80</v>
      </c>
      <c r="F15" s="87"/>
      <c r="R15" s="5" t="s">
        <v>57</v>
      </c>
    </row>
    <row r="16" spans="1:25" x14ac:dyDescent="0.55000000000000004">
      <c r="A16" s="85" t="s">
        <v>194</v>
      </c>
      <c r="B16" s="7"/>
      <c r="C16" s="87">
        <f>SUM(C17:C20)</f>
        <v>0</v>
      </c>
      <c r="D16" s="87">
        <f>SUM(D17:D20)</f>
        <v>1</v>
      </c>
      <c r="E16" s="87">
        <f>SUM(E17:E20)</f>
        <v>1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195</v>
      </c>
      <c r="B17" s="7"/>
      <c r="C17" s="87">
        <f>+'SIM_ポップアップ＋サンクスLINE'!D36</f>
        <v>0</v>
      </c>
      <c r="D17" s="87">
        <f>+'SIM_ポップアップ＋サンクスLINE'!G36</f>
        <v>1</v>
      </c>
      <c r="E17" s="87">
        <f>+'SIM_ポップアップ＋サンクスLINE'!J36</f>
        <v>1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196</v>
      </c>
      <c r="B18" s="7"/>
      <c r="C18" s="87">
        <f>+'SIM_ポップアップ＋サンクスLINE'!D37</f>
        <v>0</v>
      </c>
      <c r="D18" s="87">
        <f>+'SIM_ポップアップ＋サンクスLINE'!G37</f>
        <v>0</v>
      </c>
      <c r="E18" s="87">
        <f>+'SIM_ポップアップ＋サンクスLINE'!J37</f>
        <v>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inlineStr">
        <is>
          <t xml:space="preserve">CV③_セミナー予約（リピート）</t>
        </is>
      </c>
      <c r="B19" s="7"/>
      <c r="C19" s="87">
        <f>+'SIM_ポップアップ＋サンクスLINE'!D38</f>
        <v>0</v>
      </c>
      <c r="D19" s="87">
        <f>+'SIM_ポップアップ＋サンクスLINE'!G38</f>
        <v>0</v>
      </c>
      <c r="E19" s="87">
        <f>+'SIM_ポップアップ＋サンクスLINE'!J38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+'SIM_ポップアップ＋サンクスLINE'!D39</f>
        <v>0</v>
      </c>
      <c r="D20" s="87">
        <f>+'SIM_ポップアップ＋サンクスLINE'!G39</f>
        <v>0</v>
      </c>
      <c r="E20" s="87">
        <f>+'SIM_ポップアップ＋サンクスLINE'!J39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137</v>
      </c>
      <c r="B22" s="7"/>
      <c r="C22" s="90" t="str">
        <f>+IFERROR(C4/C16,"--")</f>
        <v>--</v>
      </c>
      <c r="D22" s="90">
        <f t="shared" ref="D22:E22" si="2">+IFERROR(D4/D16,"--")</f>
        <v>177000</v>
      </c>
      <c r="E22" s="90">
        <f t="shared" si="2"/>
        <v>177000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138</v>
      </c>
      <c r="B23" s="7"/>
      <c r="C23" s="90" t="str">
        <f>+IFERROR(C5/C16,"--")</f>
        <v>--</v>
      </c>
      <c r="D23" s="90">
        <f t="shared" ref="D23" si="3">+IFERROR(D5/D16,"--")</f>
        <v>165000</v>
      </c>
      <c r="E23" s="90">
        <f t="shared" ref="E23" si="4">+IFERROR(E5/E16,"--")</f>
        <v>165000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144</v>
      </c>
      <c r="B25" s="7"/>
      <c r="C25" s="10">
        <f>+'SIM_ポップアップ＋サンクスLINE'!E68+C29*C30</f>
        <v>5000</v>
      </c>
      <c r="D25" s="10">
        <f>+'SIM_ポップアップ＋サンクスLINE'!G68+D29*D30</f>
        <v>5000</v>
      </c>
      <c r="E25" s="10">
        <f>+'SIM_ポップアップ＋サンクスLINE'!J68+E29*E30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141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139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132</v>
      </c>
      <c r="D35" s="94" t="s">
        <v>133</v>
      </c>
      <c r="E35" s="94" t="s">
        <v>134</v>
      </c>
      <c r="F35" s="94" t="s">
        <v>134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SIM_ポップアップ＋サンクスLINE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2026-10-20T05:46:57Z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
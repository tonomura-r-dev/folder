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_数値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0.0"/>
  </numFmts>
  <fonts count="8">
    <font>
      <name val="Calibri"/>
      <family val="2"/>
      <color theme="1"/>
      <sz val="11"/>
      <scheme val="minor"/>
    </font>
    <font>
      <name val="メイリオ"/>
      <b val="1"/>
      <color rgb="00002060"/>
      <sz val="14"/>
    </font>
    <font>
      <name val="メイリオ"/>
      <color rgb="00996600"/>
      <sz val="9"/>
    </font>
    <font>
      <name val="メイリオ"/>
      <color rgb="00333333"/>
      <sz val="10"/>
    </font>
    <font>
      <name val="メイリオ"/>
      <b val="1"/>
      <color rgb="00333333"/>
      <sz val="10"/>
    </font>
    <font>
      <name val="メイリオ"/>
      <b val="1"/>
      <color rgb="00FFFFFF"/>
      <sz val="10"/>
    </font>
    <font>
      <name val="メイリオ"/>
      <b val="1"/>
      <color rgb="00C00000"/>
      <sz val="10"/>
    </font>
    <font>
      <name val="メイリオ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285A"/>
      </patternFill>
    </fill>
    <fill>
      <patternFill patternType="solid">
        <fgColor rgb="00F4F7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3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3" fillId="0" borderId="1" pivotButton="0" quotePrefix="0" xfId="0"/>
    <xf numFmtId="165" fontId="3" fillId="2" borderId="1" pivotButton="0" quotePrefix="0" xfId="0"/>
    <xf numFmtId="2" fontId="3" fillId="2" borderId="1" pivotButton="0" quotePrefix="0" xfId="0"/>
    <xf numFmtId="3" fontId="3" fillId="2" borderId="1" pivotButton="0" quotePrefix="0" xfId="0"/>
    <xf numFmtId="3" fontId="3" fillId="0" borderId="1" pivotButton="0" quotePrefix="0" xfId="0"/>
    <xf numFmtId="166" fontId="3" fillId="0" borderId="1" pivotButton="0" quotePrefix="0" xfId="0"/>
    <xf numFmtId="3" fontId="4" fillId="0" borderId="1" pivotButton="0" quotePrefix="0" xfId="0"/>
    <xf numFmtId="0" fontId="4" fillId="0" borderId="0" pivotButton="0" quotePrefix="0" xfId="0"/>
    <xf numFmtId="3" fontId="6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チェングロウス LINE公式アカウント 友だち追加数の数値感（仮置き）</t>
        </is>
      </c>
    </row>
    <row r="2">
      <c r="A2" s="2" t="inlineStr">
        <is>
          <t>黄色セル＝前提（変更可）。広告SIM確定後に差し替え。</t>
        </is>
      </c>
    </row>
    <row r="4">
      <c r="A4" s="3" t="inlineStr">
        <is>
          <t>広告費（月・Meta30万＋リスティング70万）</t>
        </is>
      </c>
      <c r="C4" s="4" t="n">
        <v>1000000</v>
      </c>
    </row>
    <row r="5">
      <c r="A5" s="3" t="inlineStr">
        <is>
          <t>クリック単価（円）</t>
        </is>
      </c>
      <c r="C5" s="4" t="n">
        <v>200</v>
      </c>
    </row>
    <row r="6">
      <c r="A6" s="3" t="inlineStr">
        <is>
          <t>① 離脱防止：表示率</t>
        </is>
      </c>
      <c r="C6" s="5" t="n">
        <v>0.4</v>
      </c>
    </row>
    <row r="7">
      <c r="A7" s="3" t="inlineStr">
        <is>
          <t>① 離脱防止：クリック率</t>
        </is>
      </c>
      <c r="C7" s="5" t="n">
        <v>0.125</v>
      </c>
    </row>
    <row r="8">
      <c r="A8" s="3" t="inlineStr">
        <is>
          <t>① 離脱防止：追加率</t>
        </is>
      </c>
      <c r="C8" s="5" t="n">
        <v>0.125</v>
      </c>
    </row>
    <row r="9">
      <c r="A9" s="3" t="inlineStr">
        <is>
          <t>② LINEで登録：登録率（対UU）</t>
        </is>
      </c>
      <c r="C9" s="5" t="n">
        <v>0.005</v>
      </c>
    </row>
    <row r="10">
      <c r="A10" s="3" t="inlineStr">
        <is>
          <t>③ 完了画面：遷移率</t>
        </is>
      </c>
      <c r="C10" s="5" t="n">
        <v>0.8</v>
      </c>
    </row>
    <row r="11">
      <c r="A11" s="3" t="inlineStr">
        <is>
          <t>③ 完了画面：追加率</t>
        </is>
      </c>
      <c r="C11" s="5" t="n">
        <v>0.45</v>
      </c>
    </row>
    <row r="12">
      <c r="A12" s="3" t="inlineStr">
        <is>
          <t>LINE初期費用</t>
        </is>
      </c>
      <c r="C12" s="4" t="n">
        <v>200000</v>
      </c>
    </row>
    <row r="13">
      <c r="A13" s="3" t="inlineStr">
        <is>
          <t>LINE月額費用</t>
        </is>
      </c>
      <c r="C13" s="4" t="n">
        <v>200000</v>
      </c>
    </row>
    <row r="15">
      <c r="A15" s="3" t="inlineStr">
        <is>
          <t>UU（基準・月）＝広告費÷クリック単価</t>
        </is>
      </c>
      <c r="C15" s="6">
        <f>$C$4/$C$5</f>
        <v/>
      </c>
    </row>
    <row r="17">
      <c r="A17" s="7" t="inlineStr">
        <is>
          <t>月</t>
        </is>
      </c>
      <c r="B17" s="7" t="inlineStr">
        <is>
          <t>季節係数</t>
        </is>
      </c>
      <c r="C17" s="7" t="inlineStr">
        <is>
          <t>立ち上げ係数</t>
        </is>
      </c>
      <c r="D17" s="7" t="inlineStr">
        <is>
          <t>CPA（円）</t>
        </is>
      </c>
      <c r="E17" s="7" t="inlineStr">
        <is>
          <t>UU</t>
        </is>
      </c>
      <c r="F17" s="7" t="inlineStr">
        <is>
          <t>応募数</t>
        </is>
      </c>
      <c r="G17" s="7" t="inlineStr">
        <is>
          <t>① 離脱防止</t>
        </is>
      </c>
      <c r="H17" s="7" t="inlineStr">
        <is>
          <t>② LINEで登録</t>
        </is>
      </c>
      <c r="I17" s="7" t="inlineStr">
        <is>
          <t>③ 完了画面</t>
        </is>
      </c>
      <c r="J17" s="7" t="inlineStr">
        <is>
          <t>友だち追加（月）</t>
        </is>
      </c>
      <c r="K17" s="7" t="inlineStr">
        <is>
          <t>友だち追加（累計）</t>
        </is>
      </c>
    </row>
    <row r="18">
      <c r="A18" s="8" t="inlineStr">
        <is>
          <t>4月</t>
        </is>
      </c>
      <c r="B18" s="9" t="n">
        <v>1.0175</v>
      </c>
      <c r="C18" s="10" t="n">
        <v>0.62</v>
      </c>
      <c r="D18" s="11" t="n">
        <v>25000</v>
      </c>
      <c r="E18" s="12">
        <f>$C$15*B18</f>
        <v/>
      </c>
      <c r="F18" s="13">
        <f>$C$4/D18</f>
        <v/>
      </c>
      <c r="G18" s="13">
        <f>E18*$C$6*$C$7*$C$8*C18</f>
        <v/>
      </c>
      <c r="H18" s="13">
        <f>E18*$C$9*C18</f>
        <v/>
      </c>
      <c r="I18" s="13">
        <f>F18*$C$10*$C$11*C18</f>
        <v/>
      </c>
      <c r="J18" s="14">
        <f>ROUND(G18+H18+I18,0)</f>
        <v/>
      </c>
      <c r="K18" s="14">
        <f>J18</f>
        <v/>
      </c>
    </row>
    <row r="19">
      <c r="A19" s="8" t="inlineStr">
        <is>
          <t>5月</t>
        </is>
      </c>
      <c r="B19" s="9" t="n">
        <v>1.002</v>
      </c>
      <c r="C19" s="10" t="n">
        <v>0.8100000000000001</v>
      </c>
      <c r="D19" s="11" t="n">
        <v>24300</v>
      </c>
      <c r="E19" s="12">
        <f>$C$15*B19</f>
        <v/>
      </c>
      <c r="F19" s="13">
        <f>$C$4/D19</f>
        <v/>
      </c>
      <c r="G19" s="13">
        <f>E19*$C$6*$C$7*$C$8*C19</f>
        <v/>
      </c>
      <c r="H19" s="13">
        <f>E19*$C$9*C19</f>
        <v/>
      </c>
      <c r="I19" s="13">
        <f>F19*$C$10*$C$11*C19</f>
        <v/>
      </c>
      <c r="J19" s="14">
        <f>ROUND(G19+H19+I19,0)</f>
        <v/>
      </c>
      <c r="K19" s="14">
        <f>K18+J19</f>
        <v/>
      </c>
    </row>
    <row r="20">
      <c r="A20" s="8" t="inlineStr">
        <is>
          <t>6月</t>
        </is>
      </c>
      <c r="B20" s="9" t="n">
        <v>0.9944999999999999</v>
      </c>
      <c r="C20" s="10" t="n">
        <v>0.93</v>
      </c>
      <c r="D20" s="11" t="n">
        <v>23400</v>
      </c>
      <c r="E20" s="12">
        <f>$C$15*B20</f>
        <v/>
      </c>
      <c r="F20" s="13">
        <f>$C$4/D20</f>
        <v/>
      </c>
      <c r="G20" s="13">
        <f>E20*$C$6*$C$7*$C$8*C20</f>
        <v/>
      </c>
      <c r="H20" s="13">
        <f>E20*$C$9*C20</f>
        <v/>
      </c>
      <c r="I20" s="13">
        <f>F20*$C$10*$C$11*C20</f>
        <v/>
      </c>
      <c r="J20" s="14">
        <f>ROUND(G20+H20+I20,0)</f>
        <v/>
      </c>
      <c r="K20" s="14">
        <f>K19+J20</f>
        <v/>
      </c>
    </row>
    <row r="21">
      <c r="A21" s="8" t="inlineStr">
        <is>
          <t>7月</t>
        </is>
      </c>
      <c r="B21" s="9" t="n">
        <v>1.013</v>
      </c>
      <c r="C21" s="10" t="n">
        <v>1</v>
      </c>
      <c r="D21" s="11" t="n">
        <v>22100</v>
      </c>
      <c r="E21" s="12">
        <f>$C$15*B21</f>
        <v/>
      </c>
      <c r="F21" s="13">
        <f>$C$4/D21</f>
        <v/>
      </c>
      <c r="G21" s="13">
        <f>E21*$C$6*$C$7*$C$8*C21</f>
        <v/>
      </c>
      <c r="H21" s="13">
        <f>E21*$C$9*C21</f>
        <v/>
      </c>
      <c r="I21" s="13">
        <f>F21*$C$10*$C$11*C21</f>
        <v/>
      </c>
      <c r="J21" s="14">
        <f>ROUND(G21+H21+I21,0)</f>
        <v/>
      </c>
      <c r="K21" s="14">
        <f>K20+J21</f>
        <v/>
      </c>
    </row>
    <row r="22">
      <c r="A22" s="8" t="inlineStr">
        <is>
          <t>8月</t>
        </is>
      </c>
      <c r="B22" s="9" t="n">
        <v>0.9844999999999999</v>
      </c>
      <c r="C22" s="10" t="n">
        <v>1.03</v>
      </c>
      <c r="D22" s="11" t="n">
        <v>22600</v>
      </c>
      <c r="E22" s="12">
        <f>$C$15*B22</f>
        <v/>
      </c>
      <c r="F22" s="13">
        <f>$C$4/D22</f>
        <v/>
      </c>
      <c r="G22" s="13">
        <f>E22*$C$6*$C$7*$C$8*C22</f>
        <v/>
      </c>
      <c r="H22" s="13">
        <f>E22*$C$9*C22</f>
        <v/>
      </c>
      <c r="I22" s="13">
        <f>F22*$C$10*$C$11*C22</f>
        <v/>
      </c>
      <c r="J22" s="14">
        <f>ROUND(G22+H22+I22,0)</f>
        <v/>
      </c>
      <c r="K22" s="14">
        <f>K21+J22</f>
        <v/>
      </c>
    </row>
    <row r="23">
      <c r="A23" s="8" t="inlineStr">
        <is>
          <t>9月</t>
        </is>
      </c>
      <c r="B23" s="9" t="n">
        <v>1.0235</v>
      </c>
      <c r="C23" s="10" t="n">
        <v>1.05</v>
      </c>
      <c r="D23" s="11" t="n">
        <v>21200</v>
      </c>
      <c r="E23" s="12">
        <f>$C$15*B23</f>
        <v/>
      </c>
      <c r="F23" s="13">
        <f>$C$4/D23</f>
        <v/>
      </c>
      <c r="G23" s="13">
        <f>E23*$C$6*$C$7*$C$8*C23</f>
        <v/>
      </c>
      <c r="H23" s="13">
        <f>E23*$C$9*C23</f>
        <v/>
      </c>
      <c r="I23" s="13">
        <f>F23*$C$10*$C$11*C23</f>
        <v/>
      </c>
      <c r="J23" s="14">
        <f>ROUND(G23+H23+I23,0)</f>
        <v/>
      </c>
      <c r="K23" s="14">
        <f>K22+J23</f>
        <v/>
      </c>
    </row>
    <row r="24">
      <c r="A24" s="8" t="inlineStr">
        <is>
          <t>10月</t>
        </is>
      </c>
      <c r="B24" s="9" t="n">
        <v>0.99</v>
      </c>
      <c r="C24" s="10" t="n">
        <v>1.06</v>
      </c>
      <c r="D24" s="11" t="n">
        <v>21500</v>
      </c>
      <c r="E24" s="12">
        <f>$C$15*B24</f>
        <v/>
      </c>
      <c r="F24" s="13">
        <f>$C$4/D24</f>
        <v/>
      </c>
      <c r="G24" s="13">
        <f>E24*$C$6*$C$7*$C$8*C24</f>
        <v/>
      </c>
      <c r="H24" s="13">
        <f>E24*$C$9*C24</f>
        <v/>
      </c>
      <c r="I24" s="13">
        <f>F24*$C$10*$C$11*C24</f>
        <v/>
      </c>
      <c r="J24" s="14">
        <f>ROUND(G24+H24+I24,0)</f>
        <v/>
      </c>
      <c r="K24" s="14">
        <f>K23+J24</f>
        <v/>
      </c>
    </row>
    <row r="25">
      <c r="A25" s="8" t="inlineStr">
        <is>
          <t>11月</t>
        </is>
      </c>
      <c r="B25" s="9" t="n">
        <v>0.9450000000000001</v>
      </c>
      <c r="C25" s="10" t="n">
        <v>1.07</v>
      </c>
      <c r="D25" s="11" t="n">
        <v>22300</v>
      </c>
      <c r="E25" s="12">
        <f>$C$15*B25</f>
        <v/>
      </c>
      <c r="F25" s="13">
        <f>$C$4/D25</f>
        <v/>
      </c>
      <c r="G25" s="13">
        <f>E25*$C$6*$C$7*$C$8*C25</f>
        <v/>
      </c>
      <c r="H25" s="13">
        <f>E25*$C$9*C25</f>
        <v/>
      </c>
      <c r="I25" s="13">
        <f>F25*$C$10*$C$11*C25</f>
        <v/>
      </c>
      <c r="J25" s="14">
        <f>ROUND(G25+H25+I25,0)</f>
        <v/>
      </c>
      <c r="K25" s="14">
        <f>K24+J25</f>
        <v/>
      </c>
    </row>
    <row r="26">
      <c r="A26" s="8" t="inlineStr">
        <is>
          <t>12月</t>
        </is>
      </c>
      <c r="B26" s="9" t="n">
        <v>0.9095</v>
      </c>
      <c r="C26" s="10" t="n">
        <v>1.07</v>
      </c>
      <c r="D26" s="11" t="n">
        <v>23800</v>
      </c>
      <c r="E26" s="12">
        <f>$C$15*B26</f>
        <v/>
      </c>
      <c r="F26" s="13">
        <f>$C$4/D26</f>
        <v/>
      </c>
      <c r="G26" s="13">
        <f>E26*$C$6*$C$7*$C$8*C26</f>
        <v/>
      </c>
      <c r="H26" s="13">
        <f>E26*$C$9*C26</f>
        <v/>
      </c>
      <c r="I26" s="13">
        <f>F26*$C$10*$C$11*C26</f>
        <v/>
      </c>
      <c r="J26" s="14">
        <f>ROUND(G26+H26+I26,0)</f>
        <v/>
      </c>
      <c r="K26" s="14">
        <f>K25+J26</f>
        <v/>
      </c>
    </row>
    <row r="27">
      <c r="A27" s="8" t="inlineStr">
        <is>
          <t>1月</t>
        </is>
      </c>
      <c r="B27" s="9" t="n">
        <v>1.014</v>
      </c>
      <c r="C27" s="10" t="n">
        <v>1.09</v>
      </c>
      <c r="D27" s="11" t="n">
        <v>20900</v>
      </c>
      <c r="E27" s="12">
        <f>$C$15*B27</f>
        <v/>
      </c>
      <c r="F27" s="13">
        <f>$C$4/D27</f>
        <v/>
      </c>
      <c r="G27" s="13">
        <f>E27*$C$6*$C$7*$C$8*C27</f>
        <v/>
      </c>
      <c r="H27" s="13">
        <f>E27*$C$9*C27</f>
        <v/>
      </c>
      <c r="I27" s="13">
        <f>F27*$C$10*$C$11*C27</f>
        <v/>
      </c>
      <c r="J27" s="14">
        <f>ROUND(G27+H27+I27,0)</f>
        <v/>
      </c>
      <c r="K27" s="14">
        <f>K26+J27</f>
        <v/>
      </c>
    </row>
    <row r="28">
      <c r="A28" s="8" t="inlineStr">
        <is>
          <t>2月</t>
        </is>
      </c>
      <c r="B28" s="9" t="n">
        <v>1.04</v>
      </c>
      <c r="C28" s="10" t="n">
        <v>1.1</v>
      </c>
      <c r="D28" s="11" t="n">
        <v>20300</v>
      </c>
      <c r="E28" s="12">
        <f>$C$15*B28</f>
        <v/>
      </c>
      <c r="F28" s="13">
        <f>$C$4/D28</f>
        <v/>
      </c>
      <c r="G28" s="13">
        <f>E28*$C$6*$C$7*$C$8*C28</f>
        <v/>
      </c>
      <c r="H28" s="13">
        <f>E28*$C$9*C28</f>
        <v/>
      </c>
      <c r="I28" s="13">
        <f>F28*$C$10*$C$11*C28</f>
        <v/>
      </c>
      <c r="J28" s="14">
        <f>ROUND(G28+H28+I28,0)</f>
        <v/>
      </c>
      <c r="K28" s="14">
        <f>K27+J28</f>
        <v/>
      </c>
    </row>
    <row r="29">
      <c r="A29" s="8" t="inlineStr">
        <is>
          <t>3月</t>
        </is>
      </c>
      <c r="B29" s="9" t="n">
        <v>1.066</v>
      </c>
      <c r="C29" s="10" t="n">
        <v>1.11</v>
      </c>
      <c r="D29" s="11" t="n">
        <v>19800</v>
      </c>
      <c r="E29" s="12">
        <f>$C$15*B29</f>
        <v/>
      </c>
      <c r="F29" s="13">
        <f>$C$4/D29</f>
        <v/>
      </c>
      <c r="G29" s="13">
        <f>E29*$C$6*$C$7*$C$8*C29</f>
        <v/>
      </c>
      <c r="H29" s="13">
        <f>E29*$C$9*C29</f>
        <v/>
      </c>
      <c r="I29" s="13">
        <f>F29*$C$10*$C$11*C29</f>
        <v/>
      </c>
      <c r="J29" s="14">
        <f>ROUND(G29+H29+I29,0)</f>
        <v/>
      </c>
      <c r="K29" s="14">
        <f>K28+J29</f>
        <v/>
      </c>
    </row>
    <row r="31">
      <c r="A31" s="15" t="inlineStr">
        <is>
          <t>LINE費用（12ヶ月）＝初期＋月額×12</t>
        </is>
      </c>
      <c r="C31" s="16">
        <f>$C$12+$C$13*12</f>
        <v/>
      </c>
    </row>
    <row r="32">
      <c r="A32" s="15" t="inlineStr">
        <is>
          <t>友だち追加（翌3月までの累計）</t>
        </is>
      </c>
      <c r="C32" s="16">
        <f>K29</f>
        <v/>
      </c>
    </row>
    <row r="33">
      <c r="A33" s="15" t="inlineStr">
        <is>
          <t>友だち1人あたりの費用</t>
        </is>
      </c>
      <c r="C33" s="16">
        <f>C31/C32</f>
        <v/>
      </c>
    </row>
    <row r="34">
      <c r="A34" s="15" t="inlineStr">
        <is>
          <t>（比較）応募1件のCPA（4月）</t>
        </is>
      </c>
      <c r="C34" s="16">
        <f>D18</f>
        <v/>
      </c>
    </row>
    <row r="36">
      <c r="A36" s="17" t="inlineStr">
        <is>
          <t>季節係数：Googleトレンド「整備士」5年の月平均。予算上限があるので波は半分だけ効かせる／立ち上げ係数：4月開設→調整→運用改善／CPA：2.5万から改善、8月・11〜12月は一時悪化</t>
        </is>
      </c>
    </row>
    <row r="37">
      <c r="A37" s="17" t="inlineStr">
        <is>
          <t>通知メッセージ経由（Indeed・求人ボックスの応募者）は含まない（応募数が不明のため・上振れ要素）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2026-09-28T11:35:45Z</dcterms:created>
  <dcterms:modified xmlns:dcterms="http://purl.org/dc/terms/" xmlns:xsi="http://www.w3.org/2001/XMLSchema-instance" xsi:type="dcterms:W3CDTF">2026-09-28T11:35:45Z</dcterms:modified>
</cp:coreProperties>
</file>
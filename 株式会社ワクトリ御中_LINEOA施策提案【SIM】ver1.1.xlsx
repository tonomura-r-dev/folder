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A27D118C-E5AE-48BE-B104-54DFFCAAFE0C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3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E22" i="5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 s="1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6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6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E44" i="3" l="1"/>
  <c r="E51" i="3" s="1"/>
  <c r="E54" i="3"/>
  <c r="F40" i="3"/>
  <c r="F41" i="3" s="1"/>
  <c r="F50" i="3"/>
  <c r="F76" i="3"/>
  <c r="E41" i="3"/>
  <c r="E41" i="1"/>
  <c r="F48" i="1"/>
  <c r="F58" i="1"/>
  <c r="F68" i="1"/>
  <c r="F45" i="1" s="1"/>
  <c r="F75" i="1"/>
  <c r="I28" i="1"/>
  <c r="H29" i="1"/>
  <c r="H46" i="1"/>
  <c r="H56" i="1"/>
  <c r="G31" i="1"/>
  <c r="G35" i="1" s="1"/>
  <c r="G36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E47" i="3" l="1"/>
  <c r="E49" i="3"/>
  <c r="E61" i="3"/>
  <c r="E57" i="3" s="1"/>
  <c r="E55" i="3"/>
  <c r="E59" i="3" s="1"/>
  <c r="E73" i="3"/>
  <c r="F50" i="1"/>
  <c r="F40" i="1"/>
  <c r="F76" i="1"/>
  <c r="J28" i="1"/>
  <c r="I29" i="1"/>
  <c r="I46" i="1"/>
  <c r="I56" i="1"/>
  <c r="H31" i="1"/>
  <c r="H35" i="1" s="1"/>
  <c r="H36" i="1" s="1"/>
  <c r="H34" i="1"/>
  <c r="D11" i="2"/>
  <c r="G68" i="1"/>
  <c r="D10" i="2"/>
  <c r="D29" i="2" s="1"/>
  <c r="D30" i="2" s="1"/>
  <c r="G75" i="1"/>
  <c r="G36" i="3"/>
  <c r="G58" i="3" s="1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1" i="1"/>
  <c r="J29" i="1"/>
  <c r="J46" i="1"/>
  <c r="J56" i="1"/>
  <c r="E6" i="2"/>
  <c r="I31" i="1"/>
  <c r="I35" i="1" s="1"/>
  <c r="I36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G54" i="3" l="1"/>
  <c r="G44" i="3"/>
  <c r="G51" i="3" s="1"/>
  <c r="F47" i="1"/>
  <c r="F49" i="1"/>
  <c r="F61" i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G61" i="3"/>
  <c r="G73" i="3"/>
  <c r="G55" i="3"/>
  <c r="G59" i="3" s="1"/>
  <c r="J31" i="3"/>
  <c r="J35" i="3" s="1"/>
  <c r="J34" i="3"/>
  <c r="E8" i="4"/>
  <c r="I36" i="3"/>
  <c r="I68" i="3"/>
  <c r="I45" i="3" s="1"/>
  <c r="I75" i="3"/>
  <c r="H40" i="3"/>
  <c r="H50" i="3"/>
  <c r="H76" i="3"/>
  <c r="G41" i="1"/>
  <c r="H58" i="3"/>
  <c r="H48" i="3"/>
  <c r="D4" i="4" l="1"/>
  <c r="G47" i="3"/>
  <c r="G49" i="3"/>
  <c r="I48" i="3"/>
  <c r="I58" i="3"/>
  <c r="H54" i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H61" i="1"/>
  <c r="H57" i="1" s="1"/>
  <c r="H73" i="1"/>
  <c r="H55" i="1"/>
  <c r="H59" i="1" s="1"/>
  <c r="D5" i="2"/>
  <c r="G57" i="1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D12" i="4" l="1"/>
  <c r="D22" i="4"/>
  <c r="I44" i="1"/>
  <c r="I51" i="1" s="1"/>
  <c r="I54" i="1"/>
  <c r="H47" i="1"/>
  <c r="H49" i="1"/>
  <c r="D12" i="2"/>
  <c r="D22" i="2"/>
  <c r="J50" i="1"/>
  <c r="J40" i="1"/>
  <c r="E17" i="2"/>
  <c r="E16" i="2" s="1"/>
  <c r="E25" i="2"/>
  <c r="J45" i="1"/>
  <c r="J76" i="1"/>
  <c r="I41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4" i="3" l="1"/>
  <c r="J51" i="3" s="1"/>
  <c r="J54" i="3"/>
  <c r="I47" i="1"/>
  <c r="I49" i="1"/>
  <c r="J41" i="1"/>
  <c r="K40" i="1"/>
  <c r="J54" i="1"/>
  <c r="J61" i="1" s="1"/>
  <c r="J44" i="1"/>
  <c r="J51" i="1" s="1"/>
  <c r="J73" i="1"/>
  <c r="J55" i="1"/>
  <c r="J59" i="1" s="1"/>
  <c r="K40" i="3"/>
  <c r="J41" i="3"/>
  <c r="E4" i="4"/>
  <c r="J47" i="3"/>
  <c r="J49" i="3"/>
  <c r="J61" i="3" l="1"/>
  <c r="J73" i="3"/>
  <c r="J55" i="3"/>
  <c r="J59" i="3" s="1"/>
  <c r="E4" i="2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<sst xmlns="http://schemas.openxmlformats.org/spreadsheetml/2006/main" count="507" uniqueCount="201">
  <si>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</si>
  <si>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</si>
  <si>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</si>
  <si>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</si>
  <si>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</si>
  <si>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</si>
  <si>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</si>
  <si>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</si>
  <si>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</si>
  <si>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</si>
  <si>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</si>
  <si>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</si>
  <si>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</si>
  <si>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</si>
  <si>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</si>
  <si>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</si>
  <si>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</si>
  <si>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</si>
  <si>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</si>
  <si>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</si>
  <si>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</si>
  <si>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</si>
  <si>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</si>
  <si>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</si>
  <si>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</si>
  <si>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</si>
  <si>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</si>
  <si>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</si>
  <si>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</si>
  <si>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</si>
  <si>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</si>
  <si>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</si>
  <si>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</si>
  <si>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</si>
  <si>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</si>
  <si>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</si>
  <si>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</si>
  <si>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</si>
  <si>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</si>
  <si>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</si>
  <si>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</si>
  <si>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</si>
  <si>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</si>
  <si>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</si>
  <si>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</si>
  <si>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</si>
  <si>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</si>
  <si>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</si>
  <si>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</si>
  <si>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</si>
  <si>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</si>
  <si>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</si>
  <si>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</si>
  <si>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</si>
  <si>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</si>
  <si>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</si>
  <si>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</si>
  <si>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</si>
  <si>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</si>
  <si>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</si>
  <si>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</si>
  <si>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</si>
  <si>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</si>
  <si>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</si>
  <si>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</si>
  <si>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</si>
  <si>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</si>
  <si>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</si>
  <si>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</si>
  <si>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</si>
  <si>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</si>
  <si>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</si>
  <si>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</si>
  <si>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</si>
  <si>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</si>
  <si>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</si>
  <si>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</si>
  <si>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</si>
  <si>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</si>
  <si>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</si>
  <si>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</si>
  <si>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</si>
  <si>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</si>
  <si>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</si>
  <si>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</si>
  <si>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</si>
  <si>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</si>
  <si>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</si>
  <si>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</si>
  <si>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</si>
  <si>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</si>
  <si>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</si>
  <si>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</si>
  <si>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</si>
  <si>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</si>
  <si>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</si>
  <si>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</si>
  <si>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</si>
  <si>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</si>
  <si>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</si>
  <si>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</si>
  <si>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</si>
  <si>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</si>
  <si>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</si>
  <si>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</si>
  <si>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</si>
  <si>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</si>
  <si>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</si>
  <si>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</si>
  <si>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</si>
  <si>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</si>
  <si>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</si>
  <si>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</si>
  <si>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</si>
  <si>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</si>
  <si>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</si>
  <si>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</si>
  <si>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</si>
  <si>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</si>
  <si>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</si>
  <si>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</si>
  <si>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</si>
  <si>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</si>
  <si>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</si>
  <si>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</si>
  <si>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</si>
  <si>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</si>
  <si>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</si>
  <si>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</si>
  <si>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</si>
  <si>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</si>
  <si>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</si>
  <si>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</si>
  <si>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</si>
  <si>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</si>
  <si>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</si>
  <si>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</si>
  <si>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</si>
  <si>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</si>
  <si>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</si>
  <si>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</si>
  <si>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</si>
  <si>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</si>
  <si>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</si>
  <si>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</si>
  <si>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</si>
  <si>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</si>
  <si>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</si>
  <si>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</si>
  <si>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</si>
  <si>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</si>
  <si>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</si>
  <si>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</si>
  <si>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</si>
  <si>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</si>
  <si>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</si>
  <si>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</si>
  <si>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</si>
  <si>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</si>
  <si>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</si>
  <si>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</si>
  <si>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</si>
  <si>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</si>
  <si>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</si>
  <si>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</si>
  <si>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</si>
  <si>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</si>
  <si>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</si>
  <si>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</si>
  <si>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</si>
  <si>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</si>
  <si>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</si>
  <si>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</si>
  <si>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</si>
  <si>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</si>
  <si>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</si>
  <si>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</si>
  <si>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</si>
  <si>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</si>
  <si>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</si>
  <si>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月3本（開始時期・エリア別に出し分け。対象は有効な友だちの80%、4か月目から反応しない方を外してさらに8割）。今は週1回（月4本）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</si>
  <si>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</si>
  <si>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</si>
  <si>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</si>
  <si>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</si>
  <si>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</si>
  <si>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</si>
  <si>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</si>
  <si>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</si>
  <si>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</si>
  <si>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</si>
  <si>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LINE運用コンサル：初期10万円〜（運用設計・構築）・月額17万円（ポップアップ3万円と合わせてプランの月額20万円）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</si>
  <si>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</si>
  <si>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</si>
  <si>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</si>
  <si>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</si>
  <si>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</si>
  <si>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</si>
  <si>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</si>
  <si>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LINE運用コンサル：初期10万円〜（運用設計・構築）・月額27万円（ポップアップ3万円と合わせてプランの月額30万円）</t>
  </si>
  <si>
    <t>株式会社ワクトリ御中_LINEOA施策提案【SIM】プラン①（月3投稿）：ポップアップ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</si>
</sst>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D33" sqref="D3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200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176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180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+D30*D29*0.75*0.41*0.07</f>
      </c>
      <c r="E31" s="63">
        <f>+E29*E30*$P$24*$P$22*$P$23*$P$36</f>
        <v>12856.223148122503</v>
      </c>
      <c r="F31" s="63">
        <f>+F29*F30*$P$24*$P$22*$P$23*$P$36</f>
        <v>12852.250804698013</v>
      </c>
      <c r="G31" s="63">
        <f>+G29*G30*$P$24*$P$22*$P$23*$P$36</f>
        <v>12821.647613504847</v>
      </c>
      <c r="H31" s="63">
        <f>+H29*H30*$P$24*$P$22*$P$23*$P$36*$Q$24</f>
        <v>10229.262185475316</v>
      </c>
      <c r="I31" s="63">
        <f>+I29*I30*$P$24*$P$22*$P$23*$P$36*$Q$24</f>
        <v>10197.600449769765</v>
      </c>
      <c r="J31" s="63">
        <f>+J29*J30*$P$24*$P$22*$P$23*$P$36*$Q$24</f>
        <v>10162.299943972379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+D29*D30*0.75</f>
      </c>
      <c r="E34" s="46">
        <f>+E29*E30*$P$24+E26*E32</f>
        <v>118124.88219158399</v>
      </c>
      <c r="F34" s="46">
        <f>+F29*F30*$P$24+F26*F32</f>
        <v>118090.09803763201</v>
      </c>
      <c r="G34" s="46">
        <f>+G29*G30*$P$24+G26*G32</f>
        <v>117856.12991319555</v>
      </c>
      <c r="H34" s="46">
        <f>+H29*H30*$P$24*$Q$24+H26*H32</f>
        <v>95190.043728529563</v>
      </c>
      <c r="I34" s="46">
        <f>+I29*I30*$P$24*$Q$24+I26*I32</f>
        <v>94947.489997629338</v>
      </c>
      <c r="J34" s="46">
        <f>+J29*J30*$P$24*$Q$24+J26*J32</f>
        <v>94673.420024053004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27804.042002326081</v>
      </c>
      <c r="F35" s="50">
        <f t="shared" ref="F35:J35" si="11">+F31+F33+1.05*(F31+F33)</f>
        <v>27795.898698305871</v>
      </c>
      <c r="G35" s="50">
        <f t="shared" si="11"/>
        <v>27742.043250497274</v>
      </c>
      <c r="H35" s="50">
        <f t="shared" si="11"/>
        <v>22436.623028115493</v>
      </c>
      <c r="I35" s="50">
        <f t="shared" si="11"/>
        <v>22380.77607404867</v>
      </c>
      <c r="J35" s="50">
        <f t="shared" si="11"/>
        <v>22317.56023733487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111</v>
      </c>
      <c r="F36" s="111">
        <f>ROUND(F35*0.0045,0)</f>
        <v>125</v>
      </c>
      <c r="G36" s="111">
        <f>ROUND(G35*0.0055,0)</f>
        <v>153</v>
      </c>
      <c r="H36" s="111">
        <f>ROUND(H35*0.0065,0)</f>
        <v>146</v>
      </c>
      <c r="I36" s="111">
        <f>ROUND(I35*0.0075,0)</f>
        <v>168</v>
      </c>
      <c r="J36" s="111">
        <f>ROUND(J35*0.009,0)</f>
        <v>201</v>
      </c>
      <c r="K36" s="115">
        <f>SUM(E36:J36)</f>
        <v>904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111</v>
      </c>
      <c r="F40" s="10">
        <f t="shared" si="12"/>
        <v>125</v>
      </c>
      <c r="G40" s="10">
        <f t="shared" si="12"/>
        <v>153</v>
      </c>
      <c r="H40" s="10">
        <f t="shared" si="12"/>
        <v>146</v>
      </c>
      <c r="I40" s="10">
        <f t="shared" si="12"/>
        <v>168</v>
      </c>
      <c r="J40" s="10">
        <f t="shared" si="12"/>
        <v>201</v>
      </c>
      <c r="K40" s="115">
        <f>SUM(E40:J40)</f>
        <v>904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3.9922253027352556E-3</v>
      </c>
      <c r="F41" s="18">
        <f t="shared" ref="F41:J41" si="14">+IFERROR(F40/F35,0)</f>
        <v>4.4970663246667614E-3</v>
      </c>
      <c r="G41" s="18">
        <f t="shared" si="14"/>
        <v>5.5150948550719125E-3</v>
      </c>
      <c r="H41" s="18">
        <f t="shared" si="14"/>
        <v>6.507218123558361E-3</v>
      </c>
      <c r="I41" s="18">
        <f t="shared" si="14"/>
        <v>7.5064421110402043E-3</v>
      </c>
      <c r="J41" s="18">
        <f t="shared" si="14"/>
        <v>9.0063608146444558E-3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264374.646574752</v>
      </c>
      <c r="F44" s="31">
        <f t="shared" ref="F44:J44" si="15">+F75*F76</f>
        <v>264270.29411289602</v>
      </c>
      <c r="G44" s="31">
        <f t="shared" si="15"/>
        <v>263568.38973958662</v>
      </c>
      <c r="H44" s="31">
        <f t="shared" si="15"/>
        <v>195570.13118558869</v>
      </c>
      <c r="I44" s="31">
        <f t="shared" si="15"/>
        <v>194842.46999288801</v>
      </c>
      <c r="J44" s="31">
        <f t="shared" si="15"/>
        <v>194020.260072159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215000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11.126966595319837</v>
      </c>
      <c r="F47" s="28">
        <f t="shared" si="18"/>
        <v>11.126472198999117</v>
      </c>
      <c r="G47" s="28">
        <f t="shared" si="18"/>
        <v>11.122770841115157</v>
      </c>
      <c r="H47" s="28">
        <f t="shared" si="18"/>
        <v>10.72220765505257</v>
      </c>
      <c r="I47" s="28">
        <f t="shared" si="18"/>
        <v>10.716450099824472</v>
      </c>
      <c r="J47" s="28">
        <f>+J51/J35</f>
        <v>10.709963702587162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3.9922253027352556E-3</v>
      </c>
      <c r="F48" s="32">
        <f t="shared" si="19"/>
        <v>4.4970663246667614E-3</v>
      </c>
      <c r="G48" s="32">
        <f t="shared" si="19"/>
        <v>5.5150948550719125E-3</v>
      </c>
      <c r="H48" s="32">
        <f t="shared" si="19"/>
        <v>6.507218123558361E-3</v>
      </c>
      <c r="I48" s="32">
        <f t="shared" si="19"/>
        <v>7.5064421110402043E-3</v>
      </c>
      <c r="J48" s="32">
        <f t="shared" si="19"/>
        <v>9.0063608146444558E-3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2787.1589781509188</v>
      </c>
      <c r="F49" s="28">
        <f t="shared" ref="F49:J49" si="20">+IFERROR(F51/SUM(F36:F39),0)</f>
        <v>2474.1623529031681</v>
      </c>
      <c r="G49" s="28">
        <f t="shared" si="20"/>
        <v>2016.7868610430498</v>
      </c>
      <c r="H49" s="28">
        <f t="shared" si="20"/>
        <v>1647.7406245588265</v>
      </c>
      <c r="I49" s="28">
        <f t="shared" si="20"/>
        <v>1427.6337499576669</v>
      </c>
      <c r="J49" s="28">
        <f t="shared" si="20"/>
        <v>1189.1555227470596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215000</v>
      </c>
      <c r="E51" s="40">
        <f>SUM(E45,E50)+E44</f>
        <v>309374.646574752</v>
      </c>
      <c r="F51" s="40">
        <f t="shared" ref="F51:I51" si="22">SUM(F45,F50)+F44</f>
        <v>309270.29411289602</v>
      </c>
      <c r="G51" s="40">
        <f t="shared" si="22"/>
        <v>308568.38973958662</v>
      </c>
      <c r="H51" s="40">
        <f t="shared" si="22"/>
        <v>240570.13118558869</v>
      </c>
      <c r="I51" s="40">
        <f t="shared" si="22"/>
        <v>239842.46999288801</v>
      </c>
      <c r="J51" s="40">
        <f>SUM(J45,J50)+J44</f>
        <v>239020.260072159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264374.646574752</v>
      </c>
      <c r="F54" s="28">
        <f t="shared" si="23"/>
        <v>264270.29411289602</v>
      </c>
      <c r="G54" s="28">
        <f t="shared" si="23"/>
        <v>263568.38973958662</v>
      </c>
      <c r="H54" s="28">
        <f t="shared" si="23"/>
        <v>195570.13118558869</v>
      </c>
      <c r="I54" s="28">
        <f t="shared" si="23"/>
        <v>194842.46999288801</v>
      </c>
      <c r="J54" s="28">
        <f t="shared" si="23"/>
        <v>194020.260072159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215000</v>
      </c>
      <c r="E55" s="27">
        <f>SUM(E65:E72)+E54</f>
        <v>609374.64657475194</v>
      </c>
      <c r="F55" s="27">
        <f t="shared" ref="F55:J55" si="24">SUM(F65:F72)+F54</f>
        <v>609270.29411289608</v>
      </c>
      <c r="G55" s="27">
        <f t="shared" si="24"/>
        <v>608568.38973958662</v>
      </c>
      <c r="H55" s="27">
        <f t="shared" si="24"/>
        <v>540570.13118558866</v>
      </c>
      <c r="I55" s="27">
        <f t="shared" si="24"/>
        <v>539842.46999288804</v>
      </c>
      <c r="J55" s="27">
        <f t="shared" si="24"/>
        <v>539020.260072159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21.916764710820527</v>
      </c>
      <c r="F57" s="28">
        <f t="shared" ref="F57:J57" si="26">+F61/F35</f>
        <v>21.919431378199345</v>
      </c>
      <c r="G57" s="28">
        <f t="shared" si="26"/>
        <v>21.93668232164832</v>
      </c>
      <c r="H57" s="28">
        <f t="shared" si="26"/>
        <v>24.093203799350569</v>
      </c>
      <c r="I57" s="28">
        <f t="shared" si="26"/>
        <v>24.120811012396267</v>
      </c>
      <c r="J57" s="28">
        <f t="shared" si="26"/>
        <v>24.152293276683366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3.9922253027352556E-3</v>
      </c>
      <c r="F58" s="32">
        <f t="shared" si="27"/>
        <v>4.4970663246667614E-3</v>
      </c>
      <c r="G58" s="32">
        <f t="shared" si="27"/>
        <v>5.5150948550719125E-3</v>
      </c>
      <c r="H58" s="32">
        <f t="shared" si="27"/>
        <v>6.507218123558361E-3</v>
      </c>
      <c r="I58" s="32">
        <f t="shared" si="27"/>
        <v>7.5064421110402043E-3</v>
      </c>
      <c r="J58" s="32">
        <f t="shared" si="27"/>
        <v>9.0063608146444558E-3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5489.8616808536208</v>
      </c>
      <c r="F59" s="28">
        <f t="shared" ref="F59:J59" si="28">+IFERROR(F55/F40,0)</f>
        <v>4874.1623529031685</v>
      </c>
      <c r="G59" s="28">
        <f t="shared" si="28"/>
        <v>3977.57117476854</v>
      </c>
      <c r="H59" s="28">
        <f t="shared" si="28"/>
        <v>3702.5351451067718</v>
      </c>
      <c r="I59" s="28">
        <f t="shared" si="28"/>
        <v>3213.3480356719529</v>
      </c>
      <c r="J59" s="28">
        <f t="shared" si="28"/>
        <v>2681.6928361798955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215000</v>
      </c>
      <c r="E61" s="40">
        <f>+SUM(E65:E72)+E54</f>
        <v>609374.64657475194</v>
      </c>
      <c r="F61" s="40">
        <f t="shared" ref="F61:J61" si="29">+SUM(F65:F72)+F54</f>
        <v>609270.29411289608</v>
      </c>
      <c r="G61" s="40">
        <f t="shared" si="29"/>
        <v>608568.38973958662</v>
      </c>
      <c r="H61" s="40">
        <f t="shared" si="29"/>
        <v>540570.13118558866</v>
      </c>
      <c r="I61" s="40">
        <f t="shared" si="29"/>
        <v>539842.46999288804</v>
      </c>
      <c r="J61" s="40">
        <f t="shared" si="29"/>
        <v>539020.260072159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N67" s="69" t="s">
        <v>188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191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215000</v>
      </c>
      <c r="E73" s="114">
        <f t="shared" ref="E73:J73" si="31">SUM(E65:E72)+E54</f>
        <v>609374.64657475194</v>
      </c>
      <c r="F73" s="114">
        <f t="shared" si="31"/>
        <v>609270.29411289608</v>
      </c>
      <c r="G73" s="114">
        <f t="shared" si="31"/>
        <v>608568.38973958662</v>
      </c>
      <c r="H73" s="114">
        <f t="shared" si="31"/>
        <v>540570.13118558866</v>
      </c>
      <c r="I73" s="114">
        <f t="shared" si="31"/>
        <v>539842.46999288804</v>
      </c>
      <c r="J73" s="114">
        <f t="shared" si="31"/>
        <v>539020.260072159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88124.882191583994</v>
      </c>
      <c r="F75" s="41">
        <f t="shared" si="32"/>
        <v>88090.098037632008</v>
      </c>
      <c r="G75" s="41">
        <f t="shared" si="32"/>
        <v>87856.129913195546</v>
      </c>
      <c r="H75" s="41">
        <f t="shared" si="32"/>
        <v>65190.043728529563</v>
      </c>
      <c r="I75" s="41">
        <f t="shared" si="32"/>
        <v>64947.489997629338</v>
      </c>
      <c r="J75" s="41">
        <f t="shared" si="32"/>
        <v>64673.420024053004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+SIM①_月3投稿!D24</f>
        <v>--</v>
      </c>
      <c r="D4" s="28">
        <f>+SIM①_月3投稿!G51</f>
        <v>308568.38973958662</v>
      </c>
      <c r="E4" s="28">
        <f>+SIM①_月3投稿!J51</f>
        <v>239020.260072159</v>
      </c>
      <c r="F4" s="28"/>
    </row>
    <row r="5" spans="1:25" x14ac:dyDescent="0.55000000000000004">
      <c r="A5" s="85" t="s">
        <v>141</v>
      </c>
      <c r="B5" s="7"/>
      <c r="C5" s="86" t="str">
        <f>+SIM①_月3投稿!D25</f>
        <v>--</v>
      </c>
      <c r="D5" s="28">
        <f>+SIM①_月3投稿!G61</f>
        <v>608568.38973958662</v>
      </c>
      <c r="E5" s="28">
        <f>+SIM①_月3投稿!J61</f>
        <v>539020.260072159</v>
      </c>
      <c r="F5" s="27"/>
    </row>
    <row r="6" spans="1:25" x14ac:dyDescent="0.55000000000000004">
      <c r="A6" s="85" t="s">
        <v>76</v>
      </c>
      <c r="B6" s="7"/>
      <c r="C6" s="117">
        <f>+SIM①_月3投稿!D28</f>
        <v>79904</v>
      </c>
      <c r="D6" s="87">
        <f>+SIM①_月3投稿!G28</f>
        <v>83239.782370400004</v>
      </c>
      <c r="E6" s="87">
        <f>+SIM①_月3投稿!J28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+SIM①_月3投稿!D27</f>
        <v>0.42099999999999999</v>
      </c>
      <c r="D7" s="89">
        <f>+SIM①_月3投稿!G27</f>
        <v>0.438</v>
      </c>
      <c r="E7" s="89">
        <f>+SIM①_月3投稿!J27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+SIM①_月3投稿!D29</f>
        <v>46264.415999999997</v>
      </c>
      <c r="D8" s="10">
        <f>+SIM①_月3投稿!G29</f>
        <v>46780.757692164807</v>
      </c>
      <c r="E8" s="10">
        <f>+SIM①_月3投稿!J29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+SIM①_月3投稿!D34</f>
        <v>185057.66399999999</v>
      </c>
      <c r="D10" s="10">
        <f>+SIM①_月3投稿!G34</f>
        <v>117856.12991319555</v>
      </c>
      <c r="E10" s="10">
        <f>+SIM①_月3投稿!J34</f>
        <v>94673.420024053004</v>
      </c>
      <c r="F10" s="10"/>
    </row>
    <row r="11" spans="1:25" x14ac:dyDescent="0.55000000000000004">
      <c r="A11" s="85" t="s">
        <v>81</v>
      </c>
      <c r="B11" s="7"/>
      <c r="C11" s="117">
        <f>+SIM①_月3投稿!D35</f>
        <v>5417.3780559359993</v>
      </c>
      <c r="D11" s="10">
        <f>+SIM①_月3投稿!G35</f>
        <v>27742.043250497274</v>
      </c>
      <c r="E11" s="10">
        <f>+SIM①_月3投稿!J35</f>
        <v>22317.56023733487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11.122770841115157</v>
      </c>
      <c r="E12" s="28">
        <f t="shared" ref="E12" si="0">+E4/E11</f>
        <v>10.709963702587162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21.93668232164832</v>
      </c>
      <c r="E13" s="28">
        <f t="shared" ref="E13" si="1">+E5/E11</f>
        <v>24.152293276683366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+SIM①_月3投稿!D16</f>
        <v>400</v>
      </c>
      <c r="D15" s="87">
        <f>+SIM①_月3投稿!G16</f>
        <v>400</v>
      </c>
      <c r="E15" s="87">
        <f>+SIM①_月3投稿!J16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153</v>
      </c>
      <c r="E16" s="87">
        <f>+E17</f>
        <v>201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+SIM①_月3投稿!D36</f>
        <v>0</v>
      </c>
      <c r="D17" s="87">
        <f>+SIM①_月3投稿!G36</f>
        <v>153</v>
      </c>
      <c r="E17" s="87">
        <f>+SIM①_月3投稿!J36</f>
        <v>201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+SIM①_月3投稿!D37</f>
        <v>0</v>
      </c>
      <c r="D18" s="87">
        <f>+SIM①_月3投稿!G37</f>
        <v>0</v>
      </c>
      <c r="E18" s="87">
        <f>+SIM①_月3投稿!J37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+SIM①_月3投稿!D38</f>
        <v>0</v>
      </c>
      <c r="D19" s="87">
        <f>+SIM①_月3投稿!G38</f>
        <v>0</v>
      </c>
      <c r="E19" s="87">
        <f>+SIM①_月3投稿!J38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+SIM①_月3投稿!D39</f>
        <v>0</v>
      </c>
      <c r="D20" s="87">
        <f>+SIM①_月3投稿!G39</f>
        <v>0</v>
      </c>
      <c r="E20" s="87">
        <f>+SIM①_月3投稿!J39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2016.7868610430498</v>
      </c>
      <c r="E22" s="90">
        <f t="shared" si="2"/>
        <v>1189.1555227470596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3977.57117476854</v>
      </c>
      <c r="E23" s="90">
        <f t="shared" ref="E23" si="4">+IFERROR(E5/E16,"--")</f>
        <v>2681.6928361798955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+SIM①_月3投稿!E68+C29*C30</f>
        <v>480172.99199999997</v>
      </c>
      <c r="D25" s="10">
        <f>+SIM①_月3投稿!G68+D29*D30</f>
        <v>278568.38973958662</v>
      </c>
      <c r="E25" s="10">
        <f>+SIM①_月3投稿!J68+E29*E30</f>
        <v>209020.260072159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87856.129913195546</v>
      </c>
      <c r="E29" s="91">
        <f>+IF(E10&lt;=30000,0,E10-30000)</f>
        <v>64673.420024053004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opLeftCell="A2" zoomScale="46" zoomScaleNormal="55" workbookViewId="0">
      <selection activeCell="D34" sqref="D3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197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+D30*D29*0.75*0.41*0.07</f>
      </c>
      <c r="E31" s="63">
        <f>+E29*E30*$P$24*$P$22*$P$23*$P$36</f>
        <v>21427.038580204167</v>
      </c>
      <c r="F31" s="63">
        <f>+F29*F30*$P$24*$P$22*$P$23*$P$36</f>
        <v>21420.418007830023</v>
      </c>
      <c r="G31" s="63">
        <f>+G29*G30*$P$24*$P$22*$P$23*$P$36</f>
        <v>21369.41268917474</v>
      </c>
      <c r="H31" s="63">
        <f>+H29*H30*$P$24*$P$22*$P$23*$P$36*$Q$24</f>
        <v>17048.770309125524</v>
      </c>
      <c r="I31" s="63">
        <f>+I29*I30*$P$24*$P$22*$P$23*$P$36*$Q$24</f>
        <v>16996.000749616273</v>
      </c>
      <c r="J31" s="63">
        <f>+J29*J30*$P$24*$P$22*$P$23*$P$36*$Q$24</f>
        <v>16937.166573287293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+D29*D30*0.75</f>
      </c>
      <c r="E34" s="46">
        <f>+E29*E30*$P$24+E26*E32</f>
        <v>193175.93685263998</v>
      </c>
      <c r="F34" s="46">
        <f>+F29*F30*$P$24+F26*F32</f>
        <v>193117.96326272</v>
      </c>
      <c r="G34" s="46">
        <f>+G29*G30*$P$24+G26*G32</f>
        <v>192705.34222065922</v>
      </c>
      <c r="H34" s="46">
        <f>+H29*H30*$P$24*$Q$24+H26*H32</f>
        <v>154905.63100320258</v>
      </c>
      <c r="I34" s="46">
        <f>+I29*I30*$P$24*$Q$24+I26*I32</f>
        <v>154478.24486625876</v>
      </c>
      <c r="J34" s="46">
        <f>+J29*J30*$P$24*$Q$24+J26*J32</f>
        <v>153998.10035900029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45374.213638093497</v>
      </c>
      <c r="F35" s="50">
        <f t="shared" ref="F35:J35" si="11">+F31+F33+1.05*(F31+F33)</f>
        <v>45360.641464726497</v>
      </c>
      <c r="G35" s="50">
        <f t="shared" si="11"/>
        <v>45264.961655620551</v>
      </c>
      <c r="H35" s="50">
        <f t="shared" si="11"/>
        <v>36416.614681598425</v>
      </c>
      <c r="I35" s="50">
        <f t="shared" si="11"/>
        <v>36317.496688734012</v>
      </c>
      <c r="J35" s="50">
        <f t="shared" si="11"/>
        <v>36206.036827430449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181</v>
      </c>
      <c r="F36" s="111">
        <f>ROUND(F35*0.0045,0)</f>
        <v>204</v>
      </c>
      <c r="G36" s="111">
        <f>ROUND(G35*0.0055,0)</f>
        <v>249</v>
      </c>
      <c r="H36" s="111">
        <f>ROUND(H35*0.0065,0)</f>
        <v>237</v>
      </c>
      <c r="I36" s="111">
        <f>ROUND(I35*0.0075,0)</f>
        <v>272</v>
      </c>
      <c r="J36" s="111">
        <f>ROUND(J35*0.009,0)</f>
        <v>326</v>
      </c>
      <c r="K36" s="115">
        <f>SUM(E36:J36)</f>
        <v>1469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181</v>
      </c>
      <c r="F40" s="10">
        <f t="shared" si="12"/>
        <v>204</v>
      </c>
      <c r="G40" s="10">
        <f t="shared" si="12"/>
        <v>249</v>
      </c>
      <c r="H40" s="10">
        <f t="shared" si="12"/>
        <v>237</v>
      </c>
      <c r="I40" s="10">
        <f t="shared" si="12"/>
        <v>272</v>
      </c>
      <c r="J40" s="10">
        <f t="shared" si="12"/>
        <v>326</v>
      </c>
      <c r="K40" s="115">
        <f>SUM(E40:J40)</f>
        <v>1469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3.9890498476439305E-3</v>
      </c>
      <c r="F41" s="18">
        <f t="shared" ref="F41:J41" si="14">+IFERROR(F40/F35,0)</f>
        <v>4.4972908982919739E-3</v>
      </c>
      <c r="G41" s="18">
        <f t="shared" si="14"/>
        <v>5.5009435751743685E-3</v>
      </c>
      <c r="H41" s="18">
        <f t="shared" si="14"/>
        <v>6.5080184435638323E-3</v>
      </c>
      <c r="I41" s="18">
        <f t="shared" si="14"/>
        <v>7.4895029889099334E-3</v>
      </c>
      <c r="J41" s="18">
        <f t="shared" si="14"/>
        <v>9.004023322238229E-3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489527.8105579199</v>
      </c>
      <c r="F44" s="31">
        <f t="shared" ref="F44:J44" si="15">+F75*F76</f>
        <v>489353.88978815998</v>
      </c>
      <c r="G44" s="31">
        <f t="shared" si="15"/>
        <v>488116.02666197764</v>
      </c>
      <c r="H44" s="31">
        <f t="shared" si="15"/>
        <v>374716.89300960774</v>
      </c>
      <c r="I44" s="31">
        <f t="shared" si="15"/>
        <v>373434.73459877627</v>
      </c>
      <c r="J44" s="31">
        <f t="shared" si="15"/>
        <v>371994.30107700091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11.780431388218309</v>
      </c>
      <c r="F47" s="28">
        <f t="shared" si="18"/>
        <v>11.780121985349043</v>
      </c>
      <c r="G47" s="28">
        <f t="shared" si="18"/>
        <v>11.777675428468648</v>
      </c>
      <c r="H47" s="28">
        <f t="shared" si="18"/>
        <v>11.525423125661751</v>
      </c>
      <c r="I47" s="28">
        <f t="shared" si="18"/>
        <v>11.521574247945845</v>
      </c>
      <c r="J47" s="28">
        <f>+J51/J35</f>
        <v>11.517258932937873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3.9890498476439305E-3</v>
      </c>
      <c r="F48" s="32">
        <f t="shared" si="19"/>
        <v>4.4972908982919739E-3</v>
      </c>
      <c r="G48" s="32">
        <f t="shared" si="19"/>
        <v>5.5009435751743685E-3</v>
      </c>
      <c r="H48" s="32">
        <f t="shared" si="19"/>
        <v>6.5080184435638323E-3</v>
      </c>
      <c r="I48" s="32">
        <f t="shared" si="19"/>
        <v>7.4895029889099334E-3</v>
      </c>
      <c r="J48" s="32">
        <f t="shared" si="19"/>
        <v>9.004023322238229E-3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2953.1923235244194</v>
      </c>
      <c r="F49" s="28">
        <f t="shared" ref="F49:J49" si="20">+IFERROR(F51/SUM(F36:F39),0)</f>
        <v>2619.3818126870588</v>
      </c>
      <c r="G49" s="28">
        <f t="shared" si="20"/>
        <v>2141.0282195260147</v>
      </c>
      <c r="H49" s="28">
        <f t="shared" si="20"/>
        <v>1770.9573544709187</v>
      </c>
      <c r="I49" s="28">
        <f t="shared" si="20"/>
        <v>1538.3629948484422</v>
      </c>
      <c r="J49" s="28">
        <f t="shared" si="20"/>
        <v>1279.1236229355857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265000</v>
      </c>
      <c r="E51" s="40">
        <f>SUM(E45,E50)+E44</f>
        <v>534527.8105579199</v>
      </c>
      <c r="F51" s="40">
        <f t="shared" ref="F51:I51" si="22">SUM(F45,F50)+F44</f>
        <v>534353.88978815998</v>
      </c>
      <c r="G51" s="40">
        <f t="shared" si="22"/>
        <v>533116.02666197764</v>
      </c>
      <c r="H51" s="40">
        <f t="shared" si="22"/>
        <v>419716.89300960774</v>
      </c>
      <c r="I51" s="40">
        <f t="shared" si="22"/>
        <v>418434.73459877627</v>
      </c>
      <c r="J51" s="40">
        <f>SUM(J45,J50)+J44</f>
        <v>416994.30107700091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489527.8105579199</v>
      </c>
      <c r="F54" s="28">
        <f t="shared" si="23"/>
        <v>489353.88978815998</v>
      </c>
      <c r="G54" s="28">
        <f t="shared" si="23"/>
        <v>488116.02666197764</v>
      </c>
      <c r="H54" s="28">
        <f t="shared" si="23"/>
        <v>374716.89300960774</v>
      </c>
      <c r="I54" s="28">
        <f t="shared" si="23"/>
        <v>373434.73459877627</v>
      </c>
      <c r="J54" s="28">
        <f t="shared" si="23"/>
        <v>371994.30107700091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265000</v>
      </c>
      <c r="E55" s="27">
        <f>SUM(E65:E72)+E54</f>
        <v>884527.8105579199</v>
      </c>
      <c r="F55" s="27">
        <f t="shared" ref="F55:J55" si="24">SUM(F65:F72)+F54</f>
        <v>884353.88978815998</v>
      </c>
      <c r="G55" s="27">
        <f t="shared" si="24"/>
        <v>883116.02666197764</v>
      </c>
      <c r="H55" s="27">
        <f t="shared" si="24"/>
        <v>769716.89300960768</v>
      </c>
      <c r="I55" s="27">
        <f t="shared" si="24"/>
        <v>768434.73459877633</v>
      </c>
      <c r="J55" s="27">
        <f t="shared" si="24"/>
        <v>766994.30107700091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19.494063690292208</v>
      </c>
      <c r="F57" s="28">
        <f t="shared" ref="F57:J57" si="26">+F61/F35</f>
        <v>19.496062252026448</v>
      </c>
      <c r="G57" s="28">
        <f t="shared" si="26"/>
        <v>19.509925433733823</v>
      </c>
      <c r="H57" s="28">
        <f t="shared" si="26"/>
        <v>21.136420827127324</v>
      </c>
      <c r="I57" s="28">
        <f t="shared" si="26"/>
        <v>21.15880235867554</v>
      </c>
      <c r="J57" s="28">
        <f t="shared" si="26"/>
        <v>21.184155137794868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3.9890498476439305E-3</v>
      </c>
      <c r="F58" s="32">
        <f t="shared" si="27"/>
        <v>4.4972908982919739E-3</v>
      </c>
      <c r="G58" s="32">
        <f t="shared" si="27"/>
        <v>5.5009435751743685E-3</v>
      </c>
      <c r="H58" s="32">
        <f t="shared" si="27"/>
        <v>6.5080184435638323E-3</v>
      </c>
      <c r="I58" s="32">
        <f t="shared" si="27"/>
        <v>7.4895029889099334E-3</v>
      </c>
      <c r="J58" s="32">
        <f t="shared" si="27"/>
        <v>9.004023322238229E-3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4886.8939809829826</v>
      </c>
      <c r="F59" s="28">
        <f t="shared" ref="F59:J59" si="28">+IFERROR(F55/F40,0)</f>
        <v>4335.0680871968625</v>
      </c>
      <c r="G59" s="28">
        <f t="shared" si="28"/>
        <v>3546.6507094858539</v>
      </c>
      <c r="H59" s="28">
        <f t="shared" si="28"/>
        <v>3247.750603416066</v>
      </c>
      <c r="I59" s="28">
        <f t="shared" si="28"/>
        <v>2825.1277007307954</v>
      </c>
      <c r="J59" s="28">
        <f t="shared" si="28"/>
        <v>2352.7432548374263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265000</v>
      </c>
      <c r="E61" s="40">
        <f>+SUM(E65:E72)+E54</f>
        <v>884527.8105579199</v>
      </c>
      <c r="F61" s="40">
        <f t="shared" ref="F61:J61" si="29">+SUM(F65:F72)+F54</f>
        <v>884353.88978815998</v>
      </c>
      <c r="G61" s="40">
        <f t="shared" si="29"/>
        <v>883116.02666197764</v>
      </c>
      <c r="H61" s="40">
        <f t="shared" si="29"/>
        <v>769716.89300960768</v>
      </c>
      <c r="I61" s="40">
        <f t="shared" si="29"/>
        <v>768434.73459877633</v>
      </c>
      <c r="J61" s="40">
        <f t="shared" si="29"/>
        <v>766994.30107700091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250000</v>
      </c>
      <c r="E69" s="28">
        <v>350000</v>
      </c>
      <c r="F69" s="28">
        <v>350000</v>
      </c>
      <c r="G69" s="28">
        <v>350000</v>
      </c>
      <c r="H69" s="28">
        <v>350000</v>
      </c>
      <c r="I69" s="28">
        <v>350000</v>
      </c>
      <c r="J69" s="28">
        <v>350000</v>
      </c>
      <c r="N69" s="69" t="s">
        <v>199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265000</v>
      </c>
      <c r="E73" s="114">
        <f t="shared" ref="E73:J73" si="31">SUM(E65:E72)+E54</f>
        <v>884527.8105579199</v>
      </c>
      <c r="F73" s="114">
        <f t="shared" si="31"/>
        <v>884353.88978815998</v>
      </c>
      <c r="G73" s="114">
        <f t="shared" si="31"/>
        <v>883116.02666197764</v>
      </c>
      <c r="H73" s="114">
        <f t="shared" si="31"/>
        <v>769716.89300960768</v>
      </c>
      <c r="I73" s="114">
        <f t="shared" si="31"/>
        <v>768434.73459877633</v>
      </c>
      <c r="J73" s="114">
        <f t="shared" si="31"/>
        <v>766994.30107700091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163175.93685263998</v>
      </c>
      <c r="F75" s="41">
        <f t="shared" si="32"/>
        <v>163117.96326272</v>
      </c>
      <c r="G75" s="41">
        <f t="shared" si="32"/>
        <v>162705.34222065922</v>
      </c>
      <c r="H75" s="41">
        <f t="shared" si="32"/>
        <v>124905.63100320258</v>
      </c>
      <c r="I75" s="41">
        <f t="shared" si="32"/>
        <v>124478.24486625876</v>
      </c>
      <c r="J75" s="41">
        <f t="shared" si="32"/>
        <v>123998.10035900029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533116.02666197764</v>
      </c>
      <c r="E4" s="28">
        <f>+SIM②_月5投稿!J51</f>
        <v>416994.30107700091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883116.02666197764</v>
      </c>
      <c r="E5" s="28">
        <f>+SIM②_月5投稿!J61</f>
        <v>766994.30107700091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0.42099999999999999</v>
      </c>
      <c r="D7" s="89">
        <f>+SIM②_月5投稿!G27</f>
        <v>0.438</v>
      </c>
      <c r="E7" s="89">
        <f>+SIM②_月5投稿!J27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+SIM②_月5投稿!D29</f>
        <v>46264.415999999997</v>
      </c>
      <c r="D8" s="10">
        <f>+SIM②_月5投稿!G29</f>
        <v>46780.757692164807</v>
      </c>
      <c r="E8" s="10">
        <f>+SIM②_月5投稿!J29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185057.66399999999</v>
      </c>
      <c r="D10" s="10">
        <f>+SIM②_月5投稿!G34</f>
        <v>192705.34222065922</v>
      </c>
      <c r="E10" s="10">
        <f>+SIM②_月5投稿!J34</f>
        <v>153998.10035900029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5417.3780559359993</v>
      </c>
      <c r="D11" s="10">
        <f>+SIM②_月5投稿!G35</f>
        <v>45264.961655620551</v>
      </c>
      <c r="E11" s="10">
        <f>+SIM②_月5投稿!J35</f>
        <v>36206.036827430449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11.777675428468648</v>
      </c>
      <c r="E12" s="28">
        <f t="shared" ref="E12" si="0">+E4/E11</f>
        <v>11.517258932937873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19.509925433733823</v>
      </c>
      <c r="E13" s="28">
        <f t="shared" ref="E13" si="1">+E5/E11</f>
        <v>21.184155137794868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249</v>
      </c>
      <c r="E16" s="87">
        <f>+E17</f>
        <v>326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+SIM②_月5投稿!D36</f>
        <v>0</v>
      </c>
      <c r="D17" s="87">
        <f>+SIM②_月5投稿!G36</f>
        <v>249</v>
      </c>
      <c r="E17" s="87">
        <f>+SIM②_月5投稿!J36</f>
        <v>326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2141.0282195260147</v>
      </c>
      <c r="E22" s="90">
        <f t="shared" si="2"/>
        <v>1279.1236229355857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3546.6507094858539</v>
      </c>
      <c r="E23" s="90">
        <f t="shared" ref="E23" si="4">+IFERROR(E5/E16,"--")</f>
        <v>2352.7432548374263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480172.99199999997</v>
      </c>
      <c r="D25" s="10">
        <f>+SIM②_月5投稿!G68+D29*D30</f>
        <v>503116.02666197764</v>
      </c>
      <c r="E25" s="10">
        <f>+SIM②_月5投稿!J68+E29*E30</f>
        <v>386994.30107700091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162705.34222065922</v>
      </c>
      <c r="E29" s="91">
        <f>+IF(E10&lt;=30000,0,E10-30000)</f>
        <v>123998.10035900029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SIM①_月3投稿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2026-10-30T06:44:44Z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
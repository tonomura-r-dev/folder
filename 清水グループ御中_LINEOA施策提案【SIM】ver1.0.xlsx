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B6D6185A-6648-444F-985E-BB6324877977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_竹（コンサル基本）" sheetId="1" r:id="rId1"/>
    <sheet name="SIM_比較" sheetId="2" r:id="rId2"/>
    <sheet name="SIM考え方" sheetId="3" r:id="rId3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E22" i="3"/>
  <c r="E17" i="3"/>
  <c r="E12" i="3"/>
  <c r="E7" i="3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J50" i="1"/>
  <c r="I50" i="1"/>
  <c r="H50" i="1"/>
  <c r="G50" i="1"/>
  <c r="F50" i="1"/>
  <c r="E50" i="1"/>
  <c r="D45" i="1"/>
  <c r="D51" i="1" s="1"/>
  <c r="C45" i="1"/>
  <c r="C51" i="1" s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P36" i="1" s="1"/>
  <c r="Q33" i="1"/>
  <c r="Q32" i="1"/>
  <c r="D29" i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E7" i="2" l="1"/>
  <c r="D7" i="2"/>
  <c r="C23" i="2"/>
  <c r="C22" i="2"/>
  <c r="K40" i="1"/>
  <c r="C8" i="2"/>
  <c r="D34" i="1"/>
  <c r="D31" i="1"/>
  <c r="D35" i="1" s="1"/>
  <c r="F16" i="1"/>
  <c r="E24" i="1"/>
  <c r="F14" i="1"/>
  <c r="E23" i="1"/>
  <c r="D75" i="1" l="1"/>
  <c r="C10" i="2"/>
  <c r="C29" i="2" s="1"/>
  <c r="C30" i="2" s="1"/>
  <c r="D41" i="1"/>
  <c r="C11" i="2"/>
  <c r="C12" i="2" s="1"/>
  <c r="C13" i="2" s="1"/>
  <c r="G16" i="1"/>
  <c r="F24" i="1"/>
  <c r="G14" i="1"/>
  <c r="F23" i="1"/>
  <c r="F26" i="1" s="1"/>
  <c r="E26" i="1"/>
  <c r="E28" i="1" s="1"/>
  <c r="D76" i="1" l="1"/>
  <c r="D54" i="1" s="1"/>
  <c r="H16" i="1"/>
  <c r="G24" i="1"/>
  <c r="H14" i="1"/>
  <c r="G23" i="1"/>
  <c r="G26" i="1" s="1"/>
  <c r="E56" i="1"/>
  <c r="E46" i="1"/>
  <c r="E29" i="1"/>
  <c r="F28" i="1"/>
  <c r="I16" i="1" l="1"/>
  <c r="H24" i="1"/>
  <c r="I14" i="1"/>
  <c r="H23" i="1"/>
  <c r="H26" i="1" s="1"/>
  <c r="E31" i="1"/>
  <c r="E33" i="1"/>
  <c r="E34" i="1"/>
  <c r="G28" i="1"/>
  <c r="F29" i="1"/>
  <c r="F46" i="1"/>
  <c r="F56" i="1"/>
  <c r="J16" i="1" l="1"/>
  <c r="J24" i="1" s="1"/>
  <c r="I24" i="1"/>
  <c r="J14" i="1"/>
  <c r="J23" i="1" s="1"/>
  <c r="J26" i="1" s="1"/>
  <c r="I23" i="1"/>
  <c r="I26" i="1" s="1"/>
  <c r="E75" i="1"/>
  <c r="E68" i="1"/>
  <c r="H28" i="1"/>
  <c r="G29" i="1"/>
  <c r="G46" i="1"/>
  <c r="G56" i="1"/>
  <c r="D6" i="2"/>
  <c r="F31" i="1"/>
  <c r="F33" i="1"/>
  <c r="F34" i="1"/>
  <c r="E35" i="1"/>
  <c r="E76" i="1" l="1"/>
  <c r="C25" i="2"/>
  <c r="E45" i="1"/>
  <c r="I28" i="1"/>
  <c r="H29" i="1"/>
  <c r="H46" i="1"/>
  <c r="H56" i="1"/>
  <c r="G31" i="1"/>
  <c r="G33" i="1"/>
  <c r="D8" i="2"/>
  <c r="G34" i="1"/>
  <c r="F75" i="1"/>
  <c r="F68" i="1"/>
  <c r="F45" i="1" s="1"/>
  <c r="E58" i="1"/>
  <c r="E41" i="1"/>
  <c r="E48" i="1"/>
  <c r="F35" i="1"/>
  <c r="E54" i="1" l="1"/>
  <c r="E44" i="1"/>
  <c r="E51" i="1" s="1"/>
  <c r="E61" i="1"/>
  <c r="E57" i="1" s="1"/>
  <c r="E55" i="1"/>
  <c r="E59" i="1" s="1"/>
  <c r="E73" i="1"/>
  <c r="J28" i="1"/>
  <c r="I29" i="1"/>
  <c r="I46" i="1"/>
  <c r="I56" i="1"/>
  <c r="H31" i="1"/>
  <c r="H33" i="1"/>
  <c r="H34" i="1"/>
  <c r="G75" i="1"/>
  <c r="G68" i="1"/>
  <c r="D10" i="2"/>
  <c r="D29" i="2" s="1"/>
  <c r="D30" i="2" s="1"/>
  <c r="F76" i="1"/>
  <c r="F54" i="1" s="1"/>
  <c r="F44" i="1"/>
  <c r="F51" i="1" s="1"/>
  <c r="F58" i="1"/>
  <c r="F48" i="1"/>
  <c r="F41" i="1"/>
  <c r="G35" i="1"/>
  <c r="E47" i="1" l="1"/>
  <c r="E49" i="1"/>
  <c r="J29" i="1"/>
  <c r="J46" i="1"/>
  <c r="J56" i="1"/>
  <c r="E6" i="2"/>
  <c r="I31" i="1"/>
  <c r="I33" i="1"/>
  <c r="I34" i="1"/>
  <c r="H68" i="1"/>
  <c r="H45" i="1" s="1"/>
  <c r="H75" i="1"/>
  <c r="G76" i="1"/>
  <c r="D25" i="2"/>
  <c r="G45" i="1"/>
  <c r="F61" i="1"/>
  <c r="F57" i="1" s="1"/>
  <c r="F55" i="1"/>
  <c r="F59" i="1" s="1"/>
  <c r="F73" i="1"/>
  <c r="F47" i="1"/>
  <c r="F49" i="1"/>
  <c r="D11" i="2"/>
  <c r="G58" i="1"/>
  <c r="G48" i="1"/>
  <c r="G41" i="1"/>
  <c r="H35" i="1"/>
  <c r="G54" i="1" l="1"/>
  <c r="G44" i="1"/>
  <c r="J31" i="1"/>
  <c r="J33" i="1"/>
  <c r="E8" i="2"/>
  <c r="J34" i="1"/>
  <c r="I68" i="1"/>
  <c r="I45" i="1" s="1"/>
  <c r="I75" i="1"/>
  <c r="H76" i="1"/>
  <c r="H54" i="1" s="1"/>
  <c r="H44" i="1"/>
  <c r="H51" i="1" s="1"/>
  <c r="G61" i="1"/>
  <c r="G55" i="1"/>
  <c r="G59" i="1" s="1"/>
  <c r="G73" i="1"/>
  <c r="H58" i="1"/>
  <c r="H48" i="1"/>
  <c r="H41" i="1"/>
  <c r="I35" i="1"/>
  <c r="G51" i="1"/>
  <c r="J68" i="1" l="1"/>
  <c r="J75" i="1"/>
  <c r="E10" i="2"/>
  <c r="E29" i="2" s="1"/>
  <c r="E30" i="2" s="1"/>
  <c r="I76" i="1"/>
  <c r="H47" i="1"/>
  <c r="H49" i="1"/>
  <c r="H55" i="1"/>
  <c r="H59" i="1" s="1"/>
  <c r="H61" i="1"/>
  <c r="H57" i="1" s="1"/>
  <c r="H73" i="1"/>
  <c r="D5" i="2"/>
  <c r="G57" i="1"/>
  <c r="I58" i="1"/>
  <c r="I48" i="1"/>
  <c r="I41" i="1"/>
  <c r="G49" i="1"/>
  <c r="G47" i="1"/>
  <c r="D4" i="2"/>
  <c r="J35" i="1"/>
  <c r="I54" i="1" l="1"/>
  <c r="I44" i="1"/>
  <c r="I51" i="1" s="1"/>
  <c r="E25" i="2"/>
  <c r="J45" i="1"/>
  <c r="J76" i="1"/>
  <c r="I47" i="1"/>
  <c r="I49" i="1"/>
  <c r="I55" i="1"/>
  <c r="I59" i="1" s="1"/>
  <c r="D13" i="2"/>
  <c r="D23" i="2"/>
  <c r="D22" i="2"/>
  <c r="D12" i="2"/>
  <c r="E11" i="2"/>
  <c r="J58" i="1"/>
  <c r="J48" i="1"/>
  <c r="J41" i="1"/>
  <c r="I61" i="1" l="1"/>
  <c r="I57" i="1" s="1"/>
  <c r="I73" i="1"/>
  <c r="J44" i="1"/>
  <c r="J51" i="1" s="1"/>
  <c r="J54" i="1"/>
  <c r="E4" i="2"/>
  <c r="J47" i="1"/>
  <c r="J49" i="1"/>
  <c r="J55" i="1"/>
  <c r="J59" i="1" s="1"/>
  <c r="J61" i="1"/>
  <c r="J73" i="1"/>
  <c r="E12" i="2" l="1"/>
  <c r="E22" i="2"/>
  <c r="E5" i="2"/>
  <c r="J57" i="1"/>
  <c r="E23" i="2" l="1"/>
  <c r="E13" i="2"/>
</calcChain>
</file>

<file path=xl/sharedStrings.xml><?xml version="1.0" encoding="utf-8"?>
<sst xmlns="http://schemas.openxmlformats.org/spreadsheetml/2006/main" count="280" uniqueCount="192">
  <si>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</si>
  <si>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</si>
  <si>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</si>
  <si>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</si>
  <si>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</si>
  <si>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</si>
  <si>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</si>
  <si>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</si>
  <si>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</si>
  <si>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</si>
  <si>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</si>
  <si>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</si>
  <si>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</si>
  <si>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</si>
  <si>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</si>
  <si>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</si>
  <si>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</si>
  <si>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</si>
  <si>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</si>
  <si>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</si>
  <si>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</si>
  <si>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</si>
  <si>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</si>
  <si>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</si>
  <si>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</si>
  <si>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</si>
  <si>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</si>
  <si>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</si>
  <si>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</si>
  <si>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</si>
  <si>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</si>
  <si>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</si>
  <si>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</si>
  <si>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</si>
  <si>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</si>
  <si>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</si>
  <si>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</si>
  <si>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</si>
  <si>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</si>
  <si>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</si>
  <si>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</si>
  <si>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</si>
  <si>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</si>
  <si>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</si>
  <si>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</si>
  <si>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</si>
  <si>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</si>
  <si>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</si>
  <si>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</si>
  <si>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</si>
  <si>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</si>
  <si>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</si>
  <si>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</si>
  <si>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</si>
  <si>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</si>
  <si>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</si>
  <si>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</si>
  <si>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</si>
  <si>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</si>
  <si>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</si>
  <si>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</si>
  <si>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</si>
  <si>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</si>
  <si>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</si>
  <si>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</si>
  <si>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</si>
  <si>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</si>
  <si>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</si>
  <si>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</si>
  <si>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</si>
  <si>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</si>
  <si>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</si>
  <si>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</si>
  <si>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</si>
  <si>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</si>
  <si>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</si>
  <si>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</si>
  <si>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</si>
  <si>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</si>
  <si>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</si>
  <si>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</si>
  <si>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</si>
  <si>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</si>
  <si>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</si>
  <si>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</si>
  <si>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</si>
  <si>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</si>
  <si>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</si>
  <si>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</si>
  <si>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</si>
  <si>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</si>
  <si>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</si>
  <si>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</si>
  <si>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</si>
  <si>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</si>
  <si>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</si>
  <si>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</si>
  <si>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</si>
  <si>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</si>
  <si>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</si>
  <si>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</si>
  <si>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</si>
  <si>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</si>
  <si>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</si>
  <si>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</si>
  <si>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</si>
  <si>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</si>
  <si>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</si>
  <si>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</si>
  <si>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</si>
  <si>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</si>
  <si>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</si>
  <si>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</si>
  <si>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</si>
  <si>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</si>
  <si>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</si>
  <si>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</si>
  <si>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</si>
  <si>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</si>
  <si>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</si>
  <si>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</si>
  <si>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</si>
  <si>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</si>
  <si>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</si>
  <si>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</si>
  <si>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</si>
  <si>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</si>
  <si>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</si>
  <si>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</si>
  <si>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</si>
  <si>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</si>
  <si>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</si>
  <si>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</si>
  <si>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</si>
  <si>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</si>
  <si>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</si>
  <si>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</si>
  <si>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</si>
  <si>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</si>
  <si>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</si>
  <si>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</si>
  <si>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</si>
  <si>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</si>
  <si>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</si>
  <si>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</si>
  <si>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</si>
  <si>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</si>
  <si>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</si>
  <si>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</si>
  <si>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</si>
  <si>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</si>
  <si>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</si>
  <si>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</si>
  <si>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</si>
  <si>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</si>
  <si>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</si>
  <si>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</si>
  <si>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</si>
  <si>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</si>
  <si>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</si>
  <si>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</si>
  <si>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</si>
  <si>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清水グループ御中_LINEOA施策提案【SIM】（離脱防止＋サイトのLINEボタン＋サンクスLINE誘導）</t>
  </si>
  <si>
    <t>応募</t>
  </si>
  <si>
    <t>サイトUU</t>
  </si>
  <si>
    <t>CV①応募：LINEのリンクからの応募だけ。サンクスLINEで友だちになった方（応募済み）の応募は数えない</t>
  </si>
  <si>
    <t>うち広告</t>
  </si>
  <si>
    <t>応募（サイト・仮に）</t>
  </si>
  <si>
    <t>サイトからの応募は与件に無いので、仮にUUの1.5%（月134件）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</si>
  <si>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</si>
  <si>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</si>
  <si>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</si>
  <si>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</si>
  <si>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</si>
  <si>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</si>
  <si>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</si>
  <si>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</si>
  <si>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</si>
  <si>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サンクスLINE誘導＝応募×遷移80%×追加45%（定義テキストの係数）</t>
  </si>
  <si>
    <t>サイトのLINEボタン（UUの0.5%・FMTの係数）＋離脱防止＋サンクスLINE誘導</t>
  </si>
  <si>
    <t>ブロック率：求人は用が済むとブロックされやすいので、38%から少しずつ上がる想定</t>
  </si>
  <si>
    <t>企画配信 月3回（業界資料の竹＝コンサル基本 月20万円は月3投稿。新着求人・職種ごとの案内）</t>
  </si>
  <si>
    <t>ステップ配信3通（友だち追加の翌日以降。職種ごとに中身を分ける）</t>
  </si>
  <si>
    <t>応募：クリックの0.3〜1.0%前後</t>
  </si>
  <si>
    <t>離脱防止ポップアップ：初期1.5万円・月3万円</t>
  </si>
  <si>
    <t>サンクスLINE誘導</t>
  </si>
  <si>
    <t>サンクスLINE誘導：初期15万円・月3万円〜</t>
  </si>
  <si>
    <t>アカウント費：FMTの式（開設3万円）</t>
  </si>
  <si>
    <t>LINE運用コンサル（竹：コンサル基本）</t>
  </si>
  <si>
    <t>LINE運用コンサル（竹：コンサル基本）月20万円。初期は初期30万円</t>
  </si>
  <si>
    <t>CV数（+LINEOA施策）</t>
  </si>
  <si>
    <t>CV①_応募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</si>
</sst>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9" fontId="0" fillId="0" borderId="0" xfId="0" applyNumberFormat="1">
      <alignment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5" zoomScale="55" zoomScaleNormal="55" workbookViewId="0">
      <selection activeCell="F27" sqref="F27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46314</v>
      </c>
    </row>
    <row r="4" spans="1:25" ht="45.75" customHeight="1" x14ac:dyDescent="0.55000000000000004">
      <c r="A4" s="56" t="s">
        <v>162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37" t="s">
        <v>5</v>
      </c>
      <c r="B8" s="19" t="s">
        <v>6</v>
      </c>
      <c r="C8" s="19" t="s">
        <v>163</v>
      </c>
      <c r="D8" s="33">
        <v>0</v>
      </c>
      <c r="G8" s="121" t="s">
        <v>164</v>
      </c>
      <c r="H8" s="122">
        <v>8947</v>
      </c>
      <c r="I8" s="123"/>
      <c r="J8" s="123" t="s">
        <v>69</v>
      </c>
      <c r="K8" s="129">
        <v>0</v>
      </c>
      <c r="N8" s="69" t="s">
        <v>165</v>
      </c>
      <c r="O8" s="35" t="s">
        <v>156</v>
      </c>
    </row>
    <row r="9" spans="1:25" ht="18" thickBot="1" x14ac:dyDescent="0.6">
      <c r="A9" s="138"/>
      <c r="B9" s="19" t="s">
        <v>7</v>
      </c>
      <c r="C9" s="38" t="s">
        <v>61</v>
      </c>
      <c r="D9" s="33">
        <v>0</v>
      </c>
      <c r="G9" s="124" t="s">
        <v>166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37" t="s">
        <v>8</v>
      </c>
      <c r="B10" s="19" t="s">
        <v>9</v>
      </c>
      <c r="C10" s="19" t="s">
        <v>61</v>
      </c>
      <c r="D10" s="33">
        <v>0</v>
      </c>
      <c r="G10" s="124" t="s">
        <v>167</v>
      </c>
      <c r="H10" s="125">
        <v>134</v>
      </c>
      <c r="I10" s="22" t="s">
        <v>154</v>
      </c>
      <c r="J10" s="29"/>
      <c r="K10" s="118"/>
      <c r="N10" s="132" t="s">
        <v>168</v>
      </c>
    </row>
    <row r="11" spans="1:25" ht="18" thickBot="1" x14ac:dyDescent="0.6">
      <c r="A11" s="13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28</v>
      </c>
      <c r="E13" s="36" t="s">
        <v>169</v>
      </c>
      <c r="F13" s="36" t="s">
        <v>170</v>
      </c>
      <c r="G13" s="36" t="s">
        <v>171</v>
      </c>
      <c r="H13" s="36" t="s">
        <v>172</v>
      </c>
      <c r="I13" s="36" t="s">
        <v>173</v>
      </c>
      <c r="J13" s="36" t="s">
        <v>174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31</v>
      </c>
      <c r="B14" s="20" t="s">
        <v>35</v>
      </c>
      <c r="C14" s="99"/>
      <c r="D14" s="42">
        <f>+H8</f>
        <v>8947</v>
      </c>
      <c r="E14" s="43">
        <f>+D14</f>
        <v>8947</v>
      </c>
      <c r="F14" s="43">
        <f t="shared" ref="F14:J14" si="0">+E14</f>
        <v>8947</v>
      </c>
      <c r="G14" s="43">
        <f t="shared" si="0"/>
        <v>8947</v>
      </c>
      <c r="H14" s="43">
        <f t="shared" si="0"/>
        <v>8947</v>
      </c>
      <c r="I14" s="43">
        <f t="shared" si="0"/>
        <v>8947</v>
      </c>
      <c r="J14" s="43">
        <f t="shared" si="0"/>
        <v>8947</v>
      </c>
      <c r="K14" s="11"/>
      <c r="L14" s="7"/>
      <c r="N14" t="s">
        <v>175</v>
      </c>
    </row>
    <row r="15" spans="1:25" ht="19" x14ac:dyDescent="0.55000000000000004">
      <c r="A15" s="141"/>
      <c r="B15" s="20" t="s">
        <v>34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42"/>
      <c r="B16" s="20" t="s">
        <v>151</v>
      </c>
      <c r="C16" s="99"/>
      <c r="D16" s="42">
        <f>H10</f>
        <v>134</v>
      </c>
      <c r="E16" s="43">
        <f t="shared" si="2"/>
        <v>134</v>
      </c>
      <c r="F16" s="43">
        <f t="shared" si="2"/>
        <v>134</v>
      </c>
      <c r="G16" s="43">
        <f t="shared" si="2"/>
        <v>134</v>
      </c>
      <c r="H16" s="43">
        <f t="shared" si="2"/>
        <v>134</v>
      </c>
      <c r="I16" s="43">
        <f t="shared" si="2"/>
        <v>134</v>
      </c>
      <c r="J16" s="43">
        <f t="shared" si="2"/>
        <v>134</v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41"/>
      <c r="B18" s="8" t="s">
        <v>176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4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176</v>
      </c>
      <c r="C23" s="17"/>
      <c r="D23" s="44" t="s">
        <v>20</v>
      </c>
      <c r="E23" s="46">
        <f t="shared" ref="E23:J23" si="3">IF(E18=FALSE,0,E14*$P$18*0.125*0.125)</f>
        <v>90.867968750000003</v>
      </c>
      <c r="F23" s="46">
        <f t="shared" si="3"/>
        <v>90.867968750000003</v>
      </c>
      <c r="G23" s="63">
        <f t="shared" si="3"/>
        <v>90.867968750000003</v>
      </c>
      <c r="H23" s="63">
        <f t="shared" si="3"/>
        <v>90.867968750000003</v>
      </c>
      <c r="I23" s="63">
        <f t="shared" si="3"/>
        <v>90.867968750000003</v>
      </c>
      <c r="J23" s="63">
        <f t="shared" si="3"/>
        <v>90.867968750000003</v>
      </c>
      <c r="K23" s="11"/>
      <c r="L23" s="7"/>
      <c r="N23" s="69" t="s">
        <v>177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114</v>
      </c>
      <c r="C24" s="17"/>
      <c r="D24" s="44" t="s">
        <v>20</v>
      </c>
      <c r="E24" s="46">
        <f t="shared" ref="E24:J24" si="4">IF(E19=FALSE,0,E16*0.8*0.45)</f>
        <v>48.24</v>
      </c>
      <c r="F24" s="63">
        <f t="shared" si="4"/>
        <v>48.24</v>
      </c>
      <c r="G24" s="63">
        <f t="shared" si="4"/>
        <v>48.24</v>
      </c>
      <c r="H24" s="63">
        <f t="shared" si="4"/>
        <v>48.24</v>
      </c>
      <c r="I24" s="63">
        <f t="shared" si="4"/>
        <v>48.24</v>
      </c>
      <c r="J24" s="63">
        <f t="shared" si="4"/>
        <v>48.24</v>
      </c>
      <c r="K24" s="11"/>
      <c r="L24" s="7"/>
      <c r="N24" s="69" t="s">
        <v>178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67</v>
      </c>
      <c r="C25" s="17"/>
      <c r="D25" s="44" t="s">
        <v>20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15</v>
      </c>
      <c r="B26" s="145"/>
      <c r="C26" s="23"/>
      <c r="D26" s="44" t="s">
        <v>20</v>
      </c>
      <c r="E26" s="46">
        <f>+SUM(E22:E25)+$H$9*$P$16+($H$8-$H$9)*$P$15+IF(P9=FALSE,0,$K$8*0.15*0.08)</f>
        <v>183.84296875000001</v>
      </c>
      <c r="F26" s="46">
        <f t="shared" ref="F26:J26" si="6">+SUM(F22:F25)+$H$9*$P$16+($H$8-$H$9)*$P$15</f>
        <v>183.84296875000001</v>
      </c>
      <c r="G26" s="46">
        <f>+SUM(G22:G25)+$H$9*$P$16+($H$8-$H$9)*$P$15</f>
        <v>183.84296875000001</v>
      </c>
      <c r="H26" s="46">
        <f t="shared" si="6"/>
        <v>183.84296875000001</v>
      </c>
      <c r="I26" s="46">
        <f t="shared" si="6"/>
        <v>183.84296875000001</v>
      </c>
      <c r="J26" s="46">
        <f t="shared" si="6"/>
        <v>183.84296875000001</v>
      </c>
      <c r="K26" s="11"/>
      <c r="L26" s="7"/>
      <c r="N26" s="72" t="s">
        <v>179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14</v>
      </c>
      <c r="B27" s="145"/>
      <c r="C27" s="23"/>
      <c r="D27" s="107">
        <v>0</v>
      </c>
      <c r="E27" s="47">
        <v>0.35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inlineStr">
        <is>
          <t xml:space="preserve">ブロック率：1か月目（E27）から、2か月目以降は前の月×1.025（式）</t>
        </is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12</v>
      </c>
      <c r="B28" s="147"/>
      <c r="C28" s="101"/>
      <c r="D28" s="106">
        <v>0</v>
      </c>
      <c r="E28" s="49">
        <f>+D28+E26</f>
        <v>183.84296875000001</v>
      </c>
      <c r="F28" s="49">
        <f t="shared" ref="F28:J28" si="7">+E28+F26</f>
        <v>367.68593750000002</v>
      </c>
      <c r="G28" s="49">
        <f t="shared" si="7"/>
        <v>551.52890625000009</v>
      </c>
      <c r="H28" s="49">
        <f t="shared" si="7"/>
        <v>735.37187500000005</v>
      </c>
      <c r="I28" s="49">
        <f t="shared" si="7"/>
        <v>919.21484375</v>
      </c>
      <c r="J28" s="49">
        <f t="shared" si="7"/>
        <v>1103.0578125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13</v>
      </c>
      <c r="B29" s="149"/>
      <c r="C29" s="102"/>
      <c r="D29" s="108">
        <f>+D28*(1-D27)</f>
        <v>0</v>
      </c>
      <c r="E29" s="50">
        <f>+E28*(1-E27)</f>
        <v>119.4979296875</v>
      </c>
      <c r="F29" s="50">
        <f t="shared" ref="F29:J29" si="8">+F28*(1-F27)</f>
        <v>235.77860742187505</v>
      </c>
      <c r="G29" s="50">
        <f t="shared" si="8"/>
        <v>337.53569062500003</v>
      </c>
      <c r="H29" s="50">
        <f t="shared" si="8"/>
        <v>447.10610000000003</v>
      </c>
      <c r="I29" s="50">
        <f t="shared" si="8"/>
        <v>555.20576562500003</v>
      </c>
      <c r="J29" s="50">
        <f t="shared" si="8"/>
        <v>661.83468749999997</v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35" t="s">
        <v>22</v>
      </c>
      <c r="B30" s="136"/>
      <c r="C30" s="30"/>
      <c r="D30" s="48">
        <v>0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s">
        <v>181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23</v>
      </c>
      <c r="B31" s="145"/>
      <c r="C31" s="23"/>
      <c r="D31" s="108">
        <f>+D30*D29*0.41*0.07</f>
        <v>0</v>
      </c>
      <c r="E31" s="63">
        <f>+E29*E30*$P$24*$P$22*$P$23*$P$36</f>
        <v>32.75193520974377</v>
      </c>
      <c r="F31" s="63">
        <f>+F29*F30*$P$24*$P$22*$P$23*$P$36</f>
        <v>64.622087548455994</v>
      </c>
      <c r="G31" s="63">
        <f>+G29*G30*$P$24*$P$22*$P$23*$P$36</f>
        <v>92.511620069368561</v>
      </c>
      <c r="H31" s="63">
        <f>+H29*H30*$P$24*$P$22*$P$23*$P$36*$Q$24</f>
        <v>98.034100221657653</v>
      </c>
      <c r="I31" s="63">
        <f>+I29*I30*$P$24*$P$22*$P$23*$P$36*$Q$24</f>
        <v>121.73642379498608</v>
      </c>
      <c r="J31" s="63">
        <f>+J29*J30*$P$24*$P$22*$P$23*$P$36*$Q$24</f>
        <v>145.11626677548009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29</v>
      </c>
      <c r="B32" s="136"/>
      <c r="C32" s="30"/>
      <c r="D32" s="48">
        <v>0</v>
      </c>
      <c r="E32" s="45">
        <v>3</v>
      </c>
      <c r="F32" s="45">
        <v>3</v>
      </c>
      <c r="G32" s="45">
        <v>3</v>
      </c>
      <c r="H32" s="45">
        <v>3</v>
      </c>
      <c r="I32" s="45">
        <v>3</v>
      </c>
      <c r="J32" s="45">
        <v>3</v>
      </c>
      <c r="K32" s="11"/>
      <c r="L32" s="7"/>
      <c r="N32" s="69" t="s">
        <v>182</v>
      </c>
      <c r="O32" s="17" t="s">
        <v>125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30</v>
      </c>
      <c r="B33" s="145"/>
      <c r="C33" s="23"/>
      <c r="D33" s="44">
        <v>0</v>
      </c>
      <c r="E33" s="63">
        <f>+E29*E32*$P$26*$P$27*$P$28*$P$36</f>
        <v>9.1327511642554722</v>
      </c>
      <c r="F33" s="63">
        <f t="shared" ref="F33:G33" si="9">+F29*F32*$P$26*$P$27*$P$28*$P$36</f>
        <v>18.019620566396377</v>
      </c>
      <c r="G33" s="63">
        <f t="shared" si="9"/>
        <v>25.796509442420074</v>
      </c>
      <c r="H33" s="63">
        <f>+H29*H32*$P$26*$P$27*$P$28*$P$36*$Q$28</f>
        <v>27.336431792577617</v>
      </c>
      <c r="I33" s="63">
        <f t="shared" ref="I33:J33" si="10">+I29*I32*$P$26*$P$27*$P$28*$P$36*$Q$28</f>
        <v>33.94573355821727</v>
      </c>
      <c r="J33" s="63">
        <f t="shared" si="10"/>
        <v>40.465112850855007</v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  <v>1.1000000000000001</v>
      </c>
    </row>
    <row r="34" spans="1:17" ht="19" x14ac:dyDescent="0.55000000000000004">
      <c r="A34" s="148" t="s">
        <v>25</v>
      </c>
      <c r="B34" s="149"/>
      <c r="C34" s="102"/>
      <c r="D34" s="108">
        <f>+D29*D30</f>
        <v>0</v>
      </c>
      <c r="E34" s="46">
        <f>+E29*E30*$P$24+E29*E32*$P$28</f>
        <v>358.49378906250001</v>
      </c>
      <c r="F34" s="46">
        <f>+F29*F30*$P$24+F29*F32*$P$28</f>
        <v>707.33582226562521</v>
      </c>
      <c r="G34" s="46">
        <f>+G29*G30*$P$24+G29*G32*$P$28</f>
        <v>1012.6070718750002</v>
      </c>
      <c r="H34" s="46">
        <f>+H29*H30*$P$24*$Q$24+H29*H32*$P$28*$Q$28</f>
        <v>1073.0546400000001</v>
      </c>
      <c r="I34" s="46">
        <f>+I29*I30*$P$24*$Q$24+I29*I32*$P$28*$Q$28</f>
        <v>1332.4938375000002</v>
      </c>
      <c r="J34" s="46">
        <f>+J29*J30*$P$24*$Q$24+J29*J32*$P$28*$Q$28</f>
        <v>1588.4032500000001</v>
      </c>
      <c r="K34" s="11"/>
      <c r="L34" s="7"/>
      <c r="O34" s="17" t="s">
        <v>134</v>
      </c>
      <c r="P34" s="75" t="b">
        <v>1</v>
      </c>
      <c r="Q34" s="73">
        <f t="shared" si="11"/>
        <v>1.1000000000000001</v>
      </c>
    </row>
    <row r="35" spans="1:17" ht="19" x14ac:dyDescent="0.55000000000000004">
      <c r="A35" s="148" t="s">
        <v>24</v>
      </c>
      <c r="B35" s="149"/>
      <c r="C35" s="102"/>
      <c r="D35" s="109">
        <f>+D31*1.02</f>
        <v>0</v>
      </c>
      <c r="E35" s="50">
        <f>+E31+E33+1.05*(E31+E33)</f>
        <v>85.863607066698449</v>
      </c>
      <c r="F35" s="50">
        <f t="shared" ref="F35:J35" si="12">+F31+F33+1.05*(F31+F33)</f>
        <v>169.41550163544738</v>
      </c>
      <c r="G35" s="50">
        <f t="shared" si="12"/>
        <v>242.53166549916671</v>
      </c>
      <c r="H35" s="50">
        <f t="shared" si="12"/>
        <v>257.0095906291823</v>
      </c>
      <c r="I35" s="50">
        <f t="shared" si="12"/>
        <v>319.1484225740669</v>
      </c>
      <c r="J35" s="50">
        <f t="shared" si="12"/>
        <v>380.44182823398694</v>
      </c>
      <c r="K35" s="11"/>
      <c r="L35" s="7"/>
      <c r="O35" s="17" t="s">
        <v>135</v>
      </c>
      <c r="P35" s="75" t="b">
        <v>1</v>
      </c>
      <c r="Q35" s="73">
        <f t="shared" si="11"/>
        <v>1.1000000000000001</v>
      </c>
    </row>
    <row r="36" spans="1:17" x14ac:dyDescent="0.55000000000000004">
      <c r="A36" s="150" t="s">
        <v>5</v>
      </c>
      <c r="B36" s="6" t="str">
        <f>+C8</f>
        <v>応募</v>
      </c>
      <c r="C36" s="6"/>
      <c r="D36" s="11">
        <v>0</v>
      </c>
      <c r="E36" s="111">
        <v>1</v>
      </c>
      <c r="F36" s="111">
        <v>1</v>
      </c>
      <c r="G36" s="111">
        <v>2</v>
      </c>
      <c r="H36" s="111">
        <v>2</v>
      </c>
      <c r="I36" s="111">
        <v>3</v>
      </c>
      <c r="J36" s="111">
        <v>3</v>
      </c>
      <c r="K36" s="115">
        <f>SUM(E36:J36)</f>
        <v>12</v>
      </c>
      <c r="L36" s="7"/>
      <c r="N36" s="69" t="s">
        <v>183</v>
      </c>
      <c r="O36" s="17" t="s">
        <v>126</v>
      </c>
      <c r="P36" s="74">
        <f>1*(Q32*Q33*Q34*Q35)</f>
        <v>1.4641000000000006</v>
      </c>
      <c r="Q36" s="73"/>
    </row>
    <row r="37" spans="1:17" x14ac:dyDescent="0.55000000000000004">
      <c r="A37" s="151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117</v>
      </c>
    </row>
    <row r="38" spans="1:17" x14ac:dyDescent="0.55000000000000004">
      <c r="A38" s="150" t="s">
        <v>8</v>
      </c>
      <c r="B38" s="6" t="str">
        <f>+C10</f>
        <v>-</v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  <v>0</v>
      </c>
      <c r="L38" s="7"/>
      <c r="N38" s="69" t="s">
        <v>118</v>
      </c>
      <c r="O38" s="21" t="s">
        <v>36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118</v>
      </c>
      <c r="O39" s="21" t="s">
        <v>37</v>
      </c>
    </row>
    <row r="40" spans="1:17" x14ac:dyDescent="0.55000000000000004">
      <c r="A40" s="152" t="s">
        <v>52</v>
      </c>
      <c r="B40" s="153"/>
      <c r="C40" s="97"/>
      <c r="D40" s="11">
        <f t="shared" ref="D40:J40" si="13">+SUM(D36:D39)</f>
        <v>0</v>
      </c>
      <c r="E40" s="10">
        <f t="shared" si="13"/>
        <v>1</v>
      </c>
      <c r="F40" s="10">
        <f t="shared" si="13"/>
        <v>1</v>
      </c>
      <c r="G40" s="10">
        <f t="shared" si="13"/>
        <v>2</v>
      </c>
      <c r="H40" s="10">
        <f t="shared" si="13"/>
        <v>2</v>
      </c>
      <c r="I40" s="10">
        <f t="shared" si="13"/>
        <v>3</v>
      </c>
      <c r="J40" s="10">
        <f t="shared" si="13"/>
        <v>3</v>
      </c>
      <c r="K40" s="115">
        <f>SUM(E40:J40)</f>
        <v>12</v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  <v>0</v>
      </c>
      <c r="E41" s="18">
        <f>+IFERROR(E40/E35,0)</f>
        <v>1.1646377716501063E-2</v>
      </c>
      <c r="F41" s="18">
        <f t="shared" ref="F41:J41" si="15">+IFERROR(F40/F35,0)</f>
        <v>5.9026475756145712E-3</v>
      </c>
      <c r="G41" s="18">
        <f t="shared" si="15"/>
        <v>8.2463458776968306E-3</v>
      </c>
      <c r="H41" s="18">
        <f t="shared" si="15"/>
        <v>7.7818107686324954E-3</v>
      </c>
      <c r="I41" s="18">
        <f t="shared" si="15"/>
        <v>9.4000151271428269E-3</v>
      </c>
      <c r="J41" s="18">
        <f t="shared" si="15"/>
        <v>7.8855682455475952E-3</v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44" t="s">
        <v>26</v>
      </c>
      <c r="B44" s="145"/>
      <c r="C44" s="103"/>
      <c r="D44" s="16" t="s">
        <v>21</v>
      </c>
      <c r="E44" s="31">
        <f>+E75*E76</f>
        <v>0</v>
      </c>
      <c r="F44" s="31">
        <f t="shared" ref="F44:J44" si="16">+F75*F76</f>
        <v>0</v>
      </c>
      <c r="G44" s="31">
        <f t="shared" si="16"/>
        <v>0</v>
      </c>
      <c r="H44" s="31">
        <f t="shared" si="16"/>
        <v>0</v>
      </c>
      <c r="I44" s="31">
        <f t="shared" si="16"/>
        <v>0</v>
      </c>
      <c r="J44" s="31">
        <f t="shared" si="16"/>
        <v>0</v>
      </c>
      <c r="K44" s="11"/>
      <c r="L44" s="7"/>
    </row>
    <row r="45" spans="1:17" x14ac:dyDescent="0.55000000000000004">
      <c r="A45" s="144" t="s">
        <v>131</v>
      </c>
      <c r="B45" s="145"/>
      <c r="C45" s="104">
        <f>+SUM(C65:C72)</f>
        <v>0</v>
      </c>
      <c r="D45" s="80">
        <f>+SUM(D65:D72)</f>
        <v>495000</v>
      </c>
      <c r="E45" s="27">
        <f>SUM(E65:E69)+SUM(E71:E72)</f>
        <v>265000</v>
      </c>
      <c r="F45" s="27">
        <f t="shared" ref="F45:J45" si="17">SUM(F65:F69)+SUM(F71:F72)</f>
        <v>265000</v>
      </c>
      <c r="G45" s="27">
        <f t="shared" si="17"/>
        <v>265000</v>
      </c>
      <c r="H45" s="27">
        <f t="shared" si="17"/>
        <v>265000</v>
      </c>
      <c r="I45" s="27">
        <f t="shared" si="17"/>
        <v>265000</v>
      </c>
      <c r="J45" s="27">
        <f t="shared" si="17"/>
        <v>265000</v>
      </c>
      <c r="K45" s="11"/>
      <c r="L45" s="7"/>
    </row>
    <row r="46" spans="1:17" x14ac:dyDescent="0.55000000000000004">
      <c r="A46" s="144" t="s">
        <v>16</v>
      </c>
      <c r="B46" s="145"/>
      <c r="C46" s="103"/>
      <c r="D46" s="16" t="s">
        <v>21</v>
      </c>
      <c r="E46" s="28">
        <f t="shared" ref="E46:J46" si="18">IFERROR(SUM(E65:E67)/(E28-D28),"-")</f>
        <v>326.3654868497656</v>
      </c>
      <c r="F46" s="28">
        <f t="shared" si="18"/>
        <v>326.3654868497656</v>
      </c>
      <c r="G46" s="28">
        <f t="shared" si="18"/>
        <v>326.36548684976549</v>
      </c>
      <c r="H46" s="28">
        <f t="shared" si="18"/>
        <v>326.36548684976572</v>
      </c>
      <c r="I46" s="28">
        <f t="shared" si="18"/>
        <v>326.36548684976572</v>
      </c>
      <c r="J46" s="28">
        <f t="shared" si="18"/>
        <v>326.36548684976572</v>
      </c>
      <c r="K46" s="11"/>
      <c r="L46" s="7"/>
    </row>
    <row r="47" spans="1:17" x14ac:dyDescent="0.55000000000000004">
      <c r="A47" s="144" t="s">
        <v>17</v>
      </c>
      <c r="B47" s="145"/>
      <c r="C47" s="103"/>
      <c r="D47" s="16" t="s">
        <v>21</v>
      </c>
      <c r="E47" s="28">
        <f t="shared" ref="E47:I47" si="19">+E51/E35</f>
        <v>3086.2900948727815</v>
      </c>
      <c r="F47" s="28">
        <f t="shared" si="19"/>
        <v>1564.2016075378615</v>
      </c>
      <c r="G47" s="28">
        <f t="shared" si="19"/>
        <v>1092.64082879483</v>
      </c>
      <c r="H47" s="28">
        <f t="shared" si="19"/>
        <v>1031.0899268438056</v>
      </c>
      <c r="I47" s="28">
        <f t="shared" si="19"/>
        <v>830.33466956428299</v>
      </c>
      <c r="J47" s="28">
        <f>+J51/J35</f>
        <v>696.5585283567043</v>
      </c>
      <c r="K47" s="11"/>
      <c r="L47" s="7"/>
    </row>
    <row r="48" spans="1:17" x14ac:dyDescent="0.55000000000000004">
      <c r="A48" s="144" t="s">
        <v>19</v>
      </c>
      <c r="B48" s="145"/>
      <c r="C48" s="103"/>
      <c r="D48" s="16" t="s">
        <v>21</v>
      </c>
      <c r="E48" s="32">
        <f t="shared" ref="E48:J48" si="20">+SUM(E36:E39)/E35</f>
        <v>1.1646377716501063E-2</v>
      </c>
      <c r="F48" s="32">
        <f t="shared" si="20"/>
        <v>5.9026475756145712E-3</v>
      </c>
      <c r="G48" s="32">
        <f t="shared" si="20"/>
        <v>8.2463458776968306E-3</v>
      </c>
      <c r="H48" s="32">
        <f t="shared" si="20"/>
        <v>7.7818107686324954E-3</v>
      </c>
      <c r="I48" s="32">
        <f t="shared" si="20"/>
        <v>9.4000151271428269E-3</v>
      </c>
      <c r="J48" s="32">
        <f t="shared" si="20"/>
        <v>7.8855682455475952E-3</v>
      </c>
      <c r="K48" s="11"/>
      <c r="L48" s="7"/>
    </row>
    <row r="49" spans="1:12" x14ac:dyDescent="0.55000000000000004">
      <c r="A49" s="152" t="s">
        <v>18</v>
      </c>
      <c r="B49" s="153"/>
      <c r="C49" s="105"/>
      <c r="D49" s="16" t="s">
        <v>21</v>
      </c>
      <c r="E49" s="28">
        <f>+IFERROR(E51/SUM(E36:E39),0)</f>
        <v>265000</v>
      </c>
      <c r="F49" s="28">
        <f t="shared" ref="F49:J49" si="21">+IFERROR(F51/SUM(F36:F39),0)</f>
        <v>265000</v>
      </c>
      <c r="G49" s="28">
        <f t="shared" si="21"/>
        <v>132500</v>
      </c>
      <c r="H49" s="28">
        <f t="shared" si="21"/>
        <v>132500</v>
      </c>
      <c r="I49" s="28">
        <f t="shared" si="21"/>
        <v>88333.333333333328</v>
      </c>
      <c r="J49" s="28">
        <f t="shared" si="21"/>
        <v>88333.333333333328</v>
      </c>
      <c r="K49" s="11"/>
      <c r="L49" s="7"/>
    </row>
    <row r="50" spans="1:12" x14ac:dyDescent="0.55000000000000004">
      <c r="A50" s="152" t="s">
        <v>115</v>
      </c>
      <c r="B50" s="153"/>
      <c r="C50" s="105"/>
      <c r="D50" s="64" t="s">
        <v>21</v>
      </c>
      <c r="E50" s="65">
        <f>+E36*$D$8+E38*$D$10</f>
        <v>0</v>
      </c>
      <c r="F50" s="65">
        <f t="shared" ref="F50:J50" si="22">+F36*$D$8+F38*$D$10</f>
        <v>0</v>
      </c>
      <c r="G50" s="65">
        <f t="shared" si="22"/>
        <v>0</v>
      </c>
      <c r="H50" s="65">
        <f t="shared" si="22"/>
        <v>0</v>
      </c>
      <c r="I50" s="65">
        <f t="shared" si="22"/>
        <v>0</v>
      </c>
      <c r="J50" s="65">
        <f t="shared" si="22"/>
        <v>0</v>
      </c>
      <c r="K50" s="11"/>
      <c r="L50" s="7"/>
    </row>
    <row r="51" spans="1:12" x14ac:dyDescent="0.55000000000000004">
      <c r="A51" s="154" t="s">
        <v>68</v>
      </c>
      <c r="B51" s="155"/>
      <c r="C51" s="110">
        <f>+C45</f>
        <v>0</v>
      </c>
      <c r="D51" s="40">
        <f>+D45</f>
        <v>495000</v>
      </c>
      <c r="E51" s="40">
        <f>SUM(E45,E50)+E44</f>
        <v>265000</v>
      </c>
      <c r="F51" s="40">
        <f t="shared" ref="F51:I51" si="23">SUM(F45,F50)+F44</f>
        <v>265000</v>
      </c>
      <c r="G51" s="40">
        <f t="shared" si="23"/>
        <v>265000</v>
      </c>
      <c r="H51" s="40">
        <f t="shared" si="23"/>
        <v>265000</v>
      </c>
      <c r="I51" s="40">
        <f t="shared" si="23"/>
        <v>265000</v>
      </c>
      <c r="J51" s="40">
        <f>SUM(J45,J50)+J44</f>
        <v>265000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44" t="s">
        <v>26</v>
      </c>
      <c r="B54" s="145"/>
      <c r="C54" s="96"/>
      <c r="D54" s="28">
        <f>+D75*D76</f>
        <v>0</v>
      </c>
      <c r="E54" s="28">
        <f t="shared" ref="E54:J54" si="24">+E75*E76</f>
        <v>0</v>
      </c>
      <c r="F54" s="28">
        <f t="shared" si="24"/>
        <v>0</v>
      </c>
      <c r="G54" s="28">
        <f t="shared" si="24"/>
        <v>0</v>
      </c>
      <c r="H54" s="28">
        <f t="shared" si="24"/>
        <v>0</v>
      </c>
      <c r="I54" s="28">
        <f t="shared" si="24"/>
        <v>0</v>
      </c>
      <c r="J54" s="28">
        <f t="shared" si="24"/>
        <v>0</v>
      </c>
      <c r="K54" s="11"/>
      <c r="L54" s="7"/>
    </row>
    <row r="55" spans="1:12" hidden="1" x14ac:dyDescent="0.55000000000000004">
      <c r="A55" s="144" t="s">
        <v>131</v>
      </c>
      <c r="B55" s="145"/>
      <c r="C55" s="96"/>
      <c r="D55" s="27">
        <f>+SUM(D65:D72)</f>
        <v>495000</v>
      </c>
      <c r="E55" s="27">
        <f>SUM(E65:E72)+E54</f>
        <v>265000</v>
      </c>
      <c r="F55" s="27">
        <f t="shared" ref="F55:J55" si="25">SUM(F65:F72)+F54</f>
        <v>265000</v>
      </c>
      <c r="G55" s="27">
        <f t="shared" si="25"/>
        <v>265000</v>
      </c>
      <c r="H55" s="27">
        <f t="shared" si="25"/>
        <v>265000</v>
      </c>
      <c r="I55" s="27">
        <f t="shared" si="25"/>
        <v>265000</v>
      </c>
      <c r="J55" s="27">
        <f t="shared" si="25"/>
        <v>265000</v>
      </c>
      <c r="K55" s="11"/>
      <c r="L55" s="7"/>
    </row>
    <row r="56" spans="1:12" hidden="1" x14ac:dyDescent="0.55000000000000004">
      <c r="A56" s="144" t="s">
        <v>16</v>
      </c>
      <c r="B56" s="145"/>
      <c r="C56" s="96"/>
      <c r="D56" s="39" t="s">
        <v>21</v>
      </c>
      <c r="E56" s="28">
        <f t="shared" ref="E56:J56" si="26">IFERROR(SUM(E65:E67)/(E28-D28),"-")</f>
        <v>326.3654868497656</v>
      </c>
      <c r="F56" s="28">
        <f t="shared" si="26"/>
        <v>326.3654868497656</v>
      </c>
      <c r="G56" s="28">
        <f t="shared" si="26"/>
        <v>326.36548684976549</v>
      </c>
      <c r="H56" s="28">
        <f t="shared" si="26"/>
        <v>326.36548684976572</v>
      </c>
      <c r="I56" s="28">
        <f t="shared" si="26"/>
        <v>326.36548684976572</v>
      </c>
      <c r="J56" s="28">
        <f t="shared" si="26"/>
        <v>326.36548684976572</v>
      </c>
      <c r="K56" s="11"/>
      <c r="L56" s="7"/>
    </row>
    <row r="57" spans="1:12" hidden="1" x14ac:dyDescent="0.55000000000000004">
      <c r="A57" s="144" t="s">
        <v>17</v>
      </c>
      <c r="B57" s="145"/>
      <c r="C57" s="96"/>
      <c r="D57" s="39" t="s">
        <v>21</v>
      </c>
      <c r="E57" s="28">
        <f>+E61/E35</f>
        <v>3086.2900948727815</v>
      </c>
      <c r="F57" s="28">
        <f t="shared" ref="F57:J57" si="27">+F61/F35</f>
        <v>1564.2016075378615</v>
      </c>
      <c r="G57" s="28">
        <f t="shared" si="27"/>
        <v>1092.64082879483</v>
      </c>
      <c r="H57" s="28">
        <f t="shared" si="27"/>
        <v>1031.0899268438056</v>
      </c>
      <c r="I57" s="28">
        <f t="shared" si="27"/>
        <v>830.33466956428299</v>
      </c>
      <c r="J57" s="28">
        <f t="shared" si="27"/>
        <v>696.5585283567043</v>
      </c>
      <c r="K57" s="11"/>
      <c r="L57" s="7"/>
    </row>
    <row r="58" spans="1:12" hidden="1" x14ac:dyDescent="0.55000000000000004">
      <c r="A58" s="144" t="s">
        <v>19</v>
      </c>
      <c r="B58" s="145"/>
      <c r="C58" s="96"/>
      <c r="D58" s="39" t="s">
        <v>21</v>
      </c>
      <c r="E58" s="32">
        <f t="shared" ref="E58:J58" si="28">+SUM(E36:E39)/E35</f>
        <v>1.1646377716501063E-2</v>
      </c>
      <c r="F58" s="32">
        <f t="shared" si="28"/>
        <v>5.9026475756145712E-3</v>
      </c>
      <c r="G58" s="32">
        <f t="shared" si="28"/>
        <v>8.2463458776968306E-3</v>
      </c>
      <c r="H58" s="32">
        <f t="shared" si="28"/>
        <v>7.7818107686324954E-3</v>
      </c>
      <c r="I58" s="32">
        <f t="shared" si="28"/>
        <v>9.4000151271428269E-3</v>
      </c>
      <c r="J58" s="32">
        <f t="shared" si="28"/>
        <v>7.8855682455475952E-3</v>
      </c>
      <c r="K58" s="11"/>
      <c r="L58" s="7"/>
    </row>
    <row r="59" spans="1:12" hidden="1" x14ac:dyDescent="0.55000000000000004">
      <c r="A59" s="152" t="s">
        <v>18</v>
      </c>
      <c r="B59" s="153"/>
      <c r="C59" s="97"/>
      <c r="D59" s="28"/>
      <c r="E59" s="28">
        <f>+IFERROR(E55/E40,0)</f>
        <v>265000</v>
      </c>
      <c r="F59" s="28">
        <f t="shared" ref="F59:J59" si="29">+IFERROR(F55/F40,0)</f>
        <v>265000</v>
      </c>
      <c r="G59" s="28">
        <f t="shared" si="29"/>
        <v>132500</v>
      </c>
      <c r="H59" s="28">
        <f t="shared" si="29"/>
        <v>132500</v>
      </c>
      <c r="I59" s="28">
        <f t="shared" si="29"/>
        <v>88333.333333333328</v>
      </c>
      <c r="J59" s="28">
        <f t="shared" si="29"/>
        <v>88333.333333333328</v>
      </c>
      <c r="K59" s="11"/>
      <c r="L59" s="7"/>
    </row>
    <row r="60" spans="1:12" hidden="1" x14ac:dyDescent="0.55000000000000004">
      <c r="A60" s="152" t="s">
        <v>115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68</v>
      </c>
      <c r="B61" s="155"/>
      <c r="C61" s="98"/>
      <c r="D61" s="40">
        <f>+D55</f>
        <v>495000</v>
      </c>
      <c r="E61" s="40">
        <f>+SUM(E65:E72)+E54</f>
        <v>265000</v>
      </c>
      <c r="F61" s="40">
        <f t="shared" ref="F61:J61" si="30">+SUM(F65:F72)+F54</f>
        <v>265000</v>
      </c>
      <c r="G61" s="40">
        <f t="shared" si="30"/>
        <v>265000</v>
      </c>
      <c r="H61" s="40">
        <f t="shared" si="30"/>
        <v>265000</v>
      </c>
      <c r="I61" s="40">
        <f t="shared" si="30"/>
        <v>265000</v>
      </c>
      <c r="J61" s="40">
        <f t="shared" si="30"/>
        <v>265000</v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176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184</v>
      </c>
    </row>
    <row r="67" spans="1:16" x14ac:dyDescent="0.55000000000000004">
      <c r="B67" s="6" t="s">
        <v>185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186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  <v>5000</v>
      </c>
      <c r="F68" s="28">
        <f t="shared" si="31"/>
        <v>5000</v>
      </c>
      <c r="G68" s="28">
        <f t="shared" si="31"/>
        <v>5000</v>
      </c>
      <c r="H68" s="28">
        <f t="shared" si="31"/>
        <v>5000</v>
      </c>
      <c r="I68" s="28">
        <f t="shared" si="31"/>
        <v>5000</v>
      </c>
      <c r="J68" s="28">
        <f t="shared" si="31"/>
        <v>5000</v>
      </c>
      <c r="N68" s="69" t="s">
        <v>187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188</v>
      </c>
      <c r="C69" s="90">
        <v>0</v>
      </c>
      <c r="D69" s="51">
        <v>300000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s">
        <v>189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  <v>495000</v>
      </c>
      <c r="E73" s="114">
        <f t="shared" ref="E73:J73" si="32">SUM(E65:E72)+E54</f>
        <v>265000</v>
      </c>
      <c r="F73" s="114">
        <f t="shared" si="32"/>
        <v>265000</v>
      </c>
      <c r="G73" s="114">
        <f t="shared" si="32"/>
        <v>265000</v>
      </c>
      <c r="H73" s="114">
        <f t="shared" si="32"/>
        <v>265000</v>
      </c>
      <c r="I73" s="114">
        <f t="shared" si="32"/>
        <v>265000</v>
      </c>
      <c r="J73" s="114">
        <f t="shared" si="32"/>
        <v>265000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  <v>0</v>
      </c>
      <c r="E75" s="41">
        <f t="shared" si="33"/>
        <v>0</v>
      </c>
      <c r="F75" s="41">
        <f t="shared" si="33"/>
        <v>0</v>
      </c>
      <c r="G75" s="41">
        <f t="shared" si="33"/>
        <v>0</v>
      </c>
      <c r="H75" s="41">
        <f t="shared" si="33"/>
        <v>0</v>
      </c>
      <c r="I75" s="41">
        <f t="shared" si="33"/>
        <v>0</v>
      </c>
      <c r="J75" s="41">
        <f t="shared" si="33"/>
        <v>0</v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4"/>
        <v>3</v>
      </c>
      <c r="F76" s="5">
        <f t="shared" si="34"/>
        <v>3</v>
      </c>
      <c r="G76" s="5">
        <f t="shared" si="34"/>
        <v>3</v>
      </c>
      <c r="H76" s="5">
        <f t="shared" si="34"/>
        <v>3</v>
      </c>
      <c r="I76" s="5">
        <f t="shared" si="34"/>
        <v>3</v>
      </c>
      <c r="J76" s="5">
        <f t="shared" si="34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 t="str">
        <f>+'SIM_竹（コンサル基本）'!D24</f>
        <v>--</v>
      </c>
      <c r="D4" s="28">
        <f>+'SIM_竹（コンサル基本）'!G51</f>
        <v>265000</v>
      </c>
      <c r="E4" s="28">
        <f>+'SIM_竹（コンサル基本）'!J51</f>
        <v>265000</v>
      </c>
      <c r="F4" s="28"/>
    </row>
    <row r="5" spans="1:25" x14ac:dyDescent="0.55000000000000004">
      <c r="A5" s="85" t="s">
        <v>140</v>
      </c>
      <c r="B5" s="7"/>
      <c r="C5" s="86" t="str">
        <f>+'SIM_竹（コンサル基本）'!D25</f>
        <v>--</v>
      </c>
      <c r="D5" s="28">
        <f>+'SIM_竹（コンサル基本）'!G61</f>
        <v>265000</v>
      </c>
      <c r="E5" s="28">
        <f>+'SIM_竹（コンサル基本）'!J61</f>
        <v>265000</v>
      </c>
      <c r="F5" s="27"/>
    </row>
    <row r="6" spans="1:25" x14ac:dyDescent="0.55000000000000004">
      <c r="A6" s="85" t="s">
        <v>74</v>
      </c>
      <c r="B6" s="7"/>
      <c r="C6" s="117">
        <f>+'SIM_竹（コンサル基本）'!D28</f>
        <v>0</v>
      </c>
      <c r="D6" s="87">
        <f>+'SIM_竹（コンサル基本）'!G28</f>
        <v>551.52890625000009</v>
      </c>
      <c r="E6" s="87">
        <f>+'SIM_竹（コンサル基本）'!J28</f>
        <v>1103.0578125</v>
      </c>
      <c r="F6" s="10"/>
    </row>
    <row r="7" spans="1:25" x14ac:dyDescent="0.55000000000000004">
      <c r="A7" s="85" t="s">
        <v>75</v>
      </c>
      <c r="B7" s="7"/>
      <c r="C7" s="88">
        <f>+'SIM_竹（コンサル基本）'!D27</f>
        <v>0</v>
      </c>
      <c r="D7" s="89">
        <f>+'SIM_竹（コンサル基本）'!G27</f>
        <v>0.38800000000000001</v>
      </c>
      <c r="E7" s="89">
        <f>+'SIM_竹（コンサル基本）'!J27</f>
        <v>0.4</v>
      </c>
      <c r="F7" s="89"/>
    </row>
    <row r="8" spans="1:25" x14ac:dyDescent="0.55000000000000004">
      <c r="A8" s="85" t="s">
        <v>76</v>
      </c>
      <c r="B8" s="7"/>
      <c r="C8" s="117">
        <f>+'SIM_竹（コンサル基本）'!D29</f>
        <v>0</v>
      </c>
      <c r="D8" s="10">
        <f>+'SIM_竹（コンサル基本）'!G29</f>
        <v>337.53569062500003</v>
      </c>
      <c r="E8" s="10">
        <f>+'SIM_竹（コンサル基本）'!J29</f>
        <v>661.83468749999997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+'SIM_竹（コンサル基本）'!D34</f>
        <v>0</v>
      </c>
      <c r="D10" s="10">
        <f>+'SIM_竹（コンサル基本）'!G34</f>
        <v>1012.6070718750002</v>
      </c>
      <c r="E10" s="10">
        <f>+'SIM_竹（コンサル基本）'!J34</f>
        <v>1588.4032500000001</v>
      </c>
      <c r="F10" s="10"/>
    </row>
    <row r="11" spans="1:25" x14ac:dyDescent="0.55000000000000004">
      <c r="A11" s="85" t="s">
        <v>79</v>
      </c>
      <c r="B11" s="7"/>
      <c r="C11" s="117">
        <f>+'SIM_竹（コンサル基本）'!D35</f>
        <v>0</v>
      </c>
      <c r="D11" s="10">
        <f>+'SIM_竹（コンサル基本）'!G35</f>
        <v>242.53166549916671</v>
      </c>
      <c r="E11" s="10">
        <f>+'SIM_竹（コンサル基本）'!J35</f>
        <v>380.44182823398694</v>
      </c>
      <c r="F11" s="10"/>
    </row>
    <row r="12" spans="1:25" x14ac:dyDescent="0.55000000000000004">
      <c r="A12" s="85" t="s">
        <v>146</v>
      </c>
      <c r="B12" s="7"/>
      <c r="C12" s="28">
        <f>+IFERROR(C5/C11,0)</f>
        <v>0</v>
      </c>
      <c r="D12" s="28">
        <f>+D4/D11</f>
        <v>1092.64082879483</v>
      </c>
      <c r="E12" s="28">
        <f t="shared" ref="E12" si="0">+E4/E11</f>
        <v>696.5585283567043</v>
      </c>
      <c r="F12" s="28"/>
    </row>
    <row r="13" spans="1:25" x14ac:dyDescent="0.55000000000000004">
      <c r="A13" s="85" t="s">
        <v>147</v>
      </c>
      <c r="B13" s="7"/>
      <c r="C13" s="28">
        <f>+IFERROR(C6/C12,0)</f>
        <v>0</v>
      </c>
      <c r="D13" s="28">
        <f>+D5/D11</f>
        <v>1092.64082879483</v>
      </c>
      <c r="E13" s="28">
        <f t="shared" ref="E13" si="1">+E5/E11</f>
        <v>696.5585283567043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167</v>
      </c>
      <c r="B15" s="7"/>
      <c r="C15" s="87">
        <f>+'SIM_竹（コンサル基本）'!$H$10</f>
        <v>134</v>
      </c>
      <c r="D15" s="87">
        <f>+'SIM_竹（コンサル基本）'!$H$10</f>
        <v>134</v>
      </c>
      <c r="E15" s="87">
        <f>+'SIM_竹（コンサル基本）'!$H$10</f>
        <v>134</v>
      </c>
      <c r="F15" s="87"/>
      <c r="R15" s="5" t="s">
        <v>57</v>
      </c>
    </row>
    <row r="16" spans="1:25" x14ac:dyDescent="0.55000000000000004">
      <c r="A16" s="85" t="s">
        <v>190</v>
      </c>
      <c r="B16" s="7"/>
      <c r="C16" s="87">
        <f>SUM(C17:C20)</f>
        <v>0</v>
      </c>
      <c r="D16" s="87">
        <f>SUM(D17:D20)</f>
        <v>2</v>
      </c>
      <c r="E16" s="87">
        <f>SUM(E17:E20)</f>
        <v>3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191</v>
      </c>
      <c r="B17" s="7"/>
      <c r="C17" s="87">
        <f>+'SIM_竹（コンサル基本）'!D36</f>
        <v>0</v>
      </c>
      <c r="D17" s="87">
        <f>+'SIM_竹（コンサル基本）'!G36</f>
        <v>2</v>
      </c>
      <c r="E17" s="87">
        <f>+'SIM_竹（コンサル基本）'!J36</f>
        <v>3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+'SIM_竹（コンサル基本）'!D37</f>
        <v>0</v>
      </c>
      <c r="D18" s="87">
        <f>+'SIM_竹（コンサル基本）'!G37</f>
        <v>0</v>
      </c>
      <c r="E18" s="87">
        <f>+'SIM_竹（コンサル基本）'!J37</f>
        <v>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61</v>
      </c>
      <c r="B19" s="7"/>
      <c r="C19" s="87">
        <f>+'SIM_竹（コンサル基本）'!D38</f>
        <v>0</v>
      </c>
      <c r="D19" s="87">
        <f>+'SIM_竹（コンサル基本）'!G38</f>
        <v>0</v>
      </c>
      <c r="E19" s="87">
        <f>+'SIM_竹（コンサル基本）'!J38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+'SIM_竹（コンサル基本）'!D39</f>
        <v>0</v>
      </c>
      <c r="D20" s="87">
        <f>+'SIM_竹（コンサル基本）'!G39</f>
        <v>0</v>
      </c>
      <c r="E20" s="87">
        <f>+'SIM_竹（コンサル基本）'!J39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132500</v>
      </c>
      <c r="E22" s="90">
        <f t="shared" si="2"/>
        <v>88333.333333333328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132500</v>
      </c>
      <c r="E23" s="90">
        <f t="shared" ref="E23" si="4">+IFERROR(E5/E16,"--")</f>
        <v>88333.333333333328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+'SIM_竹（コンサル基本）'!E68+C29*C30</f>
        <v>5000</v>
      </c>
      <c r="D25" s="10">
        <f>+'SIM_竹（コンサル基本）'!G68+D29*D30</f>
        <v>5000</v>
      </c>
      <c r="E25" s="10">
        <f>+'SIM_竹（コンサル基本）'!J68+E29*E30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SIM_竹（コンサル基本）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2026-10-19T10:29:39Z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
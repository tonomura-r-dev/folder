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_竹（コンサル基本）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<sst xmlns="http://schemas.openxmlformats.org/spreadsheetml/2006/main" count="278" uniqueCount="195">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</sst>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46314</v>
      </c>
    </row>
    <row r="4" spans="1:25" ht="45.75" customHeight="1" x14ac:dyDescent="0.4">
      <c r="A4" s="56" t="inlineStr">
        <is>
          <t xml:space="preserve">清水グループ御中_LINEOA施策提案【SIM】（離脱防止＋サイトのLINEボタン＋サンクスLINE誘導）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応募</t>
        </is>
      </c>
      <c r="D8" s="33">
        <v>0</v>
      </c>
      <c r="G8" s="143" t="inlineStr">
        <is>
          <t xml:space="preserve">サイトUU</t>
        </is>
      </c>
      <c r="H8" s="144">
        <v>8947</v>
      </c>
      <c r="I8" s="145"/>
      <c r="J8" s="145" t="s">
        <v>78</v>
      </c>
      <c r="K8" s="152">
        <v>0</v>
      </c>
      <c r="N8" s="69" t="inlineStr">
        <is>
          <t xml:space="preserve">CV①応募：LINEのリンクからの応募だけ。サンクスLINEで友だちになった方（応募済み）の応募は数えない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-</t>
        </is>
      </c>
      <c r="D9" s="33">
        <v>0</v>
      </c>
      <c r="G9" s="146" t="inlineStr">
        <is>
          <t xml:space="preserve">うち広告</t>
        </is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応募（サイト・仮に）</t>
        </is>
      </c>
      <c r="H10" s="147">
        <v>134</v>
      </c>
      <c r="I10" s="148" t="s">
        <v>186</v>
      </c>
      <c r="J10" s="139"/>
      <c r="K10" s="140"/>
      <c r="N10" s="155" t="inlineStr">
        <is>
          <t xml:space="preserve">サイトからの応募は与件に無いので、仮にUUの1.5%（月134件）</t>
        </is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  <c r="N14" t="inlineStr">
        <is>
          <t xml:space="preserve">求人サイトの月間UU 8,947（与件）。6か月同じ</t>
        </is>
      </c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inlineStr">
        <is>
          <t xml:space="preserve">離脱防止ポップアップ</t>
        </is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138</v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inlineStr">
        <is>
          <t xml:space="preserve">離脱防止ポップアップ</t>
        </is>
      </c>
      <c r="C23" s="17"/>
      <c r="D23" s="44" t="s">
        <v>22</v>
      </c>
      <c r="E23" s="46">
        <f>IF(E18=FALSE,0,E14*$P$18*0.125*0.125)</f>
      </c>
      <c r="F23" s="46">
        <f>IF(F18=FALSE,0,F14*$P$18*0.125*0.125)</f>
      </c>
      <c r="G23" s="63">
        <f>IF(G18=FALSE,0,G14*$P$18*0.125*0.125)</f>
      </c>
      <c r="H23" s="63">
        <f>IF(H18=FALSE,0,H14*$P$18*0.125*0.125)</f>
      </c>
      <c r="I23" s="63">
        <f>IF(I18=FALSE,0,I14*$P$18*0.125*0.125)</f>
      </c>
      <c r="J23" s="63">
        <f>IF(J18=FALSE,0,J14*$P$18*0.125*0.125)</f>
      </c>
      <c r="K23" s="11"/>
      <c r="L23" s="7"/>
      <c r="N23" s="69" t="inlineStr">
        <is>
          <t xml:space="preserve">離脱防止ポップアップ＝UU×表示65%×クリック12.5%×追加12.5%（定義テキストの係数）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IF(E19=FALSE,0,E16*0.8*0.45)</f>
      </c>
      <c r="F24" s="63">
        <f>IF(F19=FALSE,0,F16*0.8*0.45)</f>
      </c>
      <c r="G24" s="63">
        <f>IF(G19=FALSE,0,G16*0.8*0.45)</f>
      </c>
      <c r="H24" s="63">
        <f>IF(H19=FALSE,0,H16*0.8*0.45)</f>
      </c>
      <c r="I24" s="63">
        <f>IF(I19=FALSE,0,I16*0.8*0.45)</f>
      </c>
      <c r="J24" s="63">
        <f>IF(J19=FALSE,0,J16*0.8*0.45)</f>
      </c>
      <c r="K24" s="11"/>
      <c r="L24" s="7"/>
      <c r="N24" s="69" t="inlineStr">
        <is>
          <t xml:space="preserve">サンクスLINE誘導＝応募×遷移80%×追加45%（定義テキストの係数）</t>
        </is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サイトのLINEボタン（UUの0.5%・FMTの係数）＋離脱防止＋サンクスLINE誘導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0.34</v>
      </c>
      <c r="F27" s="47">
        <f>+E27*1.025</f>
      </c>
      <c r="G27" s="47">
        <f>+F27*1.025</f>
      </c>
      <c r="H27" s="47">
        <f>+G27*1.025</f>
      </c>
      <c r="I27" s="47">
        <f>+H27*1.025</f>
      </c>
      <c r="J27" s="47">
        <f>+I27*1.025</f>
      </c>
      <c r="K27" s="11"/>
      <c r="L27" s="7"/>
      <c r="N27" t="inlineStr">
        <is>
          <t xml:space="preserve">ブロック率：1か月目34%（殿村さん）。2か月目以降は前の月×1.025（FMTの式）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0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inlineStr">
        <is>
          <t xml:space="preserve">企画配信 月3回（業界資料の竹＝コンサル基本 月20万円は月3投稿。新着求人・職種ごとの案内）</t>
        </is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3</v>
      </c>
      <c r="F32" s="45">
        <v>3</v>
      </c>
      <c r="G32" s="45">
        <v>3</v>
      </c>
      <c r="H32" s="45">
        <v>3</v>
      </c>
      <c r="I32" s="45">
        <v>3</v>
      </c>
      <c r="J32" s="45">
        <v>3</v>
      </c>
      <c r="K32" s="11"/>
      <c r="L32" s="7"/>
      <c r="N32" s="69" t="inlineStr">
        <is>
          <t xml:space="preserve">ステップ配信3通（友だち追加の翌日以降。職種ごとに中身を分ける）</t>
        </is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v>1</v>
      </c>
      <c r="F36" s="111">
        <v>1</v>
      </c>
      <c r="G36" s="111">
        <v>2</v>
      </c>
      <c r="H36" s="111">
        <v>2</v>
      </c>
      <c r="I36" s="111">
        <v>3</v>
      </c>
      <c r="J36" s="111">
        <v>3</v>
      </c>
      <c r="K36" s="115">
        <f>SUM(E36:J36)</f>
      </c>
      <c r="L36" s="7"/>
      <c r="N36" s="69" t="inlineStr">
        <is>
          <t xml:space="preserve">応募：クリックの0.3〜1.0%前後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134</v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IFERROR(SUM(E65:E67)/(E28-D28),"-")</f>
      </c>
      <c r="F46" s="28">
        <f>IFERROR(SUM(F65:F67)/(F28-E28),"-")</f>
      </c>
      <c r="G46" s="28">
        <f>IFERROR(SUM(G65:G67)/(G28-F28),"-")</f>
      </c>
      <c r="H46" s="28">
        <f>IFERROR(SUM(H65:H67)/(H28-G28),"-")</f>
      </c>
      <c r="I46" s="28">
        <f>IFERROR(SUM(I65:I67)/(I28-H28),"-")</f>
      </c>
      <c r="J46" s="28">
        <f>IFERROR(SUM(J65:J67)/(J28-I28),"-")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IFERROR(SUM(E65:E67)/(E28-D28),"-")</f>
      </c>
      <c r="F56" s="28">
        <f>IFERROR(SUM(F65:F67)/(F28-E28),"-")</f>
      </c>
      <c r="G56" s="28">
        <f>IFERROR(SUM(G65:G67)/(G28-F28),"-")</f>
      </c>
      <c r="H56" s="28">
        <f>IFERROR(SUM(H65:H67)/(H28-G28),"-")</f>
      </c>
      <c r="I56" s="28">
        <f>IFERROR(SUM(I65:I67)/(I28-H28),"-")</f>
      </c>
      <c r="J56" s="28">
        <f>IFERROR(SUM(J65:J67)/(J28-I28),"-")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4">
      <c r="A66" s="53" t="s">
        <v>51</v>
      </c>
      <c r="B66" s="6" t="inlineStr">
        <is>
          <t xml:space="preserve">離脱防止ポップアップ</t>
        </is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inlineStr">
        <is>
          <t xml:space="preserve">離脱防止ポップアップ：初期1.5万円・月3万円</t>
        </is>
      </c>
    </row>
    <row r="67" spans="1:16" x14ac:dyDescent="0.4">
      <c r="B67" s="6" t="inlineStr">
        <is>
          <t xml:space="preserve">サンクスLINE誘導</t>
        </is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inlineStr">
        <is>
          <t xml:space="preserve">サンクスLINE誘導：初期15万円・月3万円〜</t>
        </is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inlineStr">
        <is>
          <t xml:space="preserve">アカウント費：FMTの式（開設3万円）</t>
        </is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LINE運用コンサル（竹：コンサル基本）</t>
        </is>
      </c>
      <c r="C69" s="90">
        <v>0</v>
      </c>
      <c r="D69" s="51">
        <v>300000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inlineStr">
        <is>
          <t xml:space="preserve">LINE運用コンサル（竹：コンサル基本）月20万円。初期は初期30万円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>SUM(E65:E72)+E54</f>
      </c>
      <c r="F73" s="114">
        <f>SUM(F65:F72)+F54</f>
      </c>
      <c r="G73" s="114">
        <f>SUM(G65:G72)+G54</f>
      </c>
      <c r="H73" s="114">
        <f>SUM(H65:H72)+H54</f>
      </c>
      <c r="I73" s="114">
        <f>SUM(I65:I72)+I54</f>
      </c>
      <c r="J73" s="114">
        <f>SUM(J65:J72)+J54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+'SIM_竹（コンサル基本）'!D24</f>
      </c>
      <c r="D4" s="28">
        <f>+'SIM_竹（コンサル基本）'!G51</f>
      </c>
      <c r="E4" s="28">
        <f>+'SIM_竹（コンサル基本）'!J51</f>
      </c>
      <c r="F4" s="28"/>
    </row>
    <row r="5" spans="1:25" x14ac:dyDescent="0.4">
      <c r="A5" s="85" t="s">
        <v>167</v>
      </c>
      <c r="B5" s="7"/>
      <c r="C5" s="86">
        <f>+'SIM_竹（コンサル基本）'!D25</f>
      </c>
      <c r="D5" s="28">
        <f>+'SIM_竹（コンサル基本）'!G61</f>
      </c>
      <c r="E5" s="28">
        <f>+'SIM_竹（コンサル基本）'!J61</f>
      </c>
      <c r="F5" s="27"/>
    </row>
    <row r="6" spans="1:25" x14ac:dyDescent="0.4">
      <c r="A6" s="85" t="s">
        <v>83</v>
      </c>
      <c r="B6" s="7"/>
      <c r="C6" s="117">
        <f>+'SIM_竹（コンサル基本）'!D28</f>
      </c>
      <c r="D6" s="87">
        <f>+'SIM_竹（コンサル基本）'!G28</f>
      </c>
      <c r="E6" s="87">
        <f>+'SIM_竹（コンサル基本）'!J28</f>
      </c>
      <c r="F6" s="10"/>
    </row>
    <row r="7" spans="1:25" x14ac:dyDescent="0.4">
      <c r="A7" s="85" t="s">
        <v>84</v>
      </c>
      <c r="B7" s="7"/>
      <c r="C7" s="88">
        <f>+'SIM_竹（コンサル基本）'!D27</f>
      </c>
      <c r="D7" s="89">
        <f>+'SIM_竹（コンサル基本）'!G27</f>
      </c>
      <c r="E7" s="89">
        <f>+'SIM_竹（コンサル基本）'!J27</f>
      </c>
      <c r="F7" s="89"/>
    </row>
    <row r="8" spans="1:25" x14ac:dyDescent="0.4">
      <c r="A8" s="85" t="s">
        <v>85</v>
      </c>
      <c r="B8" s="7"/>
      <c r="C8" s="117">
        <f>+'SIM_竹（コンサル基本）'!D29</f>
      </c>
      <c r="D8" s="10">
        <f>+'SIM_竹（コンサル基本）'!G29</f>
      </c>
      <c r="E8" s="10">
        <f>+'SIM_竹（コンサル基本）'!J29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+'SIM_竹（コンサル基本）'!D34</f>
      </c>
      <c r="D10" s="10">
        <f>+'SIM_竹（コンサル基本）'!G34</f>
      </c>
      <c r="E10" s="10">
        <f>+'SIM_竹（コンサル基本）'!J34</f>
      </c>
      <c r="F10" s="10"/>
    </row>
    <row r="11" spans="1:25" x14ac:dyDescent="0.4">
      <c r="A11" s="85" t="s">
        <v>90</v>
      </c>
      <c r="B11" s="7"/>
      <c r="C11" s="117">
        <f>+'SIM_竹（コンサル基本）'!D35</f>
      </c>
      <c r="D11" s="10">
        <f>+'SIM_竹（コンサル基本）'!G35</f>
      </c>
      <c r="E11" s="10">
        <f>+'SIM_竹（コンサル基本）'!J35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inlineStr">
        <is>
          <t xml:space="preserve">応募（サイト・仮に）</t>
        </is>
      </c>
      <c r="B15" s="7"/>
      <c r="C15" s="87">
        <f>+'SIM_竹（コンサル基本）'!$H$10</f>
      </c>
      <c r="D15" s="87">
        <f>+'SIM_竹（コンサル基本）'!$H$10</f>
      </c>
      <c r="E15" s="87">
        <f>+'SIM_竹（コンサル基本）'!$H$10</f>
      </c>
      <c r="F15" s="87"/>
      <c r="R15" s="5" t="s">
        <v>59</v>
      </c>
    </row>
    <row r="16" spans="1:25" x14ac:dyDescent="0.4">
      <c r="A16" s="85" t="inlineStr">
        <is>
          <t xml:space="preserve">CV数（+LINEOA施策）</t>
        </is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CV①_応募</t>
        </is>
      </c>
      <c r="B17" s="7"/>
      <c r="C17" s="87">
        <f>+'SIM_竹（コンサル基本）'!D36</f>
      </c>
      <c r="D17" s="87">
        <f>+'SIM_竹（コンサル基本）'!G36</f>
      </c>
      <c r="E17" s="87">
        <f>+'SIM_竹（コンサル基本）'!J36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-</t>
        </is>
      </c>
      <c r="B18" s="7"/>
      <c r="C18" s="87">
        <f>+'SIM_竹（コンサル基本）'!D37</f>
      </c>
      <c r="D18" s="87">
        <f>+'SIM_竹（コンサル基本）'!G37</f>
      </c>
      <c r="E18" s="87">
        <f>+'SIM_竹（コンサル基本）'!J37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inlineStr">
        <is>
          <t xml:space="preserve">-</t>
        </is>
      </c>
      <c r="B19" s="7"/>
      <c r="C19" s="87">
        <f>+'SIM_竹（コンサル基本）'!D38</f>
      </c>
      <c r="D19" s="87">
        <f>+'SIM_竹（コンサル基本）'!G38</f>
      </c>
      <c r="E19" s="87">
        <f>+'SIM_竹（コンサル基本）'!J38</f>
      </c>
      <c r="F19" s="10"/>
      <c r="R19" s="34"/>
      <c r="T19" s="34"/>
      <c r="V19" s="34"/>
      <c r="X19" s="34"/>
      <c r="Y19" s="35"/>
    </row>
    <row r="20" spans="1:25" x14ac:dyDescent="0.4">
      <c r="A20" s="85" t="inlineStr">
        <is>
          <t xml:space="preserve">-</t>
        </is>
      </c>
      <c r="B20" s="7"/>
      <c r="C20" s="87">
        <f>+'SIM_竹（コンサル基本）'!D39</f>
      </c>
      <c r="D20" s="87">
        <f>+'SIM_竹（コンサル基本）'!G39</f>
      </c>
      <c r="E20" s="87">
        <f>+'SIM_竹（コンサル基本）'!J39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+'SIM_竹（コンサル基本）'!E68+C29*C30</f>
      </c>
      <c r="D25" s="10">
        <f>+'SIM_竹（コンサル基本）'!G68+D29*D30</f>
      </c>
      <c r="E25" s="10">
        <f>+'SIM_竹（コンサル基本）'!J68+E29*E30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SIM_竹（コンサル基本）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